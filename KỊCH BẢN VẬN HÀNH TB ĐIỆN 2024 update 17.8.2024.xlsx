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Brehouse\"/>
    </mc:Choice>
  </mc:AlternateContent>
  <xr:revisionPtr revIDLastSave="0" documentId="13_ncr:1_{93DFB584-C9BF-4F29-B32B-B4646EBC0D30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CÁP TREO" sheetId="6" r:id="rId1"/>
    <sheet name="KTHT" sheetId="1" r:id="rId2"/>
    <sheet name="GAME" sheetId="24" r:id="rId3"/>
    <sheet name="Hành Chính" sheetId="10" r:id="rId4"/>
    <sheet name="ĐIỀU HÒA 1" sheetId="11" state="hidden" r:id="rId5"/>
    <sheet name="HÚT ẨM 1" sheetId="12" state="hidden" r:id="rId6"/>
    <sheet name="KHO ĐÔNG1" sheetId="13" state="hidden" r:id="rId7"/>
    <sheet name="BTXD" sheetId="23" r:id="rId8"/>
    <sheet name="BẾP" sheetId="15" r:id="rId9"/>
    <sheet name="NHÀ HÀNG" sheetId="16" r:id="rId10"/>
    <sheet name="Nhà máy bia" sheetId="22" r:id="rId11"/>
    <sheet name="Xưởng xúc xích" sheetId="17" r:id="rId12"/>
    <sheet name="thang máy, thang cuốn HD" sheetId="20" r:id="rId13"/>
    <sheet name="Hướng dẫn" sheetId="19" r:id="rId14"/>
    <sheet name="Năng Lượng Tiêu Thụ Các BP đki" sheetId="7" state="hidden" r:id="rId15"/>
    <sheet name="Khách" sheetId="18" r:id="rId16"/>
  </sheets>
  <definedNames>
    <definedName name="_xlnm._FilterDatabase" localSheetId="8" hidden="1">BẾP!$A$4:$Q$197</definedName>
    <definedName name="_xlnm._FilterDatabase" localSheetId="5" hidden="1">'HÚT ẨM 1'!#REF!</definedName>
    <definedName name="_xlnm._FilterDatabase" localSheetId="1" hidden="1">KTHT!$A$5:$W$56</definedName>
    <definedName name="_xlnm.Print_Area" localSheetId="8">BẾP!$A$1:$AF$695</definedName>
    <definedName name="_xlnm.Print_Area" localSheetId="0">'CÁP TREO'!$A$1:$AM$15</definedName>
    <definedName name="_xlnm.Print_Area" localSheetId="4">'ĐIỀU HÒA 1'!#REF!</definedName>
    <definedName name="_xlnm.Print_Area" localSheetId="3">'Hành Chính'!$A$1:$AC$200</definedName>
    <definedName name="_xlnm.Print_Area" localSheetId="13">'Hướng dẫn'!$A$1:$AE$41</definedName>
    <definedName name="_xlnm.Print_Area" localSheetId="5">'HÚT ẨM 1'!#REF!</definedName>
    <definedName name="_xlnm.Print_Area" localSheetId="6">'KHO ĐÔNG1'!#REF!</definedName>
    <definedName name="_xlnm.Print_Area" localSheetId="1">KTHT!$A$1:$AF$55</definedName>
    <definedName name="_xlnm.Print_Area" localSheetId="9">'NHÀ HÀNG'!$A$1:$Q$707</definedName>
    <definedName name="_xlnm.Print_Area" localSheetId="12">'thang máy, thang cuốn HD'!$A$1:$AF$31</definedName>
    <definedName name="_xlnm.Print_Area" localSheetId="11">'Xưởng xúc xích'!$A$1:$AC$28</definedName>
  </definedNames>
  <calcPr calcId="191029"/>
</workbook>
</file>

<file path=xl/calcChain.xml><?xml version="1.0" encoding="utf-8"?>
<calcChain xmlns="http://schemas.openxmlformats.org/spreadsheetml/2006/main">
  <c r="U58" i="22" l="1"/>
  <c r="Y58" i="22"/>
  <c r="AC58" i="22" s="1"/>
  <c r="M58" i="22"/>
  <c r="X58" i="22" s="1"/>
  <c r="AB58" i="22" s="1"/>
  <c r="K58" i="22"/>
  <c r="U57" i="22"/>
  <c r="Y57" i="22"/>
  <c r="AC57" i="22" s="1"/>
  <c r="M57" i="22"/>
  <c r="X57" i="22"/>
  <c r="AB57" i="22"/>
  <c r="K57" i="22"/>
  <c r="I57" i="22"/>
  <c r="U52" i="22"/>
  <c r="Y52" i="22"/>
  <c r="AC52" i="22"/>
  <c r="M52" i="22"/>
  <c r="K52" i="22"/>
  <c r="I52" i="22"/>
  <c r="U56" i="22"/>
  <c r="Y56" i="22"/>
  <c r="AC56" i="22" s="1"/>
  <c r="M56" i="22"/>
  <c r="X56" i="22" s="1"/>
  <c r="AB56" i="22" s="1"/>
  <c r="I56" i="22"/>
  <c r="K56" i="22" s="1"/>
  <c r="I55" i="22"/>
  <c r="U55" i="22"/>
  <c r="Y55" i="22"/>
  <c r="AC55" i="22" s="1"/>
  <c r="M55" i="22"/>
  <c r="X55" i="22" s="1"/>
  <c r="AB55" i="22" s="1"/>
  <c r="K55" i="22"/>
  <c r="K53" i="22"/>
  <c r="I54" i="22"/>
  <c r="M54" i="22" s="1"/>
  <c r="I53" i="22"/>
  <c r="M53" i="22" s="1"/>
  <c r="U51" i="22"/>
  <c r="Y51" i="22"/>
  <c r="M51" i="22"/>
  <c r="K51" i="22"/>
  <c r="I51" i="22"/>
  <c r="I50" i="22"/>
  <c r="M50" i="22" s="1"/>
  <c r="I49" i="22"/>
  <c r="M49" i="22" s="1"/>
  <c r="I48" i="22"/>
  <c r="M48" i="22" s="1"/>
  <c r="A79" i="22"/>
  <c r="A80" i="22"/>
  <c r="A81" i="22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78" i="22"/>
  <c r="V89" i="22"/>
  <c r="Z89" i="22" s="1"/>
  <c r="V88" i="22"/>
  <c r="Z88" i="22" s="1"/>
  <c r="V87" i="22"/>
  <c r="Z87" i="22" s="1"/>
  <c r="V86" i="22"/>
  <c r="Z86" i="22" s="1"/>
  <c r="U85" i="22"/>
  <c r="Y85" i="22"/>
  <c r="X85" i="22"/>
  <c r="AB85" i="22"/>
  <c r="W85" i="22"/>
  <c r="AA85" i="22"/>
  <c r="V85" i="22"/>
  <c r="Z85" i="22" s="1"/>
  <c r="AG16" i="22"/>
  <c r="Y96" i="22"/>
  <c r="X96" i="22"/>
  <c r="AB96" i="22" s="1"/>
  <c r="W96" i="22"/>
  <c r="AA96" i="22" s="1"/>
  <c r="V96" i="22"/>
  <c r="Z96" i="22" s="1"/>
  <c r="U96" i="22"/>
  <c r="Y94" i="22"/>
  <c r="X94" i="22"/>
  <c r="AB94" i="22" s="1"/>
  <c r="W94" i="22"/>
  <c r="AA94" i="22" s="1"/>
  <c r="V94" i="22"/>
  <c r="Z94" i="22" s="1"/>
  <c r="U94" i="22"/>
  <c r="Y93" i="22"/>
  <c r="X93" i="22"/>
  <c r="AB93" i="22" s="1"/>
  <c r="W93" i="22"/>
  <c r="AA93" i="22" s="1"/>
  <c r="V93" i="22"/>
  <c r="Z93" i="22" s="1"/>
  <c r="U93" i="22"/>
  <c r="Y92" i="22"/>
  <c r="X92" i="22"/>
  <c r="AB92" i="22" s="1"/>
  <c r="W92" i="22"/>
  <c r="AA92" i="22" s="1"/>
  <c r="V92" i="22"/>
  <c r="Z92" i="22" s="1"/>
  <c r="U92" i="22"/>
  <c r="Y91" i="22"/>
  <c r="X91" i="22"/>
  <c r="AB91" i="22" s="1"/>
  <c r="W91" i="22"/>
  <c r="AA91" i="22" s="1"/>
  <c r="V91" i="22"/>
  <c r="Z91" i="22" s="1"/>
  <c r="U91" i="22"/>
  <c r="Y90" i="22"/>
  <c r="X90" i="22"/>
  <c r="AB90" i="22" s="1"/>
  <c r="W90" i="22"/>
  <c r="AA90" i="22" s="1"/>
  <c r="V90" i="22"/>
  <c r="Z90" i="22" s="1"/>
  <c r="U90" i="22"/>
  <c r="Y84" i="22"/>
  <c r="X84" i="22"/>
  <c r="AB84" i="22" s="1"/>
  <c r="W84" i="22"/>
  <c r="AA84" i="22" s="1"/>
  <c r="V84" i="22"/>
  <c r="Z84" i="22" s="1"/>
  <c r="U84" i="22"/>
  <c r="Y83" i="22"/>
  <c r="X83" i="22"/>
  <c r="AB83" i="22" s="1"/>
  <c r="W83" i="22"/>
  <c r="AA83" i="22" s="1"/>
  <c r="V83" i="22"/>
  <c r="Z83" i="22" s="1"/>
  <c r="U83" i="22"/>
  <c r="Y81" i="22"/>
  <c r="X81" i="22"/>
  <c r="AB81" i="22" s="1"/>
  <c r="W81" i="22"/>
  <c r="AA81" i="22" s="1"/>
  <c r="V81" i="22"/>
  <c r="Z81" i="22" s="1"/>
  <c r="U81" i="22"/>
  <c r="Y80" i="22"/>
  <c r="X80" i="22"/>
  <c r="AB80" i="22" s="1"/>
  <c r="W80" i="22"/>
  <c r="AA80" i="22" s="1"/>
  <c r="V80" i="22"/>
  <c r="Z80" i="22" s="1"/>
  <c r="U80" i="22"/>
  <c r="Y79" i="22"/>
  <c r="X79" i="22"/>
  <c r="AB79" i="22" s="1"/>
  <c r="W79" i="22"/>
  <c r="AA79" i="22" s="1"/>
  <c r="V79" i="22"/>
  <c r="Z79" i="22" s="1"/>
  <c r="U79" i="22"/>
  <c r="Y76" i="22"/>
  <c r="X76" i="22"/>
  <c r="AB76" i="22" s="1"/>
  <c r="W76" i="22"/>
  <c r="AA76" i="22" s="1"/>
  <c r="V76" i="22"/>
  <c r="Z76" i="22" s="1"/>
  <c r="U76" i="22"/>
  <c r="Y161" i="24"/>
  <c r="X161" i="24"/>
  <c r="W161" i="24"/>
  <c r="V161" i="24"/>
  <c r="U161" i="24"/>
  <c r="T161" i="24"/>
  <c r="AB161" i="24" s="1"/>
  <c r="S161" i="24"/>
  <c r="R161" i="24"/>
  <c r="Y154" i="24"/>
  <c r="X154" i="24"/>
  <c r="W154" i="24"/>
  <c r="V154" i="24"/>
  <c r="U154" i="24"/>
  <c r="AC154" i="24" s="1"/>
  <c r="T154" i="24"/>
  <c r="S154" i="24"/>
  <c r="AA154" i="24" s="1"/>
  <c r="R154" i="24"/>
  <c r="Z154" i="24" s="1"/>
  <c r="Y153" i="24"/>
  <c r="X153" i="24"/>
  <c r="W153" i="24"/>
  <c r="V153" i="24"/>
  <c r="U153" i="24"/>
  <c r="T153" i="24"/>
  <c r="AB153" i="24" s="1"/>
  <c r="S153" i="24"/>
  <c r="R153" i="24"/>
  <c r="Y150" i="24"/>
  <c r="X150" i="24"/>
  <c r="W150" i="24"/>
  <c r="V150" i="24"/>
  <c r="U150" i="24"/>
  <c r="T150" i="24"/>
  <c r="S150" i="24"/>
  <c r="AA150" i="24" s="1"/>
  <c r="R150" i="24"/>
  <c r="Z150" i="24" s="1"/>
  <c r="Y149" i="24"/>
  <c r="X149" i="24"/>
  <c r="W149" i="24"/>
  <c r="V149" i="24"/>
  <c r="U149" i="24"/>
  <c r="T149" i="24"/>
  <c r="S149" i="24"/>
  <c r="R149" i="24"/>
  <c r="Y140" i="24"/>
  <c r="X140" i="24"/>
  <c r="W140" i="24"/>
  <c r="V140" i="24"/>
  <c r="U140" i="24"/>
  <c r="T140" i="24"/>
  <c r="S140" i="24"/>
  <c r="AA140" i="24" s="1"/>
  <c r="R140" i="24"/>
  <c r="Z140" i="24" s="1"/>
  <c r="Y139" i="24"/>
  <c r="X139" i="24"/>
  <c r="W139" i="24"/>
  <c r="V139" i="24"/>
  <c r="U139" i="24"/>
  <c r="T139" i="24"/>
  <c r="AB139" i="24" s="1"/>
  <c r="S139" i="24"/>
  <c r="R139" i="24"/>
  <c r="Y138" i="24"/>
  <c r="X138" i="24"/>
  <c r="W138" i="24"/>
  <c r="V138" i="24"/>
  <c r="U138" i="24"/>
  <c r="AC138" i="24" s="1"/>
  <c r="T138" i="24"/>
  <c r="S138" i="24"/>
  <c r="AA138" i="24" s="1"/>
  <c r="R138" i="24"/>
  <c r="Y137" i="24"/>
  <c r="X137" i="24"/>
  <c r="W137" i="24"/>
  <c r="V137" i="24"/>
  <c r="U137" i="24"/>
  <c r="T137" i="24"/>
  <c r="AB137" i="24" s="1"/>
  <c r="S137" i="24"/>
  <c r="R137" i="24"/>
  <c r="Y136" i="24"/>
  <c r="X136" i="24"/>
  <c r="W136" i="24"/>
  <c r="V136" i="24"/>
  <c r="U136" i="24"/>
  <c r="T136" i="24"/>
  <c r="S136" i="24"/>
  <c r="R136" i="24"/>
  <c r="Z136" i="24" s="1"/>
  <c r="Y135" i="24"/>
  <c r="X135" i="24"/>
  <c r="W135" i="24"/>
  <c r="V135" i="24"/>
  <c r="U135" i="24"/>
  <c r="T135" i="24"/>
  <c r="S135" i="24"/>
  <c r="R135" i="24"/>
  <c r="Y134" i="24"/>
  <c r="X134" i="24"/>
  <c r="W134" i="24"/>
  <c r="V134" i="24"/>
  <c r="U134" i="24"/>
  <c r="T134" i="24"/>
  <c r="S134" i="24"/>
  <c r="AA134" i="24" s="1"/>
  <c r="R134" i="24"/>
  <c r="Y133" i="24"/>
  <c r="X133" i="24"/>
  <c r="W133" i="24"/>
  <c r="V133" i="24"/>
  <c r="U133" i="24"/>
  <c r="T133" i="24"/>
  <c r="AB133" i="24" s="1"/>
  <c r="S133" i="24"/>
  <c r="R133" i="24"/>
  <c r="Y132" i="24"/>
  <c r="X132" i="24"/>
  <c r="W132" i="24"/>
  <c r="V132" i="24"/>
  <c r="U132" i="24"/>
  <c r="AC132" i="24" s="1"/>
  <c r="T132" i="24"/>
  <c r="S132" i="24"/>
  <c r="AA132" i="24" s="1"/>
  <c r="R132" i="24"/>
  <c r="Y131" i="24"/>
  <c r="X131" i="24"/>
  <c r="W131" i="24"/>
  <c r="V131" i="24"/>
  <c r="U131" i="24"/>
  <c r="T131" i="24"/>
  <c r="AB131" i="24" s="1"/>
  <c r="S131" i="24"/>
  <c r="R131" i="24"/>
  <c r="Y130" i="24"/>
  <c r="X130" i="24"/>
  <c r="W130" i="24"/>
  <c r="V130" i="24"/>
  <c r="U130" i="24"/>
  <c r="T130" i="24"/>
  <c r="S130" i="24"/>
  <c r="R130" i="24"/>
  <c r="Z130" i="24" s="1"/>
  <c r="Y129" i="24"/>
  <c r="X129" i="24"/>
  <c r="W129" i="24"/>
  <c r="V129" i="24"/>
  <c r="U129" i="24"/>
  <c r="T129" i="24"/>
  <c r="S129" i="24"/>
  <c r="R129" i="24"/>
  <c r="Y128" i="24"/>
  <c r="X128" i="24"/>
  <c r="W128" i="24"/>
  <c r="V128" i="24"/>
  <c r="U128" i="24"/>
  <c r="T128" i="24"/>
  <c r="S128" i="24"/>
  <c r="AA128" i="24" s="1"/>
  <c r="R128" i="24"/>
  <c r="Y127" i="24"/>
  <c r="X127" i="24"/>
  <c r="W127" i="24"/>
  <c r="V127" i="24"/>
  <c r="U127" i="24"/>
  <c r="T127" i="24"/>
  <c r="AB127" i="24" s="1"/>
  <c r="S127" i="24"/>
  <c r="R127" i="24"/>
  <c r="Y126" i="24"/>
  <c r="X126" i="24"/>
  <c r="W126" i="24"/>
  <c r="V126" i="24"/>
  <c r="U126" i="24"/>
  <c r="AC126" i="24" s="1"/>
  <c r="T126" i="24"/>
  <c r="S126" i="24"/>
  <c r="AA126" i="24" s="1"/>
  <c r="R126" i="24"/>
  <c r="Y125" i="24"/>
  <c r="X125" i="24"/>
  <c r="W125" i="24"/>
  <c r="V125" i="24"/>
  <c r="U125" i="24"/>
  <c r="T125" i="24"/>
  <c r="AB125" i="24" s="1"/>
  <c r="S125" i="24"/>
  <c r="R125" i="24"/>
  <c r="Y124" i="24"/>
  <c r="X124" i="24"/>
  <c r="W124" i="24"/>
  <c r="V124" i="24"/>
  <c r="U124" i="24"/>
  <c r="T124" i="24"/>
  <c r="S124" i="24"/>
  <c r="R124" i="24"/>
  <c r="Z124" i="24" s="1"/>
  <c r="Y123" i="24"/>
  <c r="X123" i="24"/>
  <c r="W123" i="24"/>
  <c r="V123" i="24"/>
  <c r="U123" i="24"/>
  <c r="T123" i="24"/>
  <c r="S123" i="24"/>
  <c r="R123" i="24"/>
  <c r="Y122" i="24"/>
  <c r="X122" i="24"/>
  <c r="W122" i="24"/>
  <c r="V122" i="24"/>
  <c r="U122" i="24"/>
  <c r="T122" i="24"/>
  <c r="S122" i="24"/>
  <c r="AA122" i="24" s="1"/>
  <c r="R122" i="24"/>
  <c r="Y121" i="24"/>
  <c r="X121" i="24"/>
  <c r="W121" i="24"/>
  <c r="V121" i="24"/>
  <c r="U121" i="24"/>
  <c r="T121" i="24"/>
  <c r="AB121" i="24" s="1"/>
  <c r="S121" i="24"/>
  <c r="R121" i="24"/>
  <c r="Y120" i="24"/>
  <c r="X120" i="24"/>
  <c r="W120" i="24"/>
  <c r="V120" i="24"/>
  <c r="U120" i="24"/>
  <c r="AC120" i="24" s="1"/>
  <c r="T120" i="24"/>
  <c r="S120" i="24"/>
  <c r="R120" i="24"/>
  <c r="Y119" i="24"/>
  <c r="X119" i="24"/>
  <c r="W119" i="24"/>
  <c r="V119" i="24"/>
  <c r="U119" i="24"/>
  <c r="T119" i="24"/>
  <c r="AB119" i="24" s="1"/>
  <c r="S119" i="24"/>
  <c r="R119" i="24"/>
  <c r="Y118" i="24"/>
  <c r="X118" i="24"/>
  <c r="W118" i="24"/>
  <c r="V118" i="24"/>
  <c r="U118" i="24"/>
  <c r="T118" i="24"/>
  <c r="S118" i="24"/>
  <c r="R118" i="24"/>
  <c r="Z118" i="24" s="1"/>
  <c r="Y117" i="24"/>
  <c r="X117" i="24"/>
  <c r="W117" i="24"/>
  <c r="V117" i="24"/>
  <c r="U117" i="24"/>
  <c r="T117" i="24"/>
  <c r="S117" i="24"/>
  <c r="R117" i="24"/>
  <c r="Y116" i="24"/>
  <c r="X116" i="24"/>
  <c r="W116" i="24"/>
  <c r="V116" i="24"/>
  <c r="U116" i="24"/>
  <c r="T116" i="24"/>
  <c r="S116" i="24"/>
  <c r="AA116" i="24" s="1"/>
  <c r="R116" i="24"/>
  <c r="Z116" i="24" s="1"/>
  <c r="Y115" i="24"/>
  <c r="X115" i="24"/>
  <c r="W115" i="24"/>
  <c r="V115" i="24"/>
  <c r="U115" i="24"/>
  <c r="T115" i="24"/>
  <c r="AB115" i="24" s="1"/>
  <c r="S115" i="24"/>
  <c r="R115" i="24"/>
  <c r="Y114" i="24"/>
  <c r="X114" i="24"/>
  <c r="W114" i="24"/>
  <c r="V114" i="24"/>
  <c r="U114" i="24"/>
  <c r="AC114" i="24" s="1"/>
  <c r="T114" i="24"/>
  <c r="S114" i="24"/>
  <c r="R114" i="24"/>
  <c r="Y113" i="24"/>
  <c r="X113" i="24"/>
  <c r="W113" i="24"/>
  <c r="V113" i="24"/>
  <c r="U113" i="24"/>
  <c r="T113" i="24"/>
  <c r="AB113" i="24" s="1"/>
  <c r="S113" i="24"/>
  <c r="R113" i="24"/>
  <c r="Y112" i="24"/>
  <c r="X112" i="24"/>
  <c r="W112" i="24"/>
  <c r="V112" i="24"/>
  <c r="U112" i="24"/>
  <c r="T112" i="24"/>
  <c r="S112" i="24"/>
  <c r="R112" i="24"/>
  <c r="Z112" i="24" s="1"/>
  <c r="Y111" i="24"/>
  <c r="X111" i="24"/>
  <c r="W111" i="24"/>
  <c r="V111" i="24"/>
  <c r="U111" i="24"/>
  <c r="T111" i="24"/>
  <c r="S111" i="24"/>
  <c r="R111" i="24"/>
  <c r="Y110" i="24"/>
  <c r="X110" i="24"/>
  <c r="W110" i="24"/>
  <c r="V110" i="24"/>
  <c r="U110" i="24"/>
  <c r="AC110" i="24" s="1"/>
  <c r="T110" i="24"/>
  <c r="S110" i="24"/>
  <c r="AA110" i="24" s="1"/>
  <c r="R110" i="24"/>
  <c r="Z110" i="24" s="1"/>
  <c r="Y109" i="24"/>
  <c r="X109" i="24"/>
  <c r="W109" i="24"/>
  <c r="V109" i="24"/>
  <c r="U109" i="24"/>
  <c r="T109" i="24"/>
  <c r="S109" i="24"/>
  <c r="R109" i="24"/>
  <c r="Y108" i="24"/>
  <c r="X108" i="24"/>
  <c r="W108" i="24"/>
  <c r="V108" i="24"/>
  <c r="U108" i="24"/>
  <c r="AC108" i="24" s="1"/>
  <c r="T108" i="24"/>
  <c r="S108" i="24"/>
  <c r="AA108" i="24" s="1"/>
  <c r="R108" i="24"/>
  <c r="Y107" i="24"/>
  <c r="X107" i="24"/>
  <c r="W107" i="24"/>
  <c r="V107" i="24"/>
  <c r="U107" i="24"/>
  <c r="T107" i="24"/>
  <c r="AB107" i="24" s="1"/>
  <c r="S107" i="24"/>
  <c r="R107" i="24"/>
  <c r="Y106" i="24"/>
  <c r="X106" i="24"/>
  <c r="W106" i="24"/>
  <c r="V106" i="24"/>
  <c r="U106" i="24"/>
  <c r="T106" i="24"/>
  <c r="S106" i="24"/>
  <c r="R106" i="24"/>
  <c r="Z106" i="24" s="1"/>
  <c r="Y105" i="24"/>
  <c r="X105" i="24"/>
  <c r="W105" i="24"/>
  <c r="V105" i="24"/>
  <c r="U105" i="24"/>
  <c r="T105" i="24"/>
  <c r="S105" i="24"/>
  <c r="R105" i="24"/>
  <c r="Y104" i="24"/>
  <c r="X104" i="24"/>
  <c r="W104" i="24"/>
  <c r="V104" i="24"/>
  <c r="U104" i="24"/>
  <c r="AC104" i="24" s="1"/>
  <c r="T104" i="24"/>
  <c r="S104" i="24"/>
  <c r="AA104" i="24" s="1"/>
  <c r="R104" i="24"/>
  <c r="Z104" i="24" s="1"/>
  <c r="Y103" i="24"/>
  <c r="X103" i="24"/>
  <c r="W103" i="24"/>
  <c r="V103" i="24"/>
  <c r="U103" i="24"/>
  <c r="T103" i="24"/>
  <c r="AB103" i="24" s="1"/>
  <c r="S103" i="24"/>
  <c r="R103" i="24"/>
  <c r="Y102" i="24"/>
  <c r="X102" i="24"/>
  <c r="W102" i="24"/>
  <c r="V102" i="24"/>
  <c r="U102" i="24"/>
  <c r="AC102" i="24" s="1"/>
  <c r="T102" i="24"/>
  <c r="S102" i="24"/>
  <c r="AA102" i="24" s="1"/>
  <c r="R102" i="24"/>
  <c r="Y101" i="24"/>
  <c r="X101" i="24"/>
  <c r="W101" i="24"/>
  <c r="V101" i="24"/>
  <c r="U101" i="24"/>
  <c r="T101" i="24"/>
  <c r="AB101" i="24" s="1"/>
  <c r="S101" i="24"/>
  <c r="R101" i="24"/>
  <c r="Y100" i="24"/>
  <c r="X100" i="24"/>
  <c r="W100" i="24"/>
  <c r="V100" i="24"/>
  <c r="U100" i="24"/>
  <c r="T100" i="24"/>
  <c r="S100" i="24"/>
  <c r="R100" i="24"/>
  <c r="Z100" i="24" s="1"/>
  <c r="Y99" i="24"/>
  <c r="X99" i="24"/>
  <c r="W99" i="24"/>
  <c r="V99" i="24"/>
  <c r="U99" i="24"/>
  <c r="T99" i="24"/>
  <c r="S99" i="24"/>
  <c r="R99" i="24"/>
  <c r="Y98" i="24"/>
  <c r="X98" i="24"/>
  <c r="W98" i="24"/>
  <c r="V98" i="24"/>
  <c r="U98" i="24"/>
  <c r="T98" i="24"/>
  <c r="S98" i="24"/>
  <c r="AA98" i="24" s="1"/>
  <c r="R98" i="24"/>
  <c r="Y97" i="24"/>
  <c r="X97" i="24"/>
  <c r="W97" i="24"/>
  <c r="V97" i="24"/>
  <c r="U97" i="24"/>
  <c r="T97" i="24"/>
  <c r="AB97" i="24" s="1"/>
  <c r="S97" i="24"/>
  <c r="R97" i="24"/>
  <c r="Y96" i="24"/>
  <c r="X96" i="24"/>
  <c r="W96" i="24"/>
  <c r="V96" i="24"/>
  <c r="U96" i="24"/>
  <c r="AC96" i="24" s="1"/>
  <c r="T96" i="24"/>
  <c r="S96" i="24"/>
  <c r="AA96" i="24" s="1"/>
  <c r="R96" i="24"/>
  <c r="Y95" i="24"/>
  <c r="X95" i="24"/>
  <c r="W95" i="24"/>
  <c r="V95" i="24"/>
  <c r="U95" i="24"/>
  <c r="T95" i="24"/>
  <c r="AB95" i="24" s="1"/>
  <c r="S95" i="24"/>
  <c r="R95" i="24"/>
  <c r="Y94" i="24"/>
  <c r="X94" i="24"/>
  <c r="W94" i="24"/>
  <c r="V94" i="24"/>
  <c r="U94" i="24"/>
  <c r="T94" i="24"/>
  <c r="S94" i="24"/>
  <c r="R94" i="24"/>
  <c r="Z94" i="24" s="1"/>
  <c r="Y93" i="24"/>
  <c r="X93" i="24"/>
  <c r="W93" i="24"/>
  <c r="V93" i="24"/>
  <c r="U93" i="24"/>
  <c r="T93" i="24"/>
  <c r="S93" i="24"/>
  <c r="R93" i="24"/>
  <c r="Y92" i="24"/>
  <c r="X92" i="24"/>
  <c r="W92" i="24"/>
  <c r="V92" i="24"/>
  <c r="U92" i="24"/>
  <c r="T92" i="24"/>
  <c r="S92" i="24"/>
  <c r="AA92" i="24" s="1"/>
  <c r="R92" i="24"/>
  <c r="Y91" i="24"/>
  <c r="X91" i="24"/>
  <c r="W91" i="24"/>
  <c r="V91" i="24"/>
  <c r="U91" i="24"/>
  <c r="T91" i="24"/>
  <c r="AB91" i="24" s="1"/>
  <c r="S91" i="24"/>
  <c r="R91" i="24"/>
  <c r="Y90" i="24"/>
  <c r="X90" i="24"/>
  <c r="W90" i="24"/>
  <c r="V90" i="24"/>
  <c r="U90" i="24"/>
  <c r="AC90" i="24" s="1"/>
  <c r="T90" i="24"/>
  <c r="S90" i="24"/>
  <c r="AA90" i="24" s="1"/>
  <c r="R90" i="24"/>
  <c r="Y89" i="24"/>
  <c r="X89" i="24"/>
  <c r="W89" i="24"/>
  <c r="V89" i="24"/>
  <c r="U89" i="24"/>
  <c r="T89" i="24"/>
  <c r="AB89" i="24" s="1"/>
  <c r="S89" i="24"/>
  <c r="R89" i="24"/>
  <c r="Y88" i="24"/>
  <c r="X88" i="24"/>
  <c r="W88" i="24"/>
  <c r="V88" i="24"/>
  <c r="U88" i="24"/>
  <c r="T88" i="24"/>
  <c r="S88" i="24"/>
  <c r="R88" i="24"/>
  <c r="Z88" i="24" s="1"/>
  <c r="Y87" i="24"/>
  <c r="X87" i="24"/>
  <c r="W87" i="24"/>
  <c r="V87" i="24"/>
  <c r="U87" i="24"/>
  <c r="T87" i="24"/>
  <c r="S87" i="24"/>
  <c r="R87" i="24"/>
  <c r="Y86" i="24"/>
  <c r="X86" i="24"/>
  <c r="W86" i="24"/>
  <c r="V86" i="24"/>
  <c r="U86" i="24"/>
  <c r="T86" i="24"/>
  <c r="S86" i="24"/>
  <c r="AA86" i="24" s="1"/>
  <c r="R86" i="24"/>
  <c r="Y85" i="24"/>
  <c r="X85" i="24"/>
  <c r="W85" i="24"/>
  <c r="V85" i="24"/>
  <c r="U85" i="24"/>
  <c r="T85" i="24"/>
  <c r="AB85" i="24" s="1"/>
  <c r="S85" i="24"/>
  <c r="R85" i="24"/>
  <c r="Y84" i="24"/>
  <c r="X84" i="24"/>
  <c r="W84" i="24"/>
  <c r="V84" i="24"/>
  <c r="U84" i="24"/>
  <c r="AC84" i="24" s="1"/>
  <c r="T84" i="24"/>
  <c r="S84" i="24"/>
  <c r="AA84" i="24" s="1"/>
  <c r="R84" i="24"/>
  <c r="Y83" i="24"/>
  <c r="X83" i="24"/>
  <c r="W83" i="24"/>
  <c r="V83" i="24"/>
  <c r="U83" i="24"/>
  <c r="T83" i="24"/>
  <c r="AB83" i="24" s="1"/>
  <c r="S83" i="24"/>
  <c r="R83" i="24"/>
  <c r="Y82" i="24"/>
  <c r="X82" i="24"/>
  <c r="W82" i="24"/>
  <c r="V82" i="24"/>
  <c r="U82" i="24"/>
  <c r="T82" i="24"/>
  <c r="S82" i="24"/>
  <c r="R82" i="24"/>
  <c r="Z82" i="24" s="1"/>
  <c r="Y81" i="24"/>
  <c r="X81" i="24"/>
  <c r="W81" i="24"/>
  <c r="V81" i="24"/>
  <c r="U81" i="24"/>
  <c r="T81" i="24"/>
  <c r="S81" i="24"/>
  <c r="R81" i="24"/>
  <c r="Y80" i="24"/>
  <c r="X80" i="24"/>
  <c r="W80" i="24"/>
  <c r="V80" i="24"/>
  <c r="U80" i="24"/>
  <c r="T80" i="24"/>
  <c r="S80" i="24"/>
  <c r="AA80" i="24" s="1"/>
  <c r="R80" i="24"/>
  <c r="Y79" i="24"/>
  <c r="X79" i="24"/>
  <c r="W79" i="24"/>
  <c r="V79" i="24"/>
  <c r="U79" i="24"/>
  <c r="T79" i="24"/>
  <c r="AB79" i="24" s="1"/>
  <c r="S79" i="24"/>
  <c r="R79" i="24"/>
  <c r="Y78" i="24"/>
  <c r="X78" i="24"/>
  <c r="W78" i="24"/>
  <c r="V78" i="24"/>
  <c r="U78" i="24"/>
  <c r="AC78" i="24" s="1"/>
  <c r="T78" i="24"/>
  <c r="S78" i="24"/>
  <c r="AA78" i="24" s="1"/>
  <c r="R78" i="24"/>
  <c r="Y77" i="24"/>
  <c r="X77" i="24"/>
  <c r="W77" i="24"/>
  <c r="V77" i="24"/>
  <c r="U77" i="24"/>
  <c r="T77" i="24"/>
  <c r="AB77" i="24" s="1"/>
  <c r="S77" i="24"/>
  <c r="R77" i="24"/>
  <c r="Y76" i="24"/>
  <c r="X76" i="24"/>
  <c r="W76" i="24"/>
  <c r="V76" i="24"/>
  <c r="U76" i="24"/>
  <c r="T76" i="24"/>
  <c r="S76" i="24"/>
  <c r="R76" i="24"/>
  <c r="Z76" i="24" s="1"/>
  <c r="Y75" i="24"/>
  <c r="X75" i="24"/>
  <c r="W75" i="24"/>
  <c r="V75" i="24"/>
  <c r="U75" i="24"/>
  <c r="T75" i="24"/>
  <c r="S75" i="24"/>
  <c r="R75" i="24"/>
  <c r="Y74" i="24"/>
  <c r="X74" i="24"/>
  <c r="W74" i="24"/>
  <c r="V74" i="24"/>
  <c r="U74" i="24"/>
  <c r="T74" i="24"/>
  <c r="S74" i="24"/>
  <c r="AA74" i="24" s="1"/>
  <c r="R74" i="24"/>
  <c r="Y73" i="24"/>
  <c r="X73" i="24"/>
  <c r="W73" i="24"/>
  <c r="V73" i="24"/>
  <c r="U73" i="24"/>
  <c r="T73" i="24"/>
  <c r="AB73" i="24" s="1"/>
  <c r="S73" i="24"/>
  <c r="R73" i="24"/>
  <c r="Y72" i="24"/>
  <c r="X72" i="24"/>
  <c r="W72" i="24"/>
  <c r="V72" i="24"/>
  <c r="U72" i="24"/>
  <c r="AC72" i="24" s="1"/>
  <c r="T72" i="24"/>
  <c r="S72" i="24"/>
  <c r="AA72" i="24" s="1"/>
  <c r="R72" i="24"/>
  <c r="Y71" i="24"/>
  <c r="X71" i="24"/>
  <c r="W71" i="24"/>
  <c r="V71" i="24"/>
  <c r="U71" i="24"/>
  <c r="T71" i="24"/>
  <c r="AB71" i="24" s="1"/>
  <c r="S71" i="24"/>
  <c r="R71" i="24"/>
  <c r="Y70" i="24"/>
  <c r="X70" i="24"/>
  <c r="W70" i="24"/>
  <c r="V70" i="24"/>
  <c r="U70" i="24"/>
  <c r="T70" i="24"/>
  <c r="S70" i="24"/>
  <c r="R70" i="24"/>
  <c r="Z70" i="24" s="1"/>
  <c r="Y69" i="24"/>
  <c r="X69" i="24"/>
  <c r="W69" i="24"/>
  <c r="V69" i="24"/>
  <c r="U69" i="24"/>
  <c r="T69" i="24"/>
  <c r="S69" i="24"/>
  <c r="R69" i="24"/>
  <c r="Y68" i="24"/>
  <c r="X68" i="24"/>
  <c r="W68" i="24"/>
  <c r="V68" i="24"/>
  <c r="U68" i="24"/>
  <c r="T68" i="24"/>
  <c r="S68" i="24"/>
  <c r="AA68" i="24" s="1"/>
  <c r="R68" i="24"/>
  <c r="Y67" i="24"/>
  <c r="X67" i="24"/>
  <c r="W67" i="24"/>
  <c r="V67" i="24"/>
  <c r="U67" i="24"/>
  <c r="T67" i="24"/>
  <c r="AB67" i="24" s="1"/>
  <c r="S67" i="24"/>
  <c r="R67" i="24"/>
  <c r="Y66" i="24"/>
  <c r="X66" i="24"/>
  <c r="W66" i="24"/>
  <c r="V66" i="24"/>
  <c r="U66" i="24"/>
  <c r="AC66" i="24" s="1"/>
  <c r="T66" i="24"/>
  <c r="S66" i="24"/>
  <c r="AA66" i="24" s="1"/>
  <c r="R66" i="24"/>
  <c r="Y65" i="24"/>
  <c r="X65" i="24"/>
  <c r="W65" i="24"/>
  <c r="V65" i="24"/>
  <c r="U65" i="24"/>
  <c r="T65" i="24"/>
  <c r="AB65" i="24" s="1"/>
  <c r="S65" i="24"/>
  <c r="R65" i="24"/>
  <c r="Y64" i="24"/>
  <c r="X64" i="24"/>
  <c r="W64" i="24"/>
  <c r="V64" i="24"/>
  <c r="U64" i="24"/>
  <c r="T64" i="24"/>
  <c r="S64" i="24"/>
  <c r="R64" i="24"/>
  <c r="Z64" i="24" s="1"/>
  <c r="Y63" i="24"/>
  <c r="X63" i="24"/>
  <c r="W63" i="24"/>
  <c r="V63" i="24"/>
  <c r="U63" i="24"/>
  <c r="T63" i="24"/>
  <c r="S63" i="24"/>
  <c r="R63" i="24"/>
  <c r="Y62" i="24"/>
  <c r="X62" i="24"/>
  <c r="W62" i="24"/>
  <c r="V62" i="24"/>
  <c r="U62" i="24"/>
  <c r="T62" i="24"/>
  <c r="S62" i="24"/>
  <c r="AA62" i="24" s="1"/>
  <c r="R62" i="24"/>
  <c r="Y61" i="24"/>
  <c r="X61" i="24"/>
  <c r="W61" i="24"/>
  <c r="V61" i="24"/>
  <c r="U61" i="24"/>
  <c r="T61" i="24"/>
  <c r="AB61" i="24" s="1"/>
  <c r="S61" i="24"/>
  <c r="R61" i="24"/>
  <c r="Y60" i="24"/>
  <c r="X60" i="24"/>
  <c r="W60" i="24"/>
  <c r="V60" i="24"/>
  <c r="U60" i="24"/>
  <c r="AC60" i="24" s="1"/>
  <c r="T60" i="24"/>
  <c r="S60" i="24"/>
  <c r="AA60" i="24" s="1"/>
  <c r="R60" i="24"/>
  <c r="Y59" i="24"/>
  <c r="X59" i="24"/>
  <c r="W59" i="24"/>
  <c r="V59" i="24"/>
  <c r="U59" i="24"/>
  <c r="T59" i="24"/>
  <c r="AB59" i="24" s="1"/>
  <c r="S59" i="24"/>
  <c r="R59" i="24"/>
  <c r="Y58" i="24"/>
  <c r="X58" i="24"/>
  <c r="W58" i="24"/>
  <c r="V58" i="24"/>
  <c r="U58" i="24"/>
  <c r="T58" i="24"/>
  <c r="S58" i="24"/>
  <c r="R58" i="24"/>
  <c r="Z58" i="24" s="1"/>
  <c r="Y57" i="24"/>
  <c r="X57" i="24"/>
  <c r="W57" i="24"/>
  <c r="V57" i="24"/>
  <c r="U57" i="24"/>
  <c r="T57" i="24"/>
  <c r="S57" i="24"/>
  <c r="R57" i="24"/>
  <c r="Y56" i="24"/>
  <c r="X56" i="24"/>
  <c r="W56" i="24"/>
  <c r="V56" i="24"/>
  <c r="U56" i="24"/>
  <c r="T56" i="24"/>
  <c r="S56" i="24"/>
  <c r="AA56" i="24" s="1"/>
  <c r="R56" i="24"/>
  <c r="Y55" i="24"/>
  <c r="X55" i="24"/>
  <c r="W55" i="24"/>
  <c r="V55" i="24"/>
  <c r="U55" i="24"/>
  <c r="T55" i="24"/>
  <c r="AB55" i="24" s="1"/>
  <c r="S55" i="24"/>
  <c r="R55" i="24"/>
  <c r="Y54" i="24"/>
  <c r="X54" i="24"/>
  <c r="W54" i="24"/>
  <c r="V54" i="24"/>
  <c r="U54" i="24"/>
  <c r="AC54" i="24" s="1"/>
  <c r="T54" i="24"/>
  <c r="S54" i="24"/>
  <c r="AA54" i="24" s="1"/>
  <c r="R54" i="24"/>
  <c r="Y53" i="24"/>
  <c r="X53" i="24"/>
  <c r="W53" i="24"/>
  <c r="V53" i="24"/>
  <c r="U53" i="24"/>
  <c r="T53" i="24"/>
  <c r="AB53" i="24" s="1"/>
  <c r="S53" i="24"/>
  <c r="R53" i="24"/>
  <c r="Y52" i="24"/>
  <c r="X52" i="24"/>
  <c r="W52" i="24"/>
  <c r="V52" i="24"/>
  <c r="U52" i="24"/>
  <c r="T52" i="24"/>
  <c r="S52" i="24"/>
  <c r="R52" i="24"/>
  <c r="Z52" i="24" s="1"/>
  <c r="Y51" i="24"/>
  <c r="X51" i="24"/>
  <c r="W51" i="24"/>
  <c r="V51" i="24"/>
  <c r="U51" i="24"/>
  <c r="T51" i="24"/>
  <c r="S51" i="24"/>
  <c r="R51" i="24"/>
  <c r="Y50" i="24"/>
  <c r="X50" i="24"/>
  <c r="W50" i="24"/>
  <c r="V50" i="24"/>
  <c r="U50" i="24"/>
  <c r="T50" i="24"/>
  <c r="S50" i="24"/>
  <c r="AA50" i="24" s="1"/>
  <c r="R50" i="24"/>
  <c r="Y49" i="24"/>
  <c r="X49" i="24"/>
  <c r="W49" i="24"/>
  <c r="V49" i="24"/>
  <c r="U49" i="24"/>
  <c r="T49" i="24"/>
  <c r="AB49" i="24" s="1"/>
  <c r="S49" i="24"/>
  <c r="R49" i="24"/>
  <c r="Y48" i="24"/>
  <c r="X48" i="24"/>
  <c r="W48" i="24"/>
  <c r="V48" i="24"/>
  <c r="U48" i="24"/>
  <c r="AC48" i="24" s="1"/>
  <c r="T48" i="24"/>
  <c r="S48" i="24"/>
  <c r="AA48" i="24" s="1"/>
  <c r="R48" i="24"/>
  <c r="Y47" i="24"/>
  <c r="X47" i="24"/>
  <c r="W47" i="24"/>
  <c r="V47" i="24"/>
  <c r="U47" i="24"/>
  <c r="T47" i="24"/>
  <c r="AB47" i="24" s="1"/>
  <c r="S47" i="24"/>
  <c r="R47" i="24"/>
  <c r="Y46" i="24"/>
  <c r="X46" i="24"/>
  <c r="W46" i="24"/>
  <c r="V46" i="24"/>
  <c r="U46" i="24"/>
  <c r="T46" i="24"/>
  <c r="S46" i="24"/>
  <c r="R46" i="24"/>
  <c r="Z46" i="24" s="1"/>
  <c r="Y45" i="24"/>
  <c r="X45" i="24"/>
  <c r="W45" i="24"/>
  <c r="V45" i="24"/>
  <c r="U45" i="24"/>
  <c r="T45" i="24"/>
  <c r="S45" i="24"/>
  <c r="R45" i="24"/>
  <c r="Y44" i="24"/>
  <c r="X44" i="24"/>
  <c r="W44" i="24"/>
  <c r="V44" i="24"/>
  <c r="U44" i="24"/>
  <c r="T44" i="24"/>
  <c r="S44" i="24"/>
  <c r="AA44" i="24" s="1"/>
  <c r="R44" i="24"/>
  <c r="Y43" i="24"/>
  <c r="X43" i="24"/>
  <c r="W43" i="24"/>
  <c r="V43" i="24"/>
  <c r="U43" i="24"/>
  <c r="T43" i="24"/>
  <c r="AB43" i="24" s="1"/>
  <c r="S43" i="24"/>
  <c r="R43" i="24"/>
  <c r="Y42" i="24"/>
  <c r="X42" i="24"/>
  <c r="W42" i="24"/>
  <c r="V42" i="24"/>
  <c r="U42" i="24"/>
  <c r="AC42" i="24" s="1"/>
  <c r="T42" i="24"/>
  <c r="S42" i="24"/>
  <c r="AA42" i="24" s="1"/>
  <c r="R42" i="24"/>
  <c r="Y41" i="24"/>
  <c r="X41" i="24"/>
  <c r="W41" i="24"/>
  <c r="V41" i="24"/>
  <c r="U41" i="24"/>
  <c r="T41" i="24"/>
  <c r="AB41" i="24" s="1"/>
  <c r="S41" i="24"/>
  <c r="R41" i="24"/>
  <c r="Y40" i="24"/>
  <c r="X40" i="24"/>
  <c r="W40" i="24"/>
  <c r="V40" i="24"/>
  <c r="U40" i="24"/>
  <c r="T40" i="24"/>
  <c r="S40" i="24"/>
  <c r="R40" i="24"/>
  <c r="Z40" i="24" s="1"/>
  <c r="Y39" i="24"/>
  <c r="X39" i="24"/>
  <c r="W39" i="24"/>
  <c r="V39" i="24"/>
  <c r="U39" i="24"/>
  <c r="T39" i="24"/>
  <c r="S39" i="24"/>
  <c r="R39" i="24"/>
  <c r="Y38" i="24"/>
  <c r="X38" i="24"/>
  <c r="W38" i="24"/>
  <c r="V38" i="24"/>
  <c r="U38" i="24"/>
  <c r="T38" i="24"/>
  <c r="S38" i="24"/>
  <c r="AA38" i="24" s="1"/>
  <c r="R38" i="24"/>
  <c r="Y37" i="24"/>
  <c r="X37" i="24"/>
  <c r="W37" i="24"/>
  <c r="V37" i="24"/>
  <c r="U37" i="24"/>
  <c r="T37" i="24"/>
  <c r="AB37" i="24" s="1"/>
  <c r="S37" i="24"/>
  <c r="R37" i="24"/>
  <c r="Y36" i="24"/>
  <c r="X36" i="24"/>
  <c r="W36" i="24"/>
  <c r="V36" i="24"/>
  <c r="U36" i="24"/>
  <c r="AC36" i="24" s="1"/>
  <c r="T36" i="24"/>
  <c r="S36" i="24"/>
  <c r="AA36" i="24" s="1"/>
  <c r="R36" i="24"/>
  <c r="Y35" i="24"/>
  <c r="X35" i="24"/>
  <c r="W35" i="24"/>
  <c r="V35" i="24"/>
  <c r="U35" i="24"/>
  <c r="T35" i="24"/>
  <c r="AB35" i="24" s="1"/>
  <c r="S35" i="24"/>
  <c r="R35" i="24"/>
  <c r="Y34" i="24"/>
  <c r="X34" i="24"/>
  <c r="W34" i="24"/>
  <c r="V34" i="24"/>
  <c r="U34" i="24"/>
  <c r="T34" i="24"/>
  <c r="S34" i="24"/>
  <c r="R34" i="24"/>
  <c r="Z34" i="24" s="1"/>
  <c r="Y33" i="24"/>
  <c r="X33" i="24"/>
  <c r="W33" i="24"/>
  <c r="V33" i="24"/>
  <c r="U33" i="24"/>
  <c r="T33" i="24"/>
  <c r="S33" i="24"/>
  <c r="R33" i="24"/>
  <c r="Y32" i="24"/>
  <c r="X32" i="24"/>
  <c r="W32" i="24"/>
  <c r="V32" i="24"/>
  <c r="U32" i="24"/>
  <c r="T32" i="24"/>
  <c r="S32" i="24"/>
  <c r="AA32" i="24" s="1"/>
  <c r="R32" i="24"/>
  <c r="Y31" i="24"/>
  <c r="X31" i="24"/>
  <c r="W31" i="24"/>
  <c r="V31" i="24"/>
  <c r="U31" i="24"/>
  <c r="T31" i="24"/>
  <c r="AB31" i="24" s="1"/>
  <c r="S31" i="24"/>
  <c r="R31" i="24"/>
  <c r="Y30" i="24"/>
  <c r="X30" i="24"/>
  <c r="W30" i="24"/>
  <c r="V30" i="24"/>
  <c r="U30" i="24"/>
  <c r="AC30" i="24" s="1"/>
  <c r="T30" i="24"/>
  <c r="S30" i="24"/>
  <c r="AA30" i="24" s="1"/>
  <c r="R30" i="24"/>
  <c r="Y29" i="24"/>
  <c r="X29" i="24"/>
  <c r="W29" i="24"/>
  <c r="V29" i="24"/>
  <c r="U29" i="24"/>
  <c r="T29" i="24"/>
  <c r="AB29" i="24" s="1"/>
  <c r="S29" i="24"/>
  <c r="R29" i="24"/>
  <c r="Y28" i="24"/>
  <c r="X28" i="24"/>
  <c r="W28" i="24"/>
  <c r="V28" i="24"/>
  <c r="U28" i="24"/>
  <c r="T28" i="24"/>
  <c r="S28" i="24"/>
  <c r="R28" i="24"/>
  <c r="Z28" i="24" s="1"/>
  <c r="Y27" i="24"/>
  <c r="X27" i="24"/>
  <c r="W27" i="24"/>
  <c r="V27" i="24"/>
  <c r="U27" i="24"/>
  <c r="T27" i="24"/>
  <c r="S27" i="24"/>
  <c r="R27" i="24"/>
  <c r="Y26" i="24"/>
  <c r="X26" i="24"/>
  <c r="W26" i="24"/>
  <c r="V26" i="24"/>
  <c r="U26" i="24"/>
  <c r="T26" i="24"/>
  <c r="S26" i="24"/>
  <c r="AA26" i="24" s="1"/>
  <c r="R26" i="24"/>
  <c r="Y25" i="24"/>
  <c r="X25" i="24"/>
  <c r="W25" i="24"/>
  <c r="V25" i="24"/>
  <c r="U25" i="24"/>
  <c r="T25" i="24"/>
  <c r="AB25" i="24" s="1"/>
  <c r="S25" i="24"/>
  <c r="R25" i="24"/>
  <c r="Y24" i="24"/>
  <c r="X24" i="24"/>
  <c r="W24" i="24"/>
  <c r="V24" i="24"/>
  <c r="U24" i="24"/>
  <c r="AC24" i="24" s="1"/>
  <c r="T24" i="24"/>
  <c r="S24" i="24"/>
  <c r="R24" i="24"/>
  <c r="Y23" i="24"/>
  <c r="AC23" i="24" s="1"/>
  <c r="X23" i="24"/>
  <c r="W23" i="24"/>
  <c r="V23" i="24"/>
  <c r="U23" i="24"/>
  <c r="T23" i="24"/>
  <c r="AB23" i="24" s="1"/>
  <c r="S23" i="24"/>
  <c r="R23" i="24"/>
  <c r="Y22" i="24"/>
  <c r="X22" i="24"/>
  <c r="W22" i="24"/>
  <c r="V22" i="24"/>
  <c r="U22" i="24"/>
  <c r="T22" i="24"/>
  <c r="S22" i="24"/>
  <c r="R22" i="24"/>
  <c r="Z22" i="24" s="1"/>
  <c r="Y21" i="24"/>
  <c r="X21" i="24"/>
  <c r="W21" i="24"/>
  <c r="V21" i="24"/>
  <c r="U21" i="24"/>
  <c r="T21" i="24"/>
  <c r="S21" i="24"/>
  <c r="AA21" i="24" s="1"/>
  <c r="R21" i="24"/>
  <c r="Y20" i="24"/>
  <c r="AC20" i="24" s="1"/>
  <c r="X20" i="24"/>
  <c r="W20" i="24"/>
  <c r="V20" i="24"/>
  <c r="U20" i="24"/>
  <c r="T20" i="24"/>
  <c r="S20" i="24"/>
  <c r="R20" i="24"/>
  <c r="Y19" i="24"/>
  <c r="AC19" i="24" s="1"/>
  <c r="X19" i="24"/>
  <c r="W19" i="24"/>
  <c r="V19" i="24"/>
  <c r="U19" i="24"/>
  <c r="T19" i="24"/>
  <c r="AB19" i="24" s="1"/>
  <c r="S19" i="24"/>
  <c r="R19" i="24"/>
  <c r="Y18" i="24"/>
  <c r="X18" i="24"/>
  <c r="W18" i="24"/>
  <c r="V18" i="24"/>
  <c r="U18" i="24"/>
  <c r="T18" i="24"/>
  <c r="S18" i="24"/>
  <c r="R18" i="24"/>
  <c r="Y17" i="24"/>
  <c r="X17" i="24"/>
  <c r="W17" i="24"/>
  <c r="V17" i="24"/>
  <c r="U17" i="24"/>
  <c r="T17" i="24"/>
  <c r="AB17" i="24" s="1"/>
  <c r="S17" i="24"/>
  <c r="AA17" i="24" s="1"/>
  <c r="R17" i="24"/>
  <c r="Y16" i="24"/>
  <c r="X16" i="24"/>
  <c r="W16" i="24"/>
  <c r="V16" i="24"/>
  <c r="U16" i="24"/>
  <c r="T16" i="24"/>
  <c r="S16" i="24"/>
  <c r="R16" i="24"/>
  <c r="Z16" i="24" s="1"/>
  <c r="Y15" i="24"/>
  <c r="X15" i="24"/>
  <c r="W15" i="24"/>
  <c r="V15" i="24"/>
  <c r="U15" i="24"/>
  <c r="T15" i="24"/>
  <c r="AB15" i="24" s="1"/>
  <c r="S15" i="24"/>
  <c r="R15" i="24"/>
  <c r="Y14" i="24"/>
  <c r="X14" i="24"/>
  <c r="W14" i="24"/>
  <c r="V14" i="24"/>
  <c r="U14" i="24"/>
  <c r="T14" i="24"/>
  <c r="S14" i="24"/>
  <c r="R14" i="24"/>
  <c r="Z14" i="24" s="1"/>
  <c r="Y13" i="24"/>
  <c r="X13" i="24"/>
  <c r="W13" i="24"/>
  <c r="V13" i="24"/>
  <c r="U13" i="24"/>
  <c r="T13" i="24"/>
  <c r="S13" i="24"/>
  <c r="R13" i="24"/>
  <c r="Y12" i="24"/>
  <c r="AC12" i="24" s="1"/>
  <c r="X12" i="24"/>
  <c r="W12" i="24"/>
  <c r="V12" i="24"/>
  <c r="U12" i="24"/>
  <c r="T12" i="24"/>
  <c r="S12" i="24"/>
  <c r="R12" i="24"/>
  <c r="Y11" i="24"/>
  <c r="X11" i="24"/>
  <c r="W11" i="24"/>
  <c r="V11" i="24"/>
  <c r="U11" i="24"/>
  <c r="AC11" i="24" s="1"/>
  <c r="T11" i="24"/>
  <c r="S11" i="24"/>
  <c r="AA11" i="24" s="1"/>
  <c r="R11" i="24"/>
  <c r="Y10" i="24"/>
  <c r="AC10" i="24" s="1"/>
  <c r="X10" i="24"/>
  <c r="W10" i="24"/>
  <c r="V10" i="24"/>
  <c r="U10" i="24"/>
  <c r="T10" i="24"/>
  <c r="S10" i="24"/>
  <c r="R10" i="24"/>
  <c r="Z10" i="24" s="1"/>
  <c r="Y9" i="24"/>
  <c r="X9" i="24"/>
  <c r="W9" i="24"/>
  <c r="V9" i="24"/>
  <c r="U9" i="24"/>
  <c r="T9" i="24"/>
  <c r="S9" i="24"/>
  <c r="R9" i="24"/>
  <c r="Y8" i="24"/>
  <c r="X8" i="24"/>
  <c r="W8" i="24"/>
  <c r="V8" i="24"/>
  <c r="U8" i="24"/>
  <c r="T8" i="24"/>
  <c r="S8" i="24"/>
  <c r="R8" i="24"/>
  <c r="Y7" i="24"/>
  <c r="Y162" i="24" s="1"/>
  <c r="X7" i="24"/>
  <c r="X162" i="24" s="1"/>
  <c r="W7" i="24"/>
  <c r="W162" i="24" s="1"/>
  <c r="V7" i="24"/>
  <c r="U7" i="24"/>
  <c r="AC7" i="24" s="1"/>
  <c r="T7" i="24"/>
  <c r="S7" i="24"/>
  <c r="S162" i="24" s="1"/>
  <c r="R7" i="24"/>
  <c r="R162" i="24" s="1"/>
  <c r="K54" i="22" l="1"/>
  <c r="K48" i="22"/>
  <c r="AC51" i="22"/>
  <c r="K49" i="22"/>
  <c r="K50" i="22"/>
  <c r="AC85" i="22"/>
  <c r="Z11" i="24"/>
  <c r="Z13" i="24"/>
  <c r="Z15" i="24"/>
  <c r="Z17" i="24"/>
  <c r="Z21" i="24"/>
  <c r="Z23" i="24"/>
  <c r="Z27" i="24"/>
  <c r="Z29" i="24"/>
  <c r="Z33" i="24"/>
  <c r="Z35" i="24"/>
  <c r="Z39" i="24"/>
  <c r="Z41" i="24"/>
  <c r="Z45" i="24"/>
  <c r="Z47" i="24"/>
  <c r="Z51" i="24"/>
  <c r="Z53" i="24"/>
  <c r="Z57" i="24"/>
  <c r="Z59" i="24"/>
  <c r="Z63" i="24"/>
  <c r="Z65" i="24"/>
  <c r="Z69" i="24"/>
  <c r="Z71" i="24"/>
  <c r="Z75" i="24"/>
  <c r="Z77" i="24"/>
  <c r="Z81" i="24"/>
  <c r="Z83" i="24"/>
  <c r="Z87" i="24"/>
  <c r="Z89" i="24"/>
  <c r="Z93" i="24"/>
  <c r="Z95" i="24"/>
  <c r="Z99" i="24"/>
  <c r="Z101" i="24"/>
  <c r="Z105" i="24"/>
  <c r="Z111" i="24"/>
  <c r="Z117" i="24"/>
  <c r="Z119" i="24"/>
  <c r="Z123" i="24"/>
  <c r="Z125" i="24"/>
  <c r="Z129" i="24"/>
  <c r="Z131" i="24"/>
  <c r="Z135" i="24"/>
  <c r="Z137" i="24"/>
  <c r="Z149" i="24"/>
  <c r="Z153" i="24"/>
  <c r="Z161" i="24"/>
  <c r="AC76" i="22"/>
  <c r="AC80" i="22"/>
  <c r="AC93" i="22"/>
  <c r="AA9" i="24"/>
  <c r="AA10" i="24"/>
  <c r="AA15" i="24"/>
  <c r="AA16" i="24"/>
  <c r="AA22" i="24"/>
  <c r="AA25" i="24"/>
  <c r="AA31" i="24"/>
  <c r="AA37" i="24"/>
  <c r="AA43" i="24"/>
  <c r="AA49" i="24"/>
  <c r="AA55" i="24"/>
  <c r="AA61" i="24"/>
  <c r="AA67" i="24"/>
  <c r="AA73" i="24"/>
  <c r="AA79" i="24"/>
  <c r="AA85" i="24"/>
  <c r="AA91" i="24"/>
  <c r="AA97" i="24"/>
  <c r="AA103" i="24"/>
  <c r="AA109" i="24"/>
  <c r="AA111" i="24"/>
  <c r="AA115" i="24"/>
  <c r="AA117" i="24"/>
  <c r="AA121" i="24"/>
  <c r="AA127" i="24"/>
  <c r="AA133" i="24"/>
  <c r="AA149" i="24"/>
  <c r="AA153" i="24"/>
  <c r="AA161" i="24"/>
  <c r="AC94" i="22"/>
  <c r="AC13" i="24"/>
  <c r="AC16" i="24"/>
  <c r="AB18" i="24"/>
  <c r="AB24" i="24"/>
  <c r="AB30" i="24"/>
  <c r="AB36" i="24"/>
  <c r="AB42" i="24"/>
  <c r="AB48" i="24"/>
  <c r="AB54" i="24"/>
  <c r="AB60" i="24"/>
  <c r="AB66" i="24"/>
  <c r="AB72" i="24"/>
  <c r="AB78" i="24"/>
  <c r="AB84" i="24"/>
  <c r="AB90" i="24"/>
  <c r="AB96" i="24"/>
  <c r="AB102" i="24"/>
  <c r="AB108" i="24"/>
  <c r="AB112" i="24"/>
  <c r="AB114" i="24"/>
  <c r="AB120" i="24"/>
  <c r="AB126" i="24"/>
  <c r="AB132" i="24"/>
  <c r="AB138" i="24"/>
  <c r="AB154" i="24"/>
  <c r="AC25" i="24"/>
  <c r="AC29" i="24"/>
  <c r="AC31" i="24"/>
  <c r="AC35" i="24"/>
  <c r="AC37" i="24"/>
  <c r="AC41" i="24"/>
  <c r="AC43" i="24"/>
  <c r="AC47" i="24"/>
  <c r="AC49" i="24"/>
  <c r="AC53" i="24"/>
  <c r="AC55" i="24"/>
  <c r="AC59" i="24"/>
  <c r="AC61" i="24"/>
  <c r="AC65" i="24"/>
  <c r="AC67" i="24"/>
  <c r="AC71" i="24"/>
  <c r="AC73" i="24"/>
  <c r="AC77" i="24"/>
  <c r="AC79" i="24"/>
  <c r="AC83" i="24"/>
  <c r="AC85" i="24"/>
  <c r="AC89" i="24"/>
  <c r="AC91" i="24"/>
  <c r="AC95" i="24"/>
  <c r="AC97" i="24"/>
  <c r="AC103" i="24"/>
  <c r="AC109" i="24"/>
  <c r="AC115" i="24"/>
  <c r="AC119" i="24"/>
  <c r="AC121" i="24"/>
  <c r="AC125" i="24"/>
  <c r="AC127" i="24"/>
  <c r="AC131" i="24"/>
  <c r="AC133" i="24"/>
  <c r="AC137" i="24"/>
  <c r="AC139" i="24"/>
  <c r="AC153" i="24"/>
  <c r="AC161" i="24"/>
  <c r="AC92" i="22"/>
  <c r="AC90" i="22"/>
  <c r="AC84" i="22"/>
  <c r="AC83" i="22"/>
  <c r="AC79" i="22"/>
  <c r="AC81" i="22"/>
  <c r="AC91" i="22"/>
  <c r="AC96" i="22"/>
  <c r="AB12" i="24"/>
  <c r="AA18" i="24"/>
  <c r="AA24" i="24"/>
  <c r="AA27" i="24"/>
  <c r="AA33" i="24"/>
  <c r="AA39" i="24"/>
  <c r="AA45" i="24"/>
  <c r="AA51" i="24"/>
  <c r="AA57" i="24"/>
  <c r="AA63" i="24"/>
  <c r="AA69" i="24"/>
  <c r="AA75" i="24"/>
  <c r="AA81" i="24"/>
  <c r="AA87" i="24"/>
  <c r="AA93" i="24"/>
  <c r="AA99" i="24"/>
  <c r="AA105" i="24"/>
  <c r="AA123" i="24"/>
  <c r="AA129" i="24"/>
  <c r="AA135" i="24"/>
  <c r="AB7" i="24"/>
  <c r="AA8" i="24"/>
  <c r="AC17" i="24"/>
  <c r="AC18" i="24"/>
  <c r="AC21" i="24"/>
  <c r="AC26" i="24"/>
  <c r="AC27" i="24"/>
  <c r="AC32" i="24"/>
  <c r="AC33" i="24"/>
  <c r="AC38" i="24"/>
  <c r="AC39" i="24"/>
  <c r="AC44" i="24"/>
  <c r="AC45" i="24"/>
  <c r="AC50" i="24"/>
  <c r="AC51" i="24"/>
  <c r="AC56" i="24"/>
  <c r="AC57" i="24"/>
  <c r="AC62" i="24"/>
  <c r="AC63" i="24"/>
  <c r="AC68" i="24"/>
  <c r="AC69" i="24"/>
  <c r="AC74" i="24"/>
  <c r="AC75" i="24"/>
  <c r="AC80" i="24"/>
  <c r="AC81" i="24"/>
  <c r="AC86" i="24"/>
  <c r="AC87" i="24"/>
  <c r="AC92" i="24"/>
  <c r="AC93" i="24"/>
  <c r="AC98" i="24"/>
  <c r="AC99" i="24"/>
  <c r="AC105" i="24"/>
  <c r="AC111" i="24"/>
  <c r="AC116" i="24"/>
  <c r="AC117" i="24"/>
  <c r="AC122" i="24"/>
  <c r="AC123" i="24"/>
  <c r="AC128" i="24"/>
  <c r="AC129" i="24"/>
  <c r="AC134" i="24"/>
  <c r="AC135" i="24"/>
  <c r="AC140" i="24"/>
  <c r="AC149" i="24"/>
  <c r="Z107" i="24"/>
  <c r="Z113" i="24"/>
  <c r="AB8" i="24"/>
  <c r="AC8" i="24"/>
  <c r="AB13" i="24"/>
  <c r="AB14" i="24"/>
  <c r="AA19" i="24"/>
  <c r="AA20" i="24"/>
  <c r="AA23" i="24"/>
  <c r="AA28" i="24"/>
  <c r="AA29" i="24"/>
  <c r="AA34" i="24"/>
  <c r="AA35" i="24"/>
  <c r="AA40" i="24"/>
  <c r="AA41" i="24"/>
  <c r="AA46" i="24"/>
  <c r="AA47" i="24"/>
  <c r="AA52" i="24"/>
  <c r="AA53" i="24"/>
  <c r="AA58" i="24"/>
  <c r="AA59" i="24"/>
  <c r="AA64" i="24"/>
  <c r="AA65" i="24"/>
  <c r="AA70" i="24"/>
  <c r="AA71" i="24"/>
  <c r="AA76" i="24"/>
  <c r="AA77" i="24"/>
  <c r="AA82" i="24"/>
  <c r="AA83" i="24"/>
  <c r="AA88" i="24"/>
  <c r="AA89" i="24"/>
  <c r="AA94" i="24"/>
  <c r="AA95" i="24"/>
  <c r="AA100" i="24"/>
  <c r="AA101" i="24"/>
  <c r="AA106" i="24"/>
  <c r="AA107" i="24"/>
  <c r="AA112" i="24"/>
  <c r="AA113" i="24"/>
  <c r="AA118" i="24"/>
  <c r="AA119" i="24"/>
  <c r="AA124" i="24"/>
  <c r="AA125" i="24"/>
  <c r="AA130" i="24"/>
  <c r="AA131" i="24"/>
  <c r="AA136" i="24"/>
  <c r="AA137" i="24"/>
  <c r="AC14" i="24"/>
  <c r="AB20" i="24"/>
  <c r="AB26" i="24"/>
  <c r="AB32" i="24"/>
  <c r="AB38" i="24"/>
  <c r="AB44" i="24"/>
  <c r="AB50" i="24"/>
  <c r="AB56" i="24"/>
  <c r="AB62" i="24"/>
  <c r="AB68" i="24"/>
  <c r="AB74" i="24"/>
  <c r="AB80" i="24"/>
  <c r="AB86" i="24"/>
  <c r="AB92" i="24"/>
  <c r="AB98" i="24"/>
  <c r="AB104" i="24"/>
  <c r="AB109" i="24"/>
  <c r="AB110" i="24"/>
  <c r="AB116" i="24"/>
  <c r="AB122" i="24"/>
  <c r="AB128" i="24"/>
  <c r="AB134" i="24"/>
  <c r="AB140" i="24"/>
  <c r="Z12" i="24"/>
  <c r="AC22" i="24"/>
  <c r="AC28" i="24"/>
  <c r="AC34" i="24"/>
  <c r="AC40" i="24"/>
  <c r="AC46" i="24"/>
  <c r="AC52" i="24"/>
  <c r="AC58" i="24"/>
  <c r="AC64" i="24"/>
  <c r="AC70" i="24"/>
  <c r="AC76" i="24"/>
  <c r="AC82" i="24"/>
  <c r="AC88" i="24"/>
  <c r="AC94" i="24"/>
  <c r="AC100" i="24"/>
  <c r="AC101" i="24"/>
  <c r="AC106" i="24"/>
  <c r="AC107" i="24"/>
  <c r="AC112" i="24"/>
  <c r="AC113" i="24"/>
  <c r="AC118" i="24"/>
  <c r="AC124" i="24"/>
  <c r="AC130" i="24"/>
  <c r="AC136" i="24"/>
  <c r="AC150" i="24"/>
  <c r="AB9" i="24"/>
  <c r="AB10" i="24"/>
  <c r="AA12" i="24"/>
  <c r="AA13" i="24"/>
  <c r="Z18" i="24"/>
  <c r="Z19" i="24"/>
  <c r="Z24" i="24"/>
  <c r="Z25" i="24"/>
  <c r="Z30" i="24"/>
  <c r="Z31" i="24"/>
  <c r="Z36" i="24"/>
  <c r="Z37" i="24"/>
  <c r="Z42" i="24"/>
  <c r="Z43" i="24"/>
  <c r="Z48" i="24"/>
  <c r="Z49" i="24"/>
  <c r="Z54" i="24"/>
  <c r="Z55" i="24"/>
  <c r="Z60" i="24"/>
  <c r="Z61" i="24"/>
  <c r="Z66" i="24"/>
  <c r="Z67" i="24"/>
  <c r="Z72" i="24"/>
  <c r="Z73" i="24"/>
  <c r="Z78" i="24"/>
  <c r="Z79" i="24"/>
  <c r="Z84" i="24"/>
  <c r="Z85" i="24"/>
  <c r="Z90" i="24"/>
  <c r="Z91" i="24"/>
  <c r="Z96" i="24"/>
  <c r="Z97" i="24"/>
  <c r="Z102" i="24"/>
  <c r="Z103" i="24"/>
  <c r="Z108" i="24"/>
  <c r="Z109" i="24"/>
  <c r="Z114" i="24"/>
  <c r="Z115" i="24"/>
  <c r="Z120" i="24"/>
  <c r="Z121" i="24"/>
  <c r="Z126" i="24"/>
  <c r="Z127" i="24"/>
  <c r="Z132" i="24"/>
  <c r="Z133" i="24"/>
  <c r="Z138" i="24"/>
  <c r="Z139" i="24"/>
  <c r="AC9" i="24"/>
  <c r="AA114" i="24"/>
  <c r="AA120" i="24"/>
  <c r="AA139" i="24"/>
  <c r="AA7" i="24"/>
  <c r="Z8" i="24"/>
  <c r="Z9" i="24"/>
  <c r="AC15" i="24"/>
  <c r="AB16" i="24"/>
  <c r="AB21" i="24"/>
  <c r="AB22" i="24"/>
  <c r="AB27" i="24"/>
  <c r="AB28" i="24"/>
  <c r="AB33" i="24"/>
  <c r="AB34" i="24"/>
  <c r="AB39" i="24"/>
  <c r="AB40" i="24"/>
  <c r="AB45" i="24"/>
  <c r="AB46" i="24"/>
  <c r="AB51" i="24"/>
  <c r="AB52" i="24"/>
  <c r="AB57" i="24"/>
  <c r="AB58" i="24"/>
  <c r="AB63" i="24"/>
  <c r="AB64" i="24"/>
  <c r="AB69" i="24"/>
  <c r="AB70" i="24"/>
  <c r="AB75" i="24"/>
  <c r="AB76" i="24"/>
  <c r="AB81" i="24"/>
  <c r="AB82" i="24"/>
  <c r="AB87" i="24"/>
  <c r="AB88" i="24"/>
  <c r="AB93" i="24"/>
  <c r="AB94" i="24"/>
  <c r="AB99" i="24"/>
  <c r="AB100" i="24"/>
  <c r="AB105" i="24"/>
  <c r="AB106" i="24"/>
  <c r="AB111" i="24"/>
  <c r="AB117" i="24"/>
  <c r="AB118" i="24"/>
  <c r="AB123" i="24"/>
  <c r="AB124" i="24"/>
  <c r="AB129" i="24"/>
  <c r="AB130" i="24"/>
  <c r="AB135" i="24"/>
  <c r="AB136" i="24"/>
  <c r="AB149" i="24"/>
  <c r="AB150" i="24"/>
  <c r="AB11" i="24"/>
  <c r="Z20" i="24"/>
  <c r="Z26" i="24"/>
  <c r="Z32" i="24"/>
  <c r="Z38" i="24"/>
  <c r="Z44" i="24"/>
  <c r="Z50" i="24"/>
  <c r="Z56" i="24"/>
  <c r="Z62" i="24"/>
  <c r="Z68" i="24"/>
  <c r="Z74" i="24"/>
  <c r="Z80" i="24"/>
  <c r="Z86" i="24"/>
  <c r="Z92" i="24"/>
  <c r="Z98" i="24"/>
  <c r="Z122" i="24"/>
  <c r="Z128" i="24"/>
  <c r="Z134" i="24"/>
  <c r="V162" i="24"/>
  <c r="Z7" i="24"/>
  <c r="AA14" i="24"/>
  <c r="T162" i="24"/>
  <c r="U162" i="24"/>
  <c r="AG117" i="23" l="1"/>
  <c r="AF117" i="23"/>
  <c r="AE117" i="23"/>
  <c r="AD117" i="23"/>
  <c r="AC117" i="23"/>
  <c r="AB117" i="23"/>
  <c r="AA117" i="23"/>
  <c r="Z117" i="23"/>
  <c r="Y117" i="23"/>
  <c r="X117" i="23"/>
  <c r="AH116" i="23"/>
  <c r="AG116" i="23"/>
  <c r="AF116" i="23"/>
  <c r="AE116" i="23"/>
  <c r="AD116" i="23"/>
  <c r="AB116" i="23"/>
  <c r="AA116" i="23"/>
  <c r="Z116" i="23"/>
  <c r="Y116" i="23"/>
  <c r="AH115" i="23"/>
  <c r="AG115" i="23"/>
  <c r="AF115" i="23"/>
  <c r="AE115" i="23"/>
  <c r="AD115" i="23"/>
  <c r="AB115" i="23"/>
  <c r="AA115" i="23"/>
  <c r="Z115" i="23"/>
  <c r="Y115" i="23"/>
  <c r="AI115" i="23" s="1"/>
  <c r="AG114" i="23"/>
  <c r="AF114" i="23"/>
  <c r="AE114" i="23"/>
  <c r="AD114" i="23"/>
  <c r="AI114" i="23" s="1"/>
  <c r="AC114" i="23"/>
  <c r="AB114" i="23"/>
  <c r="AA114" i="23"/>
  <c r="Z114" i="23"/>
  <c r="Y114" i="23"/>
  <c r="X114" i="23"/>
  <c r="AG113" i="23"/>
  <c r="AF113" i="23"/>
  <c r="AE113" i="23"/>
  <c r="AD113" i="23"/>
  <c r="AC113" i="23"/>
  <c r="AB113" i="23"/>
  <c r="AA113" i="23"/>
  <c r="Z113" i="23"/>
  <c r="Y113" i="23"/>
  <c r="X113" i="23"/>
  <c r="AG111" i="23"/>
  <c r="AF111" i="23"/>
  <c r="AE111" i="23"/>
  <c r="AD111" i="23"/>
  <c r="AC111" i="23"/>
  <c r="AB111" i="23"/>
  <c r="AA111" i="23"/>
  <c r="Z111" i="23"/>
  <c r="Y111" i="23"/>
  <c r="X111" i="23"/>
  <c r="AG110" i="23"/>
  <c r="AF110" i="23"/>
  <c r="AK110" i="23" s="1"/>
  <c r="AE110" i="23"/>
  <c r="AD110" i="23"/>
  <c r="AC110" i="23"/>
  <c r="AB110" i="23"/>
  <c r="AL110" i="23" s="1"/>
  <c r="AA110" i="23"/>
  <c r="Z110" i="23"/>
  <c r="Y110" i="23"/>
  <c r="X110" i="23"/>
  <c r="AG109" i="23"/>
  <c r="AF109" i="23"/>
  <c r="AE109" i="23"/>
  <c r="AD109" i="23"/>
  <c r="AC109" i="23"/>
  <c r="AB109" i="23"/>
  <c r="AA109" i="23"/>
  <c r="AK109" i="23" s="1"/>
  <c r="Z109" i="23"/>
  <c r="Y109" i="23"/>
  <c r="X109" i="23"/>
  <c r="AG108" i="23"/>
  <c r="AF108" i="23"/>
  <c r="AK108" i="23" s="1"/>
  <c r="AE108" i="23"/>
  <c r="AD108" i="23"/>
  <c r="AC108" i="23"/>
  <c r="AB108" i="23"/>
  <c r="AA108" i="23"/>
  <c r="Z108" i="23"/>
  <c r="AJ108" i="23" s="1"/>
  <c r="Y108" i="23"/>
  <c r="X108" i="23"/>
  <c r="AG107" i="23"/>
  <c r="AF107" i="23"/>
  <c r="AE107" i="23"/>
  <c r="AD107" i="23"/>
  <c r="AC107" i="23"/>
  <c r="AB107" i="23"/>
  <c r="AA107" i="23"/>
  <c r="Z107" i="23"/>
  <c r="Y107" i="23"/>
  <c r="X107" i="23"/>
  <c r="AG105" i="23"/>
  <c r="AF105" i="23"/>
  <c r="AE105" i="23"/>
  <c r="AD105" i="23"/>
  <c r="AC105" i="23"/>
  <c r="AB105" i="23"/>
  <c r="AA105" i="23"/>
  <c r="Z105" i="23"/>
  <c r="Y105" i="23"/>
  <c r="X105" i="23"/>
  <c r="AH105" i="23" s="1"/>
  <c r="AG104" i="23"/>
  <c r="AF104" i="23"/>
  <c r="AE104" i="23"/>
  <c r="AD104" i="23"/>
  <c r="AC104" i="23"/>
  <c r="AH104" i="23" s="1"/>
  <c r="AB104" i="23"/>
  <c r="AA104" i="23"/>
  <c r="Z104" i="23"/>
  <c r="Y104" i="23"/>
  <c r="AG103" i="23"/>
  <c r="AF103" i="23"/>
  <c r="AK103" i="23" s="1"/>
  <c r="AE103" i="23"/>
  <c r="AD103" i="23"/>
  <c r="AC103" i="23"/>
  <c r="AB103" i="23"/>
  <c r="AA103" i="23"/>
  <c r="Z103" i="23"/>
  <c r="Y103" i="23"/>
  <c r="X103" i="23"/>
  <c r="AG102" i="23"/>
  <c r="AF102" i="23"/>
  <c r="AE102" i="23"/>
  <c r="AD102" i="23"/>
  <c r="AC102" i="23"/>
  <c r="AB102" i="23"/>
  <c r="AA102" i="23"/>
  <c r="Z102" i="23"/>
  <c r="Y102" i="23"/>
  <c r="X102" i="23"/>
  <c r="AG101" i="23"/>
  <c r="AF101" i="23"/>
  <c r="AE101" i="23"/>
  <c r="AD101" i="23"/>
  <c r="AC101" i="23"/>
  <c r="AB101" i="23"/>
  <c r="AA101" i="23"/>
  <c r="Z101" i="23"/>
  <c r="Y101" i="23"/>
  <c r="X101" i="23"/>
  <c r="AG100" i="23"/>
  <c r="AF100" i="23"/>
  <c r="AE100" i="23"/>
  <c r="AD100" i="23"/>
  <c r="AI100" i="23" s="1"/>
  <c r="AC100" i="23"/>
  <c r="AH100" i="23" s="1"/>
  <c r="AB100" i="23"/>
  <c r="AA100" i="23"/>
  <c r="Z100" i="23"/>
  <c r="Y100" i="23"/>
  <c r="AG99" i="23"/>
  <c r="AL99" i="23" s="1"/>
  <c r="AF99" i="23"/>
  <c r="AE99" i="23"/>
  <c r="AD99" i="23"/>
  <c r="AC99" i="23"/>
  <c r="AH99" i="23" s="1"/>
  <c r="AB99" i="23"/>
  <c r="AA99" i="23"/>
  <c r="Z99" i="23"/>
  <c r="Y99" i="23"/>
  <c r="AG97" i="23"/>
  <c r="AF97" i="23"/>
  <c r="AE97" i="23"/>
  <c r="AD97" i="23"/>
  <c r="AI97" i="23" s="1"/>
  <c r="AC97" i="23"/>
  <c r="AB97" i="23"/>
  <c r="AA97" i="23"/>
  <c r="Z97" i="23"/>
  <c r="Y97" i="23"/>
  <c r="X97" i="23"/>
  <c r="AG96" i="23"/>
  <c r="AF96" i="23"/>
  <c r="AE96" i="23"/>
  <c r="AD96" i="23"/>
  <c r="AC96" i="23"/>
  <c r="AH96" i="23" s="1"/>
  <c r="AB96" i="23"/>
  <c r="AA96" i="23"/>
  <c r="Z96" i="23"/>
  <c r="Y96" i="23"/>
  <c r="AG95" i="23"/>
  <c r="AL95" i="23" s="1"/>
  <c r="AF95" i="23"/>
  <c r="AE95" i="23"/>
  <c r="AD95" i="23"/>
  <c r="AC95" i="23"/>
  <c r="AH95" i="23" s="1"/>
  <c r="AB95" i="23"/>
  <c r="AA95" i="23"/>
  <c r="AK95" i="23" s="1"/>
  <c r="Z95" i="23"/>
  <c r="Y95" i="23"/>
  <c r="X95" i="23"/>
  <c r="AG93" i="23"/>
  <c r="AF93" i="23"/>
  <c r="AE93" i="23"/>
  <c r="AD93" i="23"/>
  <c r="AC93" i="23"/>
  <c r="AH93" i="23" s="1"/>
  <c r="AB93" i="23"/>
  <c r="AA93" i="23"/>
  <c r="Z93" i="23"/>
  <c r="Y93" i="23"/>
  <c r="AG92" i="23"/>
  <c r="AF92" i="23"/>
  <c r="AE92" i="23"/>
  <c r="AD92" i="23"/>
  <c r="AC92" i="23"/>
  <c r="AH92" i="23" s="1"/>
  <c r="AB92" i="23"/>
  <c r="AA92" i="23"/>
  <c r="Z92" i="23"/>
  <c r="Y92" i="23"/>
  <c r="AG90" i="23"/>
  <c r="AL90" i="23" s="1"/>
  <c r="AF90" i="23"/>
  <c r="AE90" i="23"/>
  <c r="AD90" i="23"/>
  <c r="AC90" i="23"/>
  <c r="AB90" i="23"/>
  <c r="AA90" i="23"/>
  <c r="Z90" i="23"/>
  <c r="Y90" i="23"/>
  <c r="X90" i="23"/>
  <c r="AG89" i="23"/>
  <c r="AF89" i="23"/>
  <c r="AE89" i="23"/>
  <c r="AD89" i="23"/>
  <c r="AC89" i="23"/>
  <c r="AB89" i="23"/>
  <c r="AA89" i="23"/>
  <c r="Z89" i="23"/>
  <c r="Y89" i="23"/>
  <c r="X89" i="23"/>
  <c r="AG88" i="23"/>
  <c r="AF88" i="23"/>
  <c r="AE88" i="23"/>
  <c r="AD88" i="23"/>
  <c r="AC88" i="23"/>
  <c r="AH88" i="23" s="1"/>
  <c r="AB88" i="23"/>
  <c r="AA88" i="23"/>
  <c r="Z88" i="23"/>
  <c r="Y88" i="23"/>
  <c r="AG87" i="23"/>
  <c r="AF87" i="23"/>
  <c r="AE87" i="23"/>
  <c r="AD87" i="23"/>
  <c r="AI87" i="23" s="1"/>
  <c r="AC87" i="23"/>
  <c r="AB87" i="23"/>
  <c r="AA87" i="23"/>
  <c r="Z87" i="23"/>
  <c r="Y87" i="23"/>
  <c r="X87" i="23"/>
  <c r="AG85" i="23"/>
  <c r="AL85" i="23" s="1"/>
  <c r="AF85" i="23"/>
  <c r="AE85" i="23"/>
  <c r="AD85" i="23"/>
  <c r="AC85" i="23"/>
  <c r="AH85" i="23" s="1"/>
  <c r="AB85" i="23"/>
  <c r="AA85" i="23"/>
  <c r="Z85" i="23"/>
  <c r="Y85" i="23"/>
  <c r="X85" i="23"/>
  <c r="AG84" i="23"/>
  <c r="AF84" i="23"/>
  <c r="AE84" i="23"/>
  <c r="AJ84" i="23" s="1"/>
  <c r="AD84" i="23"/>
  <c r="AC84" i="23"/>
  <c r="AB84" i="23"/>
  <c r="AA84" i="23"/>
  <c r="Z84" i="23"/>
  <c r="Y84" i="23"/>
  <c r="X84" i="23"/>
  <c r="AG83" i="23"/>
  <c r="AF83" i="23"/>
  <c r="AE83" i="23"/>
  <c r="AD83" i="23"/>
  <c r="AC83" i="23"/>
  <c r="AH83" i="23" s="1"/>
  <c r="AB83" i="23"/>
  <c r="AA83" i="23"/>
  <c r="Z83" i="23"/>
  <c r="Y83" i="23"/>
  <c r="X83" i="23"/>
  <c r="AG81" i="23"/>
  <c r="AF81" i="23"/>
  <c r="AE81" i="23"/>
  <c r="AD81" i="23"/>
  <c r="AB81" i="23"/>
  <c r="AL81" i="23" s="1"/>
  <c r="AA81" i="23"/>
  <c r="Z81" i="23"/>
  <c r="Y81" i="23"/>
  <c r="AG80" i="23"/>
  <c r="AF80" i="23"/>
  <c r="AE80" i="23"/>
  <c r="AD80" i="23"/>
  <c r="AB80" i="23"/>
  <c r="AA80" i="23"/>
  <c r="Z80" i="23"/>
  <c r="AJ80" i="23" s="1"/>
  <c r="Y80" i="23"/>
  <c r="AI80" i="23" s="1"/>
  <c r="AG79" i="23"/>
  <c r="AF79" i="23"/>
  <c r="AK79" i="23" s="1"/>
  <c r="AE79" i="23"/>
  <c r="AD79" i="23"/>
  <c r="AB79" i="23"/>
  <c r="AA79" i="23"/>
  <c r="Z79" i="23"/>
  <c r="Y79" i="23"/>
  <c r="AG78" i="23"/>
  <c r="AF78" i="23"/>
  <c r="AE78" i="23"/>
  <c r="AD78" i="23"/>
  <c r="AB78" i="23"/>
  <c r="AA78" i="23"/>
  <c r="AK78" i="23" s="1"/>
  <c r="Z78" i="23"/>
  <c r="AJ78" i="23" s="1"/>
  <c r="Y78" i="23"/>
  <c r="AI78" i="23" s="1"/>
  <c r="AG77" i="23"/>
  <c r="AF77" i="23"/>
  <c r="AE77" i="23"/>
  <c r="AD77" i="23"/>
  <c r="AB77" i="23"/>
  <c r="AL77" i="23" s="1"/>
  <c r="AA77" i="23"/>
  <c r="Z77" i="23"/>
  <c r="Y77" i="23"/>
  <c r="AG76" i="23"/>
  <c r="AF76" i="23"/>
  <c r="AE76" i="23"/>
  <c r="AD76" i="23"/>
  <c r="AB76" i="23"/>
  <c r="AA76" i="23"/>
  <c r="Z76" i="23"/>
  <c r="Y76" i="23"/>
  <c r="AG75" i="23"/>
  <c r="AF75" i="23"/>
  <c r="AE75" i="23"/>
  <c r="AD75" i="23"/>
  <c r="AB75" i="23"/>
  <c r="AL75" i="23" s="1"/>
  <c r="AA75" i="23"/>
  <c r="Z75" i="23"/>
  <c r="Y75" i="23"/>
  <c r="AG74" i="23"/>
  <c r="AF74" i="23"/>
  <c r="AE74" i="23"/>
  <c r="AD74" i="23"/>
  <c r="AB74" i="23"/>
  <c r="AA74" i="23"/>
  <c r="AK74" i="23" s="1"/>
  <c r="Z74" i="23"/>
  <c r="AJ74" i="23" s="1"/>
  <c r="Y74" i="23"/>
  <c r="AI74" i="23" s="1"/>
  <c r="AG73" i="23"/>
  <c r="AF73" i="23"/>
  <c r="AE73" i="23"/>
  <c r="AD73" i="23"/>
  <c r="AB73" i="23"/>
  <c r="AA73" i="23"/>
  <c r="Z73" i="23"/>
  <c r="Y73" i="23"/>
  <c r="AG72" i="23"/>
  <c r="AF72" i="23"/>
  <c r="AE72" i="23"/>
  <c r="AD72" i="23"/>
  <c r="AB72" i="23"/>
  <c r="AA72" i="23"/>
  <c r="AK72" i="23" s="1"/>
  <c r="Z72" i="23"/>
  <c r="AJ72" i="23" s="1"/>
  <c r="Y72" i="23"/>
  <c r="AI72" i="23" s="1"/>
  <c r="AG71" i="23"/>
  <c r="AF71" i="23"/>
  <c r="AE71" i="23"/>
  <c r="AD71" i="23"/>
  <c r="AB71" i="23"/>
  <c r="AL71" i="23" s="1"/>
  <c r="AA71" i="23"/>
  <c r="Z71" i="23"/>
  <c r="Y71" i="23"/>
  <c r="AG70" i="23"/>
  <c r="AF70" i="23"/>
  <c r="AE70" i="23"/>
  <c r="AD70" i="23"/>
  <c r="AB70" i="23"/>
  <c r="AA70" i="23"/>
  <c r="Z70" i="23"/>
  <c r="Y70" i="23"/>
  <c r="AG69" i="23"/>
  <c r="AF69" i="23"/>
  <c r="AE69" i="23"/>
  <c r="AD69" i="23"/>
  <c r="AB69" i="23"/>
  <c r="AL69" i="23" s="1"/>
  <c r="AA69" i="23"/>
  <c r="Z69" i="23"/>
  <c r="Y69" i="23"/>
  <c r="AG68" i="23"/>
  <c r="AF68" i="23"/>
  <c r="AE68" i="23"/>
  <c r="AD68" i="23"/>
  <c r="AB68" i="23"/>
  <c r="AA68" i="23"/>
  <c r="Z68" i="23"/>
  <c r="AJ68" i="23" s="1"/>
  <c r="Y68" i="23"/>
  <c r="AI68" i="23" s="1"/>
  <c r="AG67" i="23"/>
  <c r="AF67" i="23"/>
  <c r="AE67" i="23"/>
  <c r="AD67" i="23"/>
  <c r="AB67" i="23"/>
  <c r="AA67" i="23"/>
  <c r="Z67" i="23"/>
  <c r="Y67" i="23"/>
  <c r="AG66" i="23"/>
  <c r="AF66" i="23"/>
  <c r="AE66" i="23"/>
  <c r="AD66" i="23"/>
  <c r="AB66" i="23"/>
  <c r="AA66" i="23"/>
  <c r="AK66" i="23" s="1"/>
  <c r="Z66" i="23"/>
  <c r="AJ66" i="23" s="1"/>
  <c r="Y66" i="23"/>
  <c r="AI66" i="23" s="1"/>
  <c r="AG65" i="23"/>
  <c r="AF65" i="23"/>
  <c r="AE65" i="23"/>
  <c r="AD65" i="23"/>
  <c r="AB65" i="23"/>
  <c r="AL65" i="23" s="1"/>
  <c r="AA65" i="23"/>
  <c r="Z65" i="23"/>
  <c r="Y65" i="23"/>
  <c r="AG64" i="23"/>
  <c r="AF64" i="23"/>
  <c r="AE64" i="23"/>
  <c r="AD64" i="23"/>
  <c r="AB64" i="23"/>
  <c r="AA64" i="23"/>
  <c r="Z64" i="23"/>
  <c r="Y64" i="23"/>
  <c r="AG63" i="23"/>
  <c r="AF63" i="23"/>
  <c r="AE63" i="23"/>
  <c r="AD63" i="23"/>
  <c r="AB63" i="23"/>
  <c r="AL63" i="23" s="1"/>
  <c r="AA63" i="23"/>
  <c r="Z63" i="23"/>
  <c r="Y63" i="23"/>
  <c r="AG61" i="23"/>
  <c r="AF61" i="23"/>
  <c r="AE61" i="23"/>
  <c r="AD61" i="23"/>
  <c r="AB61" i="23"/>
  <c r="AA61" i="23"/>
  <c r="Z61" i="23"/>
  <c r="AJ61" i="23" s="1"/>
  <c r="Y61" i="23"/>
  <c r="AI61" i="23" s="1"/>
  <c r="AG60" i="23"/>
  <c r="AF60" i="23"/>
  <c r="AE60" i="23"/>
  <c r="AD60" i="23"/>
  <c r="AB60" i="23"/>
  <c r="AA60" i="23"/>
  <c r="Z60" i="23"/>
  <c r="Y60" i="23"/>
  <c r="AG59" i="23"/>
  <c r="AF59" i="23"/>
  <c r="AE59" i="23"/>
  <c r="AD59" i="23"/>
  <c r="AB59" i="23"/>
  <c r="AA59" i="23"/>
  <c r="AK59" i="23" s="1"/>
  <c r="Z59" i="23"/>
  <c r="AJ59" i="23" s="1"/>
  <c r="Y59" i="23"/>
  <c r="AI59" i="23" s="1"/>
  <c r="AG57" i="23"/>
  <c r="AF57" i="23"/>
  <c r="AE57" i="23"/>
  <c r="AD57" i="23"/>
  <c r="AB57" i="23"/>
  <c r="AL57" i="23" s="1"/>
  <c r="AA57" i="23"/>
  <c r="Z57" i="23"/>
  <c r="Y57" i="23"/>
  <c r="AG56" i="23"/>
  <c r="AF56" i="23"/>
  <c r="AE56" i="23"/>
  <c r="AD56" i="23"/>
  <c r="AB56" i="23"/>
  <c r="AA56" i="23"/>
  <c r="Z56" i="23"/>
  <c r="Y56" i="23"/>
  <c r="AG55" i="23"/>
  <c r="AF55" i="23"/>
  <c r="AE55" i="23"/>
  <c r="AD55" i="23"/>
  <c r="AB55" i="23"/>
  <c r="AL55" i="23" s="1"/>
  <c r="AA55" i="23"/>
  <c r="Z55" i="23"/>
  <c r="Y55" i="23"/>
  <c r="AG54" i="23"/>
  <c r="AF54" i="23"/>
  <c r="AE54" i="23"/>
  <c r="AD54" i="23"/>
  <c r="AB54" i="23"/>
  <c r="AA54" i="23"/>
  <c r="Z54" i="23"/>
  <c r="AJ54" i="23" s="1"/>
  <c r="Y54" i="23"/>
  <c r="AI54" i="23" s="1"/>
  <c r="AG53" i="23"/>
  <c r="AF53" i="23"/>
  <c r="AE53" i="23"/>
  <c r="AD53" i="23"/>
  <c r="AB53" i="23"/>
  <c r="AA53" i="23"/>
  <c r="Z53" i="23"/>
  <c r="Y53" i="23"/>
  <c r="AG51" i="23"/>
  <c r="AF51" i="23"/>
  <c r="AE51" i="23"/>
  <c r="AD51" i="23"/>
  <c r="AB51" i="23"/>
  <c r="AA51" i="23"/>
  <c r="AK51" i="23" s="1"/>
  <c r="Z51" i="23"/>
  <c r="AJ51" i="23" s="1"/>
  <c r="Y51" i="23"/>
  <c r="AI51" i="23" s="1"/>
  <c r="AG49" i="23"/>
  <c r="AF49" i="23"/>
  <c r="AE49" i="23"/>
  <c r="AD49" i="23"/>
  <c r="AB49" i="23"/>
  <c r="AL49" i="23" s="1"/>
  <c r="AA49" i="23"/>
  <c r="Z49" i="23"/>
  <c r="Y49" i="23"/>
  <c r="AG47" i="23"/>
  <c r="AF47" i="23"/>
  <c r="AE47" i="23"/>
  <c r="AD47" i="23"/>
  <c r="AB47" i="23"/>
  <c r="AA47" i="23"/>
  <c r="Z47" i="23"/>
  <c r="Y47" i="23"/>
  <c r="AG45" i="23"/>
  <c r="AF45" i="23"/>
  <c r="AE45" i="23"/>
  <c r="AD45" i="23"/>
  <c r="AB45" i="23"/>
  <c r="AL45" i="23" s="1"/>
  <c r="AA45" i="23"/>
  <c r="Z45" i="23"/>
  <c r="Y45" i="23"/>
  <c r="AG44" i="23"/>
  <c r="AF44" i="23"/>
  <c r="AE44" i="23"/>
  <c r="AD44" i="23"/>
  <c r="AB44" i="23"/>
  <c r="AA44" i="23"/>
  <c r="Z44" i="23"/>
  <c r="AJ44" i="23" s="1"/>
  <c r="Y44" i="23"/>
  <c r="AI44" i="23" s="1"/>
  <c r="AG42" i="23"/>
  <c r="AF42" i="23"/>
  <c r="AE42" i="23"/>
  <c r="AD42" i="23"/>
  <c r="AB42" i="23"/>
  <c r="AA42" i="23"/>
  <c r="Z42" i="23"/>
  <c r="Y42" i="23"/>
  <c r="AG41" i="23"/>
  <c r="AF41" i="23"/>
  <c r="AE41" i="23"/>
  <c r="AD41" i="23"/>
  <c r="AB41" i="23"/>
  <c r="AA41" i="23"/>
  <c r="AK41" i="23" s="1"/>
  <c r="Z41" i="23"/>
  <c r="Y41" i="23"/>
  <c r="AI41" i="23" s="1"/>
  <c r="AG40" i="23"/>
  <c r="AF40" i="23"/>
  <c r="AE40" i="23"/>
  <c r="AD40" i="23"/>
  <c r="AB40" i="23"/>
  <c r="AL40" i="23" s="1"/>
  <c r="AA40" i="23"/>
  <c r="Z40" i="23"/>
  <c r="Y40" i="23"/>
  <c r="AG38" i="23"/>
  <c r="AF38" i="23"/>
  <c r="AE38" i="23"/>
  <c r="AD38" i="23"/>
  <c r="AB38" i="23"/>
  <c r="AA38" i="23"/>
  <c r="Z38" i="23"/>
  <c r="Y38" i="23"/>
  <c r="AG37" i="23"/>
  <c r="AF37" i="23"/>
  <c r="AE37" i="23"/>
  <c r="AD37" i="23"/>
  <c r="AB37" i="23"/>
  <c r="AL37" i="23" s="1"/>
  <c r="AA37" i="23"/>
  <c r="Z37" i="23"/>
  <c r="Y37" i="23"/>
  <c r="AG36" i="23"/>
  <c r="AF36" i="23"/>
  <c r="AE36" i="23"/>
  <c r="AD36" i="23"/>
  <c r="AB36" i="23"/>
  <c r="AA36" i="23"/>
  <c r="AK36" i="23" s="1"/>
  <c r="Z36" i="23"/>
  <c r="Y36" i="23"/>
  <c r="AI36" i="23" s="1"/>
  <c r="AG34" i="23"/>
  <c r="AF34" i="23"/>
  <c r="AE34" i="23"/>
  <c r="AJ34" i="23" s="1"/>
  <c r="AD34" i="23"/>
  <c r="AB34" i="23"/>
  <c r="AA34" i="23"/>
  <c r="Z34" i="23"/>
  <c r="Y34" i="23"/>
  <c r="AG33" i="23"/>
  <c r="AF33" i="23"/>
  <c r="AE33" i="23"/>
  <c r="AD33" i="23"/>
  <c r="AB33" i="23"/>
  <c r="AA33" i="23"/>
  <c r="AK33" i="23" s="1"/>
  <c r="Z33" i="23"/>
  <c r="Y33" i="23"/>
  <c r="AI33" i="23" s="1"/>
  <c r="AG32" i="23"/>
  <c r="AF32" i="23"/>
  <c r="AE32" i="23"/>
  <c r="AD32" i="23"/>
  <c r="AB32" i="23"/>
  <c r="AL32" i="23" s="1"/>
  <c r="AA32" i="23"/>
  <c r="Z32" i="23"/>
  <c r="Y32" i="23"/>
  <c r="AG31" i="23"/>
  <c r="AF31" i="23"/>
  <c r="AE31" i="23"/>
  <c r="AD31" i="23"/>
  <c r="AB31" i="23"/>
  <c r="AA31" i="23"/>
  <c r="Z31" i="23"/>
  <c r="Y31" i="23"/>
  <c r="AG30" i="23"/>
  <c r="AF30" i="23"/>
  <c r="AE30" i="23"/>
  <c r="AD30" i="23"/>
  <c r="AB30" i="23"/>
  <c r="AL30" i="23" s="1"/>
  <c r="AA30" i="23"/>
  <c r="Z30" i="23"/>
  <c r="Y30" i="23"/>
  <c r="AG29" i="23"/>
  <c r="AF29" i="23"/>
  <c r="AE29" i="23"/>
  <c r="AD29" i="23"/>
  <c r="AB29" i="23"/>
  <c r="AA29" i="23"/>
  <c r="AK29" i="23" s="1"/>
  <c r="Z29" i="23"/>
  <c r="AJ29" i="23" s="1"/>
  <c r="Y29" i="23"/>
  <c r="AI29" i="23" s="1"/>
  <c r="AG27" i="23"/>
  <c r="AF27" i="23"/>
  <c r="AE27" i="23"/>
  <c r="AJ27" i="23" s="1"/>
  <c r="AD27" i="23"/>
  <c r="AC27" i="23"/>
  <c r="AB27" i="23"/>
  <c r="AA27" i="23"/>
  <c r="Z27" i="23"/>
  <c r="Y27" i="23"/>
  <c r="X27" i="23"/>
  <c r="AL26" i="23"/>
  <c r="AG26" i="23"/>
  <c r="AF26" i="23"/>
  <c r="AE26" i="23"/>
  <c r="AD26" i="23"/>
  <c r="AI26" i="23" s="1"/>
  <c r="AC26" i="23"/>
  <c r="AB26" i="23"/>
  <c r="AA26" i="23"/>
  <c r="Z26" i="23"/>
  <c r="Y26" i="23"/>
  <c r="X26" i="23"/>
  <c r="AG25" i="23"/>
  <c r="AF25" i="23"/>
  <c r="AK25" i="23" s="1"/>
  <c r="AE25" i="23"/>
  <c r="AD25" i="23"/>
  <c r="AC25" i="23"/>
  <c r="AH25" i="23" s="1"/>
  <c r="AB25" i="23"/>
  <c r="AL25" i="23" s="1"/>
  <c r="AA25" i="23"/>
  <c r="Z25" i="23"/>
  <c r="Y25" i="23"/>
  <c r="AG24" i="23"/>
  <c r="AF24" i="23"/>
  <c r="AE24" i="23"/>
  <c r="AD24" i="23"/>
  <c r="AC24" i="23"/>
  <c r="AH24" i="23" s="1"/>
  <c r="AB24" i="23"/>
  <c r="AA24" i="23"/>
  <c r="Z24" i="23"/>
  <c r="Y24" i="23"/>
  <c r="X24" i="23"/>
  <c r="AG23" i="23"/>
  <c r="AF23" i="23"/>
  <c r="AE23" i="23"/>
  <c r="AJ23" i="23" s="1"/>
  <c r="AD23" i="23"/>
  <c r="AC23" i="23"/>
  <c r="AB23" i="23"/>
  <c r="AA23" i="23"/>
  <c r="AK23" i="23" s="1"/>
  <c r="Z23" i="23"/>
  <c r="Y23" i="23"/>
  <c r="X23" i="23"/>
  <c r="AG22" i="23"/>
  <c r="AF22" i="23"/>
  <c r="AE22" i="23"/>
  <c r="AD22" i="23"/>
  <c r="AB22" i="23"/>
  <c r="AA22" i="23"/>
  <c r="Z22" i="23"/>
  <c r="Y22" i="23"/>
  <c r="X22" i="23"/>
  <c r="AH22" i="23" s="1"/>
  <c r="AG21" i="23"/>
  <c r="AF21" i="23"/>
  <c r="AE21" i="23"/>
  <c r="AD21" i="23"/>
  <c r="AC21" i="23"/>
  <c r="AB21" i="23"/>
  <c r="AA21" i="23"/>
  <c r="Z21" i="23"/>
  <c r="Y21" i="23"/>
  <c r="X21" i="23"/>
  <c r="AG20" i="23"/>
  <c r="AL20" i="23" s="1"/>
  <c r="AF20" i="23"/>
  <c r="AE20" i="23"/>
  <c r="AD20" i="23"/>
  <c r="AC20" i="23"/>
  <c r="AB20" i="23"/>
  <c r="AA20" i="23"/>
  <c r="Z20" i="23"/>
  <c r="Y20" i="23"/>
  <c r="X20" i="23"/>
  <c r="AG19" i="23"/>
  <c r="AF19" i="23"/>
  <c r="AK19" i="23" s="1"/>
  <c r="AE19" i="23"/>
  <c r="AD19" i="23"/>
  <c r="AC19" i="23"/>
  <c r="AB19" i="23"/>
  <c r="AA19" i="23"/>
  <c r="Z19" i="23"/>
  <c r="Y19" i="23"/>
  <c r="X19" i="23"/>
  <c r="AG18" i="23"/>
  <c r="AF18" i="23"/>
  <c r="AE18" i="23"/>
  <c r="AJ18" i="23" s="1"/>
  <c r="AD18" i="23"/>
  <c r="AC18" i="23"/>
  <c r="AB18" i="23"/>
  <c r="AA18" i="23"/>
  <c r="AK18" i="23" s="1"/>
  <c r="Z18" i="23"/>
  <c r="Y18" i="23"/>
  <c r="X18" i="23"/>
  <c r="AG17" i="23"/>
  <c r="AF17" i="23"/>
  <c r="AE17" i="23"/>
  <c r="AD17" i="23"/>
  <c r="AI17" i="23" s="1"/>
  <c r="AC17" i="23"/>
  <c r="AB17" i="23"/>
  <c r="AA17" i="23"/>
  <c r="AK17" i="23" s="1"/>
  <c r="Z17" i="23"/>
  <c r="Y17" i="23"/>
  <c r="X17" i="23"/>
  <c r="AG16" i="23"/>
  <c r="AF16" i="23"/>
  <c r="AE16" i="23"/>
  <c r="AJ16" i="23" s="1"/>
  <c r="AD16" i="23"/>
  <c r="AC16" i="23"/>
  <c r="AH16" i="23" s="1"/>
  <c r="AB16" i="23"/>
  <c r="AA16" i="23"/>
  <c r="AK16" i="23" s="1"/>
  <c r="Z16" i="23"/>
  <c r="Y16" i="23"/>
  <c r="AI16" i="23" s="1"/>
  <c r="X16" i="23"/>
  <c r="AG15" i="23"/>
  <c r="AF15" i="23"/>
  <c r="AE15" i="23"/>
  <c r="AD15" i="23"/>
  <c r="AI15" i="23" s="1"/>
  <c r="AC15" i="23"/>
  <c r="AB15" i="23"/>
  <c r="AA15" i="23"/>
  <c r="Z15" i="23"/>
  <c r="Y15" i="23"/>
  <c r="X15" i="23"/>
  <c r="AH15" i="23" s="1"/>
  <c r="AG14" i="23"/>
  <c r="AL14" i="23" s="1"/>
  <c r="AF14" i="23"/>
  <c r="AE14" i="23"/>
  <c r="AD14" i="23"/>
  <c r="AC14" i="23"/>
  <c r="AH14" i="23" s="1"/>
  <c r="AB14" i="23"/>
  <c r="AA14" i="23"/>
  <c r="Z14" i="23"/>
  <c r="Y14" i="23"/>
  <c r="X14" i="23"/>
  <c r="AG13" i="23"/>
  <c r="AF13" i="23"/>
  <c r="AE13" i="23"/>
  <c r="AJ13" i="23" s="1"/>
  <c r="AD13" i="23"/>
  <c r="AC13" i="23"/>
  <c r="AB13" i="23"/>
  <c r="AA13" i="23"/>
  <c r="Z13" i="23"/>
  <c r="Y13" i="23"/>
  <c r="X13" i="23"/>
  <c r="AG12" i="23"/>
  <c r="AL12" i="23" s="1"/>
  <c r="AF12" i="23"/>
  <c r="AE12" i="23"/>
  <c r="AD12" i="23"/>
  <c r="AC12" i="23"/>
  <c r="AH12" i="23" s="1"/>
  <c r="AB12" i="23"/>
  <c r="AA12" i="23"/>
  <c r="Z12" i="23"/>
  <c r="Y12" i="23"/>
  <c r="X12" i="23"/>
  <c r="AG11" i="23"/>
  <c r="AF11" i="23"/>
  <c r="AE11" i="23"/>
  <c r="AJ11" i="23" s="1"/>
  <c r="AD11" i="23"/>
  <c r="AC11" i="23"/>
  <c r="AB11" i="23"/>
  <c r="AL11" i="23" s="1"/>
  <c r="AA11" i="23"/>
  <c r="Z11" i="23"/>
  <c r="Y11" i="23"/>
  <c r="X11" i="23"/>
  <c r="AG10" i="23"/>
  <c r="AL10" i="23" s="1"/>
  <c r="AF10" i="23"/>
  <c r="AE10" i="23"/>
  <c r="AD10" i="23"/>
  <c r="AC10" i="23"/>
  <c r="AH10" i="23" s="1"/>
  <c r="AB10" i="23"/>
  <c r="AA10" i="23"/>
  <c r="AK10" i="23" s="1"/>
  <c r="Z10" i="23"/>
  <c r="Y10" i="23"/>
  <c r="X10" i="23"/>
  <c r="AG9" i="23"/>
  <c r="AF9" i="23"/>
  <c r="AE9" i="23"/>
  <c r="AD9" i="23"/>
  <c r="AC9" i="23"/>
  <c r="AB9" i="23"/>
  <c r="AL9" i="23" s="1"/>
  <c r="AA9" i="23"/>
  <c r="Z9" i="23"/>
  <c r="Y9" i="23"/>
  <c r="X9" i="23"/>
  <c r="AG8" i="23"/>
  <c r="AF8" i="23"/>
  <c r="AE8" i="23"/>
  <c r="AD8" i="23"/>
  <c r="AC8" i="23"/>
  <c r="AH8" i="23" s="1"/>
  <c r="AB8" i="23"/>
  <c r="AA8" i="23"/>
  <c r="Z8" i="23"/>
  <c r="Y8" i="23"/>
  <c r="X8" i="23"/>
  <c r="AG7" i="23"/>
  <c r="AF7" i="23"/>
  <c r="AE7" i="23"/>
  <c r="AD7" i="23"/>
  <c r="AC7" i="23"/>
  <c r="AB7" i="23"/>
  <c r="AA7" i="23"/>
  <c r="Z7" i="23"/>
  <c r="Y7" i="23"/>
  <c r="X7" i="23"/>
  <c r="AG6" i="23"/>
  <c r="AF6" i="23"/>
  <c r="AE6" i="23"/>
  <c r="AD6" i="23"/>
  <c r="AC6" i="23"/>
  <c r="AC118" i="23" s="1"/>
  <c r="AB6" i="23"/>
  <c r="AA6" i="23"/>
  <c r="Z6" i="23"/>
  <c r="Y6" i="23"/>
  <c r="Y118" i="23" s="1"/>
  <c r="X6" i="23"/>
  <c r="X118" i="23" s="1"/>
  <c r="AI10" i="23" l="1"/>
  <c r="AI24" i="23"/>
  <c r="AJ97" i="23"/>
  <c r="AJ102" i="23"/>
  <c r="AL103" i="23"/>
  <c r="AJ107" i="23"/>
  <c r="AJ109" i="23"/>
  <c r="AH113" i="23"/>
  <c r="AJ114" i="23"/>
  <c r="AJ31" i="23"/>
  <c r="AJ53" i="23"/>
  <c r="AJ67" i="23"/>
  <c r="AJ79" i="23"/>
  <c r="AK9" i="23"/>
  <c r="AK11" i="23"/>
  <c r="AK42" i="23"/>
  <c r="AK54" i="23"/>
  <c r="AK61" i="23"/>
  <c r="AK68" i="23"/>
  <c r="AK73" i="23"/>
  <c r="AK80" i="23"/>
  <c r="AK84" i="23"/>
  <c r="AK89" i="23"/>
  <c r="AI99" i="23"/>
  <c r="AJ8" i="23"/>
  <c r="AJ10" i="23"/>
  <c r="AK15" i="23"/>
  <c r="AL16" i="23"/>
  <c r="AL18" i="23"/>
  <c r="AH23" i="23"/>
  <c r="AI25" i="23"/>
  <c r="AK26" i="23"/>
  <c r="AL27" i="23"/>
  <c r="AL31" i="23"/>
  <c r="AL38" i="23"/>
  <c r="AL44" i="23"/>
  <c r="AL47" i="23"/>
  <c r="AL54" i="23"/>
  <c r="AL56" i="23"/>
  <c r="AL64" i="23"/>
  <c r="AL70" i="23"/>
  <c r="AL76" i="23"/>
  <c r="AJ83" i="23"/>
  <c r="AL84" i="23"/>
  <c r="AJ85" i="23"/>
  <c r="AK87" i="23"/>
  <c r="AJ88" i="23"/>
  <c r="AL89" i="23"/>
  <c r="AI92" i="23"/>
  <c r="AJ95" i="23"/>
  <c r="AI96" i="23"/>
  <c r="AJ99" i="23"/>
  <c r="AL100" i="23"/>
  <c r="AK102" i="23"/>
  <c r="AI105" i="23"/>
  <c r="AI108" i="23"/>
  <c r="AI113" i="23"/>
  <c r="AK114" i="23"/>
  <c r="AK115" i="23"/>
  <c r="AJ38" i="23"/>
  <c r="AJ42" i="23"/>
  <c r="AJ60" i="23"/>
  <c r="AJ73" i="23"/>
  <c r="AI12" i="23"/>
  <c r="AK13" i="23"/>
  <c r="AI22" i="23"/>
  <c r="AJ26" i="23"/>
  <c r="AK27" i="23"/>
  <c r="AK34" i="23"/>
  <c r="AK44" i="23"/>
  <c r="AK53" i="23"/>
  <c r="AK60" i="23"/>
  <c r="AK67" i="23"/>
  <c r="AI83" i="23"/>
  <c r="AK93" i="23"/>
  <c r="AL96" i="23"/>
  <c r="AK100" i="23"/>
  <c r="AL101" i="23"/>
  <c r="AH9" i="23"/>
  <c r="AH11" i="23"/>
  <c r="AJ12" i="23"/>
  <c r="AH13" i="23"/>
  <c r="AL13" i="23"/>
  <c r="AJ14" i="23"/>
  <c r="AI7" i="23"/>
  <c r="AI9" i="23"/>
  <c r="AI11" i="23"/>
  <c r="AK12" i="23"/>
  <c r="AI13" i="23"/>
  <c r="AK14" i="23"/>
  <c r="AL15" i="23"/>
  <c r="AJ17" i="23"/>
  <c r="AL24" i="23"/>
  <c r="AK24" i="23"/>
  <c r="AJ25" i="23"/>
  <c r="AH26" i="23"/>
  <c r="AI27" i="23"/>
  <c r="AI34" i="23"/>
  <c r="AI42" i="23"/>
  <c r="AI53" i="23"/>
  <c r="AI60" i="23"/>
  <c r="AI67" i="23"/>
  <c r="AI73" i="23"/>
  <c r="AI79" i="23"/>
  <c r="AK83" i="23"/>
  <c r="AI84" i="23"/>
  <c r="AK85" i="23"/>
  <c r="AL87" i="23"/>
  <c r="AK88" i="23"/>
  <c r="AJ93" i="23"/>
  <c r="AI93" i="23"/>
  <c r="AH97" i="23"/>
  <c r="AK99" i="23"/>
  <c r="AJ101" i="23"/>
  <c r="AI107" i="23"/>
  <c r="AH107" i="23"/>
  <c r="AL109" i="23"/>
  <c r="AH111" i="23"/>
  <c r="AL111" i="23"/>
  <c r="AH114" i="23"/>
  <c r="AL115" i="23"/>
  <c r="AA118" i="23"/>
  <c r="AI30" i="23"/>
  <c r="AI37" i="23"/>
  <c r="AI45" i="23"/>
  <c r="AI55" i="23"/>
  <c r="AI63" i="23"/>
  <c r="AI69" i="23"/>
  <c r="AI75" i="23"/>
  <c r="AI81" i="23"/>
  <c r="Z118" i="23"/>
  <c r="AB118" i="23"/>
  <c r="AK8" i="23"/>
  <c r="AJ22" i="23"/>
  <c r="AJ30" i="23"/>
  <c r="AJ33" i="23"/>
  <c r="AJ37" i="23"/>
  <c r="AJ41" i="23"/>
  <c r="AJ45" i="23"/>
  <c r="AJ55" i="23"/>
  <c r="AJ63" i="23"/>
  <c r="AJ69" i="23"/>
  <c r="AJ75" i="23"/>
  <c r="AJ81" i="23"/>
  <c r="AL83" i="23"/>
  <c r="AI95" i="23"/>
  <c r="AJ96" i="23"/>
  <c r="AK97" i="23"/>
  <c r="AH108" i="23"/>
  <c r="AH109" i="23"/>
  <c r="AH110" i="23"/>
  <c r="AI111" i="23"/>
  <c r="AJ113" i="23"/>
  <c r="AL114" i="23"/>
  <c r="AJ7" i="23"/>
  <c r="AL8" i="23"/>
  <c r="AH21" i="23"/>
  <c r="AK22" i="23"/>
  <c r="AL23" i="23"/>
  <c r="AK30" i="23"/>
  <c r="AK37" i="23"/>
  <c r="AK45" i="23"/>
  <c r="AK55" i="23"/>
  <c r="AK63" i="23"/>
  <c r="AK69" i="23"/>
  <c r="AK75" i="23"/>
  <c r="AK81" i="23"/>
  <c r="AK96" i="23"/>
  <c r="AL97" i="23"/>
  <c r="AI109" i="23"/>
  <c r="AI110" i="23"/>
  <c r="AJ111" i="23"/>
  <c r="AK113" i="23"/>
  <c r="AF118" i="23"/>
  <c r="AL7" i="23"/>
  <c r="AL17" i="23"/>
  <c r="AL19" i="23"/>
  <c r="AH20" i="23"/>
  <c r="AI21" i="23"/>
  <c r="AL22" i="23"/>
  <c r="AL33" i="23"/>
  <c r="AL41" i="23"/>
  <c r="AL51" i="23"/>
  <c r="AL59" i="23"/>
  <c r="AL66" i="23"/>
  <c r="AL72" i="23"/>
  <c r="AL78" i="23"/>
  <c r="AH84" i="23"/>
  <c r="AI85" i="23"/>
  <c r="AJ92" i="23"/>
  <c r="AJ100" i="23"/>
  <c r="AJ110" i="23"/>
  <c r="AK111" i="23"/>
  <c r="AL113" i="23"/>
  <c r="AH117" i="23"/>
  <c r="AG118" i="23"/>
  <c r="AH17" i="23"/>
  <c r="AH18" i="23"/>
  <c r="AH19" i="23"/>
  <c r="AI20" i="23"/>
  <c r="AJ21" i="23"/>
  <c r="AI31" i="23"/>
  <c r="AI32" i="23"/>
  <c r="AI38" i="23"/>
  <c r="AI40" i="23"/>
  <c r="AI47" i="23"/>
  <c r="AI49" i="23"/>
  <c r="AI56" i="23"/>
  <c r="AI57" i="23"/>
  <c r="AI64" i="23"/>
  <c r="AI65" i="23"/>
  <c r="AI70" i="23"/>
  <c r="AI71" i="23"/>
  <c r="AI76" i="23"/>
  <c r="AI77" i="23"/>
  <c r="AJ87" i="23"/>
  <c r="AH90" i="23"/>
  <c r="AK92" i="23"/>
  <c r="AL93" i="23"/>
  <c r="AK101" i="23"/>
  <c r="AI104" i="23"/>
  <c r="AJ105" i="23"/>
  <c r="AK107" i="23"/>
  <c r="AJ115" i="23"/>
  <c r="AL116" i="23"/>
  <c r="AI117" i="23"/>
  <c r="AK7" i="23"/>
  <c r="AH6" i="23"/>
  <c r="AI18" i="23"/>
  <c r="AI19" i="23"/>
  <c r="AJ20" i="23"/>
  <c r="AK21" i="23"/>
  <c r="AJ32" i="23"/>
  <c r="AJ36" i="23"/>
  <c r="AJ40" i="23"/>
  <c r="AJ47" i="23"/>
  <c r="AJ49" i="23"/>
  <c r="AJ56" i="23"/>
  <c r="AJ57" i="23"/>
  <c r="AJ64" i="23"/>
  <c r="AJ65" i="23"/>
  <c r="AJ70" i="23"/>
  <c r="AJ71" i="23"/>
  <c r="AJ76" i="23"/>
  <c r="AJ77" i="23"/>
  <c r="AL88" i="23"/>
  <c r="AH89" i="23"/>
  <c r="AI90" i="23"/>
  <c r="AL92" i="23"/>
  <c r="AL102" i="23"/>
  <c r="AH103" i="23"/>
  <c r="AJ104" i="23"/>
  <c r="AK105" i="23"/>
  <c r="AL107" i="23"/>
  <c r="AL108" i="23"/>
  <c r="AI116" i="23"/>
  <c r="AJ117" i="23"/>
  <c r="AE118" i="23"/>
  <c r="AH7" i="23"/>
  <c r="AI8" i="23"/>
  <c r="AJ19" i="23"/>
  <c r="AK20" i="23"/>
  <c r="AL21" i="23"/>
  <c r="AI23" i="23"/>
  <c r="AK31" i="23"/>
  <c r="AK32" i="23"/>
  <c r="AK38" i="23"/>
  <c r="AK40" i="23"/>
  <c r="AK47" i="23"/>
  <c r="AK49" i="23"/>
  <c r="AK56" i="23"/>
  <c r="AK57" i="23"/>
  <c r="AK64" i="23"/>
  <c r="AK65" i="23"/>
  <c r="AK70" i="23"/>
  <c r="AK71" i="23"/>
  <c r="AK76" i="23"/>
  <c r="AK77" i="23"/>
  <c r="AI89" i="23"/>
  <c r="AJ90" i="23"/>
  <c r="AH101" i="23"/>
  <c r="AH102" i="23"/>
  <c r="AI103" i="23"/>
  <c r="AK104" i="23"/>
  <c r="AL105" i="23"/>
  <c r="AJ116" i="23"/>
  <c r="AK117" i="23"/>
  <c r="AD118" i="23"/>
  <c r="AJ9" i="23"/>
  <c r="AI14" i="23"/>
  <c r="AJ15" i="23"/>
  <c r="AJ24" i="23"/>
  <c r="AH27" i="23"/>
  <c r="AL29" i="23"/>
  <c r="AL34" i="23"/>
  <c r="AL36" i="23"/>
  <c r="AL42" i="23"/>
  <c r="AL53" i="23"/>
  <c r="AL60" i="23"/>
  <c r="AL61" i="23"/>
  <c r="AL67" i="23"/>
  <c r="AL68" i="23"/>
  <c r="AL73" i="23"/>
  <c r="AL74" i="23"/>
  <c r="AL79" i="23"/>
  <c r="AL80" i="23"/>
  <c r="AH87" i="23"/>
  <c r="AI88" i="23"/>
  <c r="AJ89" i="23"/>
  <c r="AK90" i="23"/>
  <c r="AI101" i="23"/>
  <c r="AI102" i="23"/>
  <c r="AJ103" i="23"/>
  <c r="AL104" i="23"/>
  <c r="AK116" i="23"/>
  <c r="AL117" i="23"/>
  <c r="AI6" i="23"/>
  <c r="AJ6" i="23"/>
  <c r="AK6" i="23"/>
  <c r="AL6" i="23"/>
  <c r="Y75" i="22" l="1"/>
  <c r="X75" i="22"/>
  <c r="AB75" i="22" s="1"/>
  <c r="W75" i="22"/>
  <c r="AA75" i="22" s="1"/>
  <c r="V75" i="22"/>
  <c r="Z75" i="22" s="1"/>
  <c r="U75" i="22"/>
  <c r="Y71" i="22"/>
  <c r="X71" i="22"/>
  <c r="AB71" i="22" s="1"/>
  <c r="W71" i="22"/>
  <c r="AA71" i="22" s="1"/>
  <c r="V71" i="22"/>
  <c r="Z71" i="22" s="1"/>
  <c r="U71" i="22"/>
  <c r="AC71" i="22" s="1"/>
  <c r="Y70" i="22"/>
  <c r="X70" i="22"/>
  <c r="AB70" i="22" s="1"/>
  <c r="W70" i="22"/>
  <c r="AA70" i="22" s="1"/>
  <c r="V70" i="22"/>
  <c r="Z70" i="22" s="1"/>
  <c r="U70" i="22"/>
  <c r="Y69" i="22"/>
  <c r="X69" i="22"/>
  <c r="AB69" i="22" s="1"/>
  <c r="W69" i="22"/>
  <c r="AA69" i="22" s="1"/>
  <c r="V69" i="22"/>
  <c r="Z69" i="22" s="1"/>
  <c r="U69" i="22"/>
  <c r="Y68" i="22"/>
  <c r="X68" i="22"/>
  <c r="AB68" i="22" s="1"/>
  <c r="W68" i="22"/>
  <c r="AA68" i="22" s="1"/>
  <c r="V68" i="22"/>
  <c r="Z68" i="22" s="1"/>
  <c r="U68" i="22"/>
  <c r="Y67" i="22"/>
  <c r="X67" i="22"/>
  <c r="AB67" i="22" s="1"/>
  <c r="W67" i="22"/>
  <c r="AA67" i="22" s="1"/>
  <c r="V67" i="22"/>
  <c r="Z67" i="22" s="1"/>
  <c r="U67" i="22"/>
  <c r="Y66" i="22"/>
  <c r="X66" i="22"/>
  <c r="AB66" i="22" s="1"/>
  <c r="W66" i="22"/>
  <c r="AA66" i="22" s="1"/>
  <c r="V66" i="22"/>
  <c r="Z66" i="22" s="1"/>
  <c r="U66" i="22"/>
  <c r="Y65" i="22"/>
  <c r="X65" i="22"/>
  <c r="AB65" i="22" s="1"/>
  <c r="W65" i="22"/>
  <c r="AA65" i="22" s="1"/>
  <c r="V65" i="22"/>
  <c r="Z65" i="22" s="1"/>
  <c r="U65" i="22"/>
  <c r="Y63" i="22"/>
  <c r="X63" i="22"/>
  <c r="AB63" i="22" s="1"/>
  <c r="W63" i="22"/>
  <c r="AA63" i="22" s="1"/>
  <c r="V63" i="22"/>
  <c r="Z63" i="22" s="1"/>
  <c r="U63" i="22"/>
  <c r="Y62" i="22"/>
  <c r="X62" i="22"/>
  <c r="AB62" i="22" s="1"/>
  <c r="W62" i="22"/>
  <c r="AA62" i="22" s="1"/>
  <c r="V62" i="22"/>
  <c r="Z62" i="22" s="1"/>
  <c r="U62" i="22"/>
  <c r="Y61" i="22"/>
  <c r="X61" i="22"/>
  <c r="AB61" i="22" s="1"/>
  <c r="W61" i="22"/>
  <c r="AA61" i="22" s="1"/>
  <c r="V61" i="22"/>
  <c r="Z61" i="22" s="1"/>
  <c r="U61" i="22"/>
  <c r="Y60" i="22"/>
  <c r="X60" i="22"/>
  <c r="AB60" i="22" s="1"/>
  <c r="W60" i="22"/>
  <c r="AA60" i="22" s="1"/>
  <c r="V60" i="22"/>
  <c r="Z60" i="22" s="1"/>
  <c r="U60" i="22"/>
  <c r="Y59" i="22"/>
  <c r="X59" i="22"/>
  <c r="AB59" i="22" s="1"/>
  <c r="W59" i="22"/>
  <c r="AA59" i="22" s="1"/>
  <c r="V59" i="22"/>
  <c r="Z59" i="22" s="1"/>
  <c r="U59" i="22"/>
  <c r="Y54" i="22"/>
  <c r="X54" i="22"/>
  <c r="AB54" i="22" s="1"/>
  <c r="W54" i="22"/>
  <c r="AA54" i="22" s="1"/>
  <c r="V54" i="22"/>
  <c r="Z54" i="22" s="1"/>
  <c r="U54" i="22"/>
  <c r="Y53" i="22"/>
  <c r="X53" i="22"/>
  <c r="AB53" i="22" s="1"/>
  <c r="W53" i="22"/>
  <c r="AA53" i="22" s="1"/>
  <c r="V53" i="22"/>
  <c r="Z53" i="22" s="1"/>
  <c r="U53" i="22"/>
  <c r="Y50" i="22"/>
  <c r="X50" i="22"/>
  <c r="AB50" i="22" s="1"/>
  <c r="W50" i="22"/>
  <c r="AA50" i="22" s="1"/>
  <c r="V50" i="22"/>
  <c r="Z50" i="22" s="1"/>
  <c r="U50" i="22"/>
  <c r="Y49" i="22"/>
  <c r="X49" i="22"/>
  <c r="AB49" i="22" s="1"/>
  <c r="W49" i="22"/>
  <c r="AA49" i="22" s="1"/>
  <c r="V49" i="22"/>
  <c r="Z49" i="22" s="1"/>
  <c r="U49" i="22"/>
  <c r="Y48" i="22"/>
  <c r="X48" i="22"/>
  <c r="AB48" i="22" s="1"/>
  <c r="W48" i="22"/>
  <c r="AA48" i="22" s="1"/>
  <c r="V48" i="22"/>
  <c r="Z48" i="22" s="1"/>
  <c r="U48" i="22"/>
  <c r="Y47" i="22"/>
  <c r="X47" i="22"/>
  <c r="AB47" i="22" s="1"/>
  <c r="W47" i="22"/>
  <c r="AA47" i="22" s="1"/>
  <c r="V47" i="22"/>
  <c r="Z47" i="22" s="1"/>
  <c r="U47" i="22"/>
  <c r="Y46" i="22"/>
  <c r="X46" i="22"/>
  <c r="AB46" i="22" s="1"/>
  <c r="W46" i="22"/>
  <c r="AA46" i="22" s="1"/>
  <c r="V46" i="22"/>
  <c r="Z46" i="22" s="1"/>
  <c r="U46" i="22"/>
  <c r="Y45" i="22"/>
  <c r="X45" i="22"/>
  <c r="AB45" i="22" s="1"/>
  <c r="W45" i="22"/>
  <c r="AA45" i="22" s="1"/>
  <c r="V45" i="22"/>
  <c r="Z45" i="22" s="1"/>
  <c r="U45" i="22"/>
  <c r="Y44" i="22"/>
  <c r="X44" i="22"/>
  <c r="AB44" i="22" s="1"/>
  <c r="W44" i="22"/>
  <c r="AA44" i="22" s="1"/>
  <c r="V44" i="22"/>
  <c r="Z44" i="22" s="1"/>
  <c r="U44" i="22"/>
  <c r="Y43" i="22"/>
  <c r="X43" i="22"/>
  <c r="AB43" i="22" s="1"/>
  <c r="W43" i="22"/>
  <c r="AA43" i="22" s="1"/>
  <c r="V43" i="22"/>
  <c r="Z43" i="22" s="1"/>
  <c r="U43" i="22"/>
  <c r="Y42" i="22"/>
  <c r="X42" i="22"/>
  <c r="AB42" i="22" s="1"/>
  <c r="W42" i="22"/>
  <c r="AA42" i="22" s="1"/>
  <c r="V42" i="22"/>
  <c r="Z42" i="22" s="1"/>
  <c r="U42" i="22"/>
  <c r="Y41" i="22"/>
  <c r="X41" i="22"/>
  <c r="AB41" i="22" s="1"/>
  <c r="W41" i="22"/>
  <c r="AA41" i="22" s="1"/>
  <c r="V41" i="22"/>
  <c r="Z41" i="22" s="1"/>
  <c r="U41" i="22"/>
  <c r="Y40" i="22"/>
  <c r="X40" i="22"/>
  <c r="AB40" i="22" s="1"/>
  <c r="W40" i="22"/>
  <c r="AA40" i="22" s="1"/>
  <c r="V40" i="22"/>
  <c r="Z40" i="22" s="1"/>
  <c r="U40" i="22"/>
  <c r="Y39" i="22"/>
  <c r="X39" i="22"/>
  <c r="AB39" i="22" s="1"/>
  <c r="W39" i="22"/>
  <c r="AA39" i="22" s="1"/>
  <c r="V39" i="22"/>
  <c r="Z39" i="22" s="1"/>
  <c r="U39" i="22"/>
  <c r="Y38" i="22"/>
  <c r="X38" i="22"/>
  <c r="AB38" i="22" s="1"/>
  <c r="W38" i="22"/>
  <c r="AA38" i="22" s="1"/>
  <c r="V38" i="22"/>
  <c r="Z38" i="22" s="1"/>
  <c r="U38" i="22"/>
  <c r="Y37" i="22"/>
  <c r="X37" i="22"/>
  <c r="AB37" i="22" s="1"/>
  <c r="W37" i="22"/>
  <c r="AA37" i="22" s="1"/>
  <c r="V37" i="22"/>
  <c r="Z37" i="22" s="1"/>
  <c r="U37" i="22"/>
  <c r="Y36" i="22"/>
  <c r="X36" i="22"/>
  <c r="AB36" i="22" s="1"/>
  <c r="W36" i="22"/>
  <c r="AA36" i="22" s="1"/>
  <c r="V36" i="22"/>
  <c r="Z36" i="22" s="1"/>
  <c r="U36" i="22"/>
  <c r="Y35" i="22"/>
  <c r="X35" i="22"/>
  <c r="AB35" i="22" s="1"/>
  <c r="W35" i="22"/>
  <c r="AA35" i="22" s="1"/>
  <c r="V35" i="22"/>
  <c r="Z35" i="22" s="1"/>
  <c r="U35" i="22"/>
  <c r="Y34" i="22"/>
  <c r="X34" i="22"/>
  <c r="AB34" i="22" s="1"/>
  <c r="W34" i="22"/>
  <c r="AA34" i="22" s="1"/>
  <c r="V34" i="22"/>
  <c r="Z34" i="22" s="1"/>
  <c r="U34" i="22"/>
  <c r="Y33" i="22"/>
  <c r="X33" i="22"/>
  <c r="AB33" i="22" s="1"/>
  <c r="W33" i="22"/>
  <c r="AA33" i="22" s="1"/>
  <c r="V33" i="22"/>
  <c r="Z33" i="22" s="1"/>
  <c r="U33" i="22"/>
  <c r="Y32" i="22"/>
  <c r="X32" i="22"/>
  <c r="AB32" i="22" s="1"/>
  <c r="W32" i="22"/>
  <c r="AA32" i="22" s="1"/>
  <c r="V32" i="22"/>
  <c r="Z32" i="22" s="1"/>
  <c r="U32" i="22"/>
  <c r="Y31" i="22"/>
  <c r="X31" i="22"/>
  <c r="AB31" i="22" s="1"/>
  <c r="W31" i="22"/>
  <c r="AA31" i="22" s="1"/>
  <c r="V31" i="22"/>
  <c r="Z31" i="22" s="1"/>
  <c r="U31" i="22"/>
  <c r="Y30" i="22"/>
  <c r="X30" i="22"/>
  <c r="AB30" i="22" s="1"/>
  <c r="W30" i="22"/>
  <c r="AA30" i="22" s="1"/>
  <c r="V30" i="22"/>
  <c r="Z30" i="22" s="1"/>
  <c r="U30" i="22"/>
  <c r="Y29" i="22"/>
  <c r="X29" i="22"/>
  <c r="AB29" i="22" s="1"/>
  <c r="W29" i="22"/>
  <c r="AA29" i="22" s="1"/>
  <c r="V29" i="22"/>
  <c r="Z29" i="22" s="1"/>
  <c r="U29" i="22"/>
  <c r="Y28" i="22"/>
  <c r="X28" i="22"/>
  <c r="AB28" i="22" s="1"/>
  <c r="W28" i="22"/>
  <c r="AA28" i="22" s="1"/>
  <c r="V28" i="22"/>
  <c r="Z28" i="22" s="1"/>
  <c r="U28" i="22"/>
  <c r="Y27" i="22"/>
  <c r="X27" i="22"/>
  <c r="AB27" i="22" s="1"/>
  <c r="W27" i="22"/>
  <c r="AA27" i="22" s="1"/>
  <c r="V27" i="22"/>
  <c r="Z27" i="22" s="1"/>
  <c r="U27" i="22"/>
  <c r="Y26" i="22"/>
  <c r="X26" i="22"/>
  <c r="AB26" i="22" s="1"/>
  <c r="W26" i="22"/>
  <c r="AA26" i="22" s="1"/>
  <c r="V26" i="22"/>
  <c r="Z26" i="22" s="1"/>
  <c r="U26" i="22"/>
  <c r="Y25" i="22"/>
  <c r="X25" i="22"/>
  <c r="AB25" i="22" s="1"/>
  <c r="W25" i="22"/>
  <c r="AA25" i="22" s="1"/>
  <c r="V25" i="22"/>
  <c r="Z25" i="22" s="1"/>
  <c r="U25" i="22"/>
  <c r="Y24" i="22"/>
  <c r="X24" i="22"/>
  <c r="AB24" i="22" s="1"/>
  <c r="W24" i="22"/>
  <c r="AA24" i="22" s="1"/>
  <c r="V24" i="22"/>
  <c r="Z24" i="22" s="1"/>
  <c r="U24" i="22"/>
  <c r="Y23" i="22"/>
  <c r="X23" i="22"/>
  <c r="AB23" i="22" s="1"/>
  <c r="W23" i="22"/>
  <c r="AA23" i="22" s="1"/>
  <c r="V23" i="22"/>
  <c r="Z23" i="22" s="1"/>
  <c r="U23" i="22"/>
  <c r="Y22" i="22"/>
  <c r="X22" i="22"/>
  <c r="AB22" i="22" s="1"/>
  <c r="W22" i="22"/>
  <c r="AA22" i="22" s="1"/>
  <c r="V22" i="22"/>
  <c r="Z22" i="22" s="1"/>
  <c r="U22" i="22"/>
  <c r="Y21" i="22"/>
  <c r="X21" i="22"/>
  <c r="AB21" i="22" s="1"/>
  <c r="W21" i="22"/>
  <c r="AA21" i="22" s="1"/>
  <c r="V21" i="22"/>
  <c r="Z21" i="22" s="1"/>
  <c r="U21" i="22"/>
  <c r="Y20" i="22"/>
  <c r="X20" i="22"/>
  <c r="AB20" i="22" s="1"/>
  <c r="W20" i="22"/>
  <c r="AA20" i="22" s="1"/>
  <c r="V20" i="22"/>
  <c r="Z20" i="22" s="1"/>
  <c r="U20" i="22"/>
  <c r="Y19" i="22"/>
  <c r="X19" i="22"/>
  <c r="AB19" i="22" s="1"/>
  <c r="W19" i="22"/>
  <c r="AA19" i="22" s="1"/>
  <c r="V19" i="22"/>
  <c r="Z19" i="22" s="1"/>
  <c r="U19" i="22"/>
  <c r="Y18" i="22"/>
  <c r="X18" i="22"/>
  <c r="AB18" i="22" s="1"/>
  <c r="W18" i="22"/>
  <c r="AA18" i="22" s="1"/>
  <c r="V18" i="22"/>
  <c r="Z18" i="22" s="1"/>
  <c r="U18" i="22"/>
  <c r="Y17" i="22"/>
  <c r="X17" i="22"/>
  <c r="AB17" i="22" s="1"/>
  <c r="W17" i="22"/>
  <c r="AA17" i="22" s="1"/>
  <c r="V17" i="22"/>
  <c r="Z17" i="22" s="1"/>
  <c r="U17" i="22"/>
  <c r="Y16" i="22"/>
  <c r="X16" i="22"/>
  <c r="AB16" i="22" s="1"/>
  <c r="W16" i="22"/>
  <c r="AA16" i="22" s="1"/>
  <c r="V16" i="22"/>
  <c r="Z16" i="22" s="1"/>
  <c r="U16" i="22"/>
  <c r="Y15" i="22"/>
  <c r="X15" i="22"/>
  <c r="AB15" i="22" s="1"/>
  <c r="W15" i="22"/>
  <c r="AA15" i="22" s="1"/>
  <c r="V15" i="22"/>
  <c r="Z15" i="22" s="1"/>
  <c r="U15" i="22"/>
  <c r="Y14" i="22"/>
  <c r="X14" i="22"/>
  <c r="AB14" i="22" s="1"/>
  <c r="W14" i="22"/>
  <c r="AA14" i="22" s="1"/>
  <c r="V14" i="22"/>
  <c r="Z14" i="22" s="1"/>
  <c r="U14" i="22"/>
  <c r="Y13" i="22"/>
  <c r="X13" i="22"/>
  <c r="AB13" i="22" s="1"/>
  <c r="W13" i="22"/>
  <c r="AA13" i="22" s="1"/>
  <c r="V13" i="22"/>
  <c r="Z13" i="22" s="1"/>
  <c r="U13" i="22"/>
  <c r="Y12" i="22"/>
  <c r="X12" i="22"/>
  <c r="AB12" i="22" s="1"/>
  <c r="W12" i="22"/>
  <c r="AA12" i="22" s="1"/>
  <c r="V12" i="22"/>
  <c r="Z12" i="22" s="1"/>
  <c r="U12" i="22"/>
  <c r="Y11" i="22"/>
  <c r="X11" i="22"/>
  <c r="AB11" i="22" s="1"/>
  <c r="W11" i="22"/>
  <c r="AA11" i="22" s="1"/>
  <c r="V11" i="22"/>
  <c r="Z11" i="22" s="1"/>
  <c r="U11" i="22"/>
  <c r="Y10" i="22"/>
  <c r="X10" i="22"/>
  <c r="AB10" i="22" s="1"/>
  <c r="W10" i="22"/>
  <c r="AA10" i="22" s="1"/>
  <c r="V10" i="22"/>
  <c r="Z10" i="22" s="1"/>
  <c r="U10" i="22"/>
  <c r="Y9" i="22"/>
  <c r="X9" i="22"/>
  <c r="AB9" i="22" s="1"/>
  <c r="W9" i="22"/>
  <c r="AA9" i="22" s="1"/>
  <c r="V9" i="22"/>
  <c r="Z9" i="22" s="1"/>
  <c r="U9" i="22"/>
  <c r="Y8" i="22"/>
  <c r="X8" i="22"/>
  <c r="AB8" i="22" s="1"/>
  <c r="W8" i="22"/>
  <c r="AA8" i="22" s="1"/>
  <c r="V8" i="22"/>
  <c r="Z8" i="22" s="1"/>
  <c r="U8" i="22"/>
  <c r="Y7" i="22"/>
  <c r="X7" i="22"/>
  <c r="AB7" i="22" s="1"/>
  <c r="W7" i="22"/>
  <c r="AA7" i="22" s="1"/>
  <c r="V7" i="22"/>
  <c r="Z7" i="22" s="1"/>
  <c r="U7" i="22"/>
  <c r="AC50" i="22" l="1"/>
  <c r="AC60" i="22"/>
  <c r="AC65" i="22"/>
  <c r="AC63" i="22"/>
  <c r="AC53" i="22"/>
  <c r="AC14" i="22"/>
  <c r="AC32" i="22"/>
  <c r="AC23" i="22"/>
  <c r="AC19" i="22"/>
  <c r="AC46" i="22"/>
  <c r="AC15" i="22"/>
  <c r="AC26" i="22"/>
  <c r="AC22" i="22"/>
  <c r="AC18" i="22"/>
  <c r="AC47" i="22"/>
  <c r="AC43" i="22"/>
  <c r="AC39" i="22"/>
  <c r="AC12" i="22"/>
  <c r="AC37" i="22"/>
  <c r="AC44" i="22"/>
  <c r="AC10" i="22"/>
  <c r="AC33" i="22"/>
  <c r="AC40" i="22"/>
  <c r="AC68" i="22"/>
  <c r="AC9" i="22"/>
  <c r="AC29" i="22"/>
  <c r="AC36" i="22"/>
  <c r="AC75" i="22"/>
  <c r="AC7" i="22"/>
  <c r="AC11" i="22"/>
  <c r="AC8" i="22"/>
  <c r="AC13" i="22"/>
  <c r="AC16" i="22"/>
  <c r="AC27" i="22"/>
  <c r="AC30" i="22"/>
  <c r="AC41" i="22"/>
  <c r="AC61" i="22"/>
  <c r="AC66" i="22"/>
  <c r="AC17" i="22"/>
  <c r="AC20" i="22"/>
  <c r="AC34" i="22"/>
  <c r="AC45" i="22"/>
  <c r="AC48" i="22"/>
  <c r="AC54" i="22"/>
  <c r="AC69" i="22"/>
  <c r="AC21" i="22"/>
  <c r="AC24" i="22"/>
  <c r="AC31" i="22"/>
  <c r="AC35" i="22"/>
  <c r="AC38" i="22"/>
  <c r="AC49" i="22"/>
  <c r="AC25" i="22"/>
  <c r="AC28" i="22"/>
  <c r="AC42" i="22"/>
  <c r="AC59" i="22"/>
  <c r="AC62" i="22"/>
  <c r="AC67" i="22"/>
  <c r="AC70" i="22"/>
  <c r="Y45" i="16" l="1"/>
  <c r="X45" i="16"/>
  <c r="W45" i="16"/>
  <c r="V45" i="16"/>
  <c r="U45" i="16"/>
  <c r="T45" i="16"/>
  <c r="S45" i="16"/>
  <c r="R45" i="16"/>
  <c r="Y44" i="16"/>
  <c r="X44" i="16"/>
  <c r="W44" i="16"/>
  <c r="V44" i="16"/>
  <c r="U44" i="16"/>
  <c r="T44" i="16"/>
  <c r="S44" i="16"/>
  <c r="R44" i="16"/>
  <c r="Y43" i="16"/>
  <c r="X43" i="16"/>
  <c r="W43" i="16"/>
  <c r="V43" i="16"/>
  <c r="U43" i="16"/>
  <c r="T43" i="16"/>
  <c r="S43" i="16"/>
  <c r="R43" i="16"/>
  <c r="Y42" i="16"/>
  <c r="X42" i="16"/>
  <c r="W42" i="16"/>
  <c r="V42" i="16"/>
  <c r="U42" i="16"/>
  <c r="T42" i="16"/>
  <c r="S42" i="16"/>
  <c r="R42" i="16"/>
  <c r="Y41" i="16"/>
  <c r="X41" i="16"/>
  <c r="W41" i="16"/>
  <c r="V41" i="16"/>
  <c r="U41" i="16"/>
  <c r="T41" i="16"/>
  <c r="S41" i="16"/>
  <c r="R41" i="16"/>
  <c r="Y40" i="16"/>
  <c r="X40" i="16"/>
  <c r="W40" i="16"/>
  <c r="V40" i="16"/>
  <c r="U40" i="16"/>
  <c r="T40" i="16"/>
  <c r="S40" i="16"/>
  <c r="R40" i="16"/>
  <c r="Y39" i="16"/>
  <c r="X39" i="16"/>
  <c r="W39" i="16"/>
  <c r="V39" i="16"/>
  <c r="U39" i="16"/>
  <c r="T39" i="16"/>
  <c r="S39" i="16"/>
  <c r="R39" i="16"/>
  <c r="Y38" i="16"/>
  <c r="X38" i="16"/>
  <c r="W38" i="16"/>
  <c r="V38" i="16"/>
  <c r="U38" i="16"/>
  <c r="T38" i="16"/>
  <c r="S38" i="16"/>
  <c r="R38" i="16"/>
  <c r="Y37" i="16"/>
  <c r="X37" i="16"/>
  <c r="W37" i="16"/>
  <c r="V37" i="16"/>
  <c r="U37" i="16"/>
  <c r="T37" i="16"/>
  <c r="S37" i="16"/>
  <c r="R37" i="16"/>
  <c r="Y36" i="16"/>
  <c r="X36" i="16"/>
  <c r="W36" i="16"/>
  <c r="V36" i="16"/>
  <c r="U36" i="16"/>
  <c r="T36" i="16"/>
  <c r="S36" i="16"/>
  <c r="R36" i="16"/>
  <c r="Y35" i="16"/>
  <c r="X35" i="16"/>
  <c r="W35" i="16"/>
  <c r="V35" i="16"/>
  <c r="U35" i="16"/>
  <c r="T35" i="16"/>
  <c r="S35" i="16"/>
  <c r="R35" i="16"/>
  <c r="Y34" i="16"/>
  <c r="X34" i="16"/>
  <c r="W34" i="16"/>
  <c r="V34" i="16"/>
  <c r="U34" i="16"/>
  <c r="T34" i="16"/>
  <c r="S34" i="16"/>
  <c r="R34" i="16"/>
  <c r="Y33" i="16"/>
  <c r="X33" i="16"/>
  <c r="W33" i="16"/>
  <c r="V33" i="16"/>
  <c r="U33" i="16"/>
  <c r="T33" i="16"/>
  <c r="S33" i="16"/>
  <c r="R33" i="16"/>
  <c r="Y32" i="16"/>
  <c r="X32" i="16"/>
  <c r="W32" i="16"/>
  <c r="V32" i="16"/>
  <c r="U32" i="16"/>
  <c r="T32" i="16"/>
  <c r="S32" i="16"/>
  <c r="R32" i="16"/>
  <c r="Y31" i="16"/>
  <c r="X31" i="16"/>
  <c r="W31" i="16"/>
  <c r="V31" i="16"/>
  <c r="U31" i="16"/>
  <c r="T31" i="16"/>
  <c r="S31" i="16"/>
  <c r="R31" i="16"/>
  <c r="Y30" i="16"/>
  <c r="X30" i="16"/>
  <c r="W30" i="16"/>
  <c r="V30" i="16"/>
  <c r="U30" i="16"/>
  <c r="T30" i="16"/>
  <c r="S30" i="16"/>
  <c r="R30" i="16"/>
  <c r="Y29" i="16"/>
  <c r="X29" i="16"/>
  <c r="W29" i="16"/>
  <c r="V29" i="16"/>
  <c r="U29" i="16"/>
  <c r="T29" i="16"/>
  <c r="S29" i="16"/>
  <c r="R29" i="16"/>
  <c r="Y28" i="16"/>
  <c r="X28" i="16"/>
  <c r="W28" i="16"/>
  <c r="V28" i="16"/>
  <c r="U28" i="16"/>
  <c r="T28" i="16"/>
  <c r="S28" i="16"/>
  <c r="R28" i="16"/>
  <c r="Y27" i="16"/>
  <c r="X27" i="16"/>
  <c r="W27" i="16"/>
  <c r="V27" i="16"/>
  <c r="U27" i="16"/>
  <c r="T27" i="16"/>
  <c r="S27" i="16"/>
  <c r="R27" i="16"/>
  <c r="Y26" i="16"/>
  <c r="X26" i="16"/>
  <c r="W26" i="16"/>
  <c r="V26" i="16"/>
  <c r="U26" i="16"/>
  <c r="T26" i="16"/>
  <c r="S26" i="16"/>
  <c r="R26" i="16"/>
  <c r="Y25" i="16"/>
  <c r="X25" i="16"/>
  <c r="W25" i="16"/>
  <c r="V25" i="16"/>
  <c r="U25" i="16"/>
  <c r="T25" i="16"/>
  <c r="S25" i="16"/>
  <c r="R25" i="16"/>
  <c r="Y24" i="16"/>
  <c r="X24" i="16"/>
  <c r="W24" i="16"/>
  <c r="V24" i="16"/>
  <c r="U24" i="16"/>
  <c r="T24" i="16"/>
  <c r="S24" i="16"/>
  <c r="R24" i="16"/>
  <c r="Y23" i="16"/>
  <c r="X23" i="16"/>
  <c r="W23" i="16"/>
  <c r="V23" i="16"/>
  <c r="U23" i="16"/>
  <c r="T23" i="16"/>
  <c r="S23" i="16"/>
  <c r="R23" i="16"/>
  <c r="Y22" i="16"/>
  <c r="X22" i="16"/>
  <c r="W22" i="16"/>
  <c r="V22" i="16"/>
  <c r="U22" i="16"/>
  <c r="T22" i="16"/>
  <c r="S22" i="16"/>
  <c r="R22" i="16"/>
  <c r="Y21" i="16"/>
  <c r="X21" i="16"/>
  <c r="W21" i="16"/>
  <c r="V21" i="16"/>
  <c r="U21" i="16"/>
  <c r="T21" i="16"/>
  <c r="S21" i="16"/>
  <c r="R21" i="16"/>
  <c r="Y20" i="16"/>
  <c r="X20" i="16"/>
  <c r="W20" i="16"/>
  <c r="V20" i="16"/>
  <c r="U20" i="16"/>
  <c r="T20" i="16"/>
  <c r="S20" i="16"/>
  <c r="R20" i="16"/>
  <c r="Y19" i="16"/>
  <c r="X19" i="16"/>
  <c r="W19" i="16"/>
  <c r="V19" i="16"/>
  <c r="U19" i="16"/>
  <c r="T19" i="16"/>
  <c r="S19" i="16"/>
  <c r="R19" i="16"/>
  <c r="Y18" i="16"/>
  <c r="X18" i="16"/>
  <c r="W18" i="16"/>
  <c r="V18" i="16"/>
  <c r="U18" i="16"/>
  <c r="T18" i="16"/>
  <c r="S18" i="16"/>
  <c r="R18" i="16"/>
  <c r="Y17" i="16"/>
  <c r="X17" i="16"/>
  <c r="W17" i="16"/>
  <c r="V17" i="16"/>
  <c r="U17" i="16"/>
  <c r="T17" i="16"/>
  <c r="S17" i="16"/>
  <c r="R17" i="16"/>
  <c r="Y16" i="16"/>
  <c r="X16" i="16"/>
  <c r="W16" i="16"/>
  <c r="V16" i="16"/>
  <c r="U16" i="16"/>
  <c r="T16" i="16"/>
  <c r="S16" i="16"/>
  <c r="R16" i="16"/>
  <c r="Y15" i="16"/>
  <c r="X15" i="16"/>
  <c r="W15" i="16"/>
  <c r="V15" i="16"/>
  <c r="U15" i="16"/>
  <c r="T15" i="16"/>
  <c r="S15" i="16"/>
  <c r="R15" i="16"/>
  <c r="Y14" i="16"/>
  <c r="X14" i="16"/>
  <c r="W14" i="16"/>
  <c r="V14" i="16"/>
  <c r="U14" i="16"/>
  <c r="T14" i="16"/>
  <c r="S14" i="16"/>
  <c r="R14" i="16"/>
  <c r="Y13" i="16"/>
  <c r="X13" i="16"/>
  <c r="W13" i="16"/>
  <c r="V13" i="16"/>
  <c r="U13" i="16"/>
  <c r="T13" i="16"/>
  <c r="S13" i="16"/>
  <c r="R13" i="16"/>
  <c r="Y12" i="16"/>
  <c r="X12" i="16"/>
  <c r="W12" i="16"/>
  <c r="V12" i="16"/>
  <c r="U12" i="16"/>
  <c r="T12" i="16"/>
  <c r="S12" i="16"/>
  <c r="R12" i="16"/>
  <c r="Y11" i="16"/>
  <c r="X11" i="16"/>
  <c r="W11" i="16"/>
  <c r="V11" i="16"/>
  <c r="U11" i="16"/>
  <c r="T11" i="16"/>
  <c r="S11" i="16"/>
  <c r="R11" i="16"/>
  <c r="Y10" i="16"/>
  <c r="X10" i="16"/>
  <c r="W10" i="16"/>
  <c r="V10" i="16"/>
  <c r="U10" i="16"/>
  <c r="T10" i="16"/>
  <c r="S10" i="16"/>
  <c r="R10" i="16"/>
  <c r="Y9" i="16"/>
  <c r="X9" i="16"/>
  <c r="W9" i="16"/>
  <c r="V9" i="16"/>
  <c r="U9" i="16"/>
  <c r="T9" i="16"/>
  <c r="S9" i="16"/>
  <c r="R9" i="16"/>
  <c r="Y8" i="16"/>
  <c r="X8" i="16"/>
  <c r="W8" i="16"/>
  <c r="V8" i="16"/>
  <c r="Z8" i="16" s="1"/>
  <c r="U8" i="16"/>
  <c r="T8" i="16"/>
  <c r="S8" i="16"/>
  <c r="R8" i="16"/>
  <c r="Y7" i="16"/>
  <c r="X7" i="16"/>
  <c r="W7" i="16"/>
  <c r="V7" i="16"/>
  <c r="U7" i="16"/>
  <c r="T7" i="16"/>
  <c r="S7" i="16"/>
  <c r="R7" i="16"/>
  <c r="Z20" i="16" l="1"/>
  <c r="Z32" i="16"/>
  <c r="Z35" i="16"/>
  <c r="Z43" i="16"/>
  <c r="Z7" i="16"/>
  <c r="Z28" i="16"/>
  <c r="Z16" i="16"/>
  <c r="Z18" i="16"/>
  <c r="Z27" i="16"/>
  <c r="Z39" i="16"/>
  <c r="Z25" i="16"/>
  <c r="Z13" i="16"/>
  <c r="Z22" i="16"/>
  <c r="Z12" i="16"/>
  <c r="Z10" i="16"/>
  <c r="Z14" i="16"/>
  <c r="Z15" i="16"/>
  <c r="Z17" i="16"/>
  <c r="Z19" i="16"/>
  <c r="Z21" i="16"/>
  <c r="Z23" i="16"/>
  <c r="Z29" i="16"/>
  <c r="Z30" i="16"/>
  <c r="Z31" i="16"/>
  <c r="Z36" i="16"/>
  <c r="Z37" i="16"/>
  <c r="Z38" i="16"/>
  <c r="Z44" i="16"/>
  <c r="Z45" i="16"/>
  <c r="AA7" i="16"/>
  <c r="AA8" i="16"/>
  <c r="AA9" i="16"/>
  <c r="AA10" i="16"/>
  <c r="AA11" i="16"/>
  <c r="AA12" i="16"/>
  <c r="AA13" i="16"/>
  <c r="AA14" i="16"/>
  <c r="AA15" i="16"/>
  <c r="AA16" i="16"/>
  <c r="AA17" i="16"/>
  <c r="AA18" i="16"/>
  <c r="AA19" i="16"/>
  <c r="AA20" i="16"/>
  <c r="AA21" i="16"/>
  <c r="AA22" i="16"/>
  <c r="AA23" i="16"/>
  <c r="AA24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AA37" i="16"/>
  <c r="AA38" i="16"/>
  <c r="AA39" i="16"/>
  <c r="AA40" i="16"/>
  <c r="AA41" i="16"/>
  <c r="AA42" i="16"/>
  <c r="AA43" i="16"/>
  <c r="AA44" i="16"/>
  <c r="AA45" i="16"/>
  <c r="Z24" i="16"/>
  <c r="Z26" i="16"/>
  <c r="Z33" i="16"/>
  <c r="Z34" i="16"/>
  <c r="Z40" i="16"/>
  <c r="Z41" i="16"/>
  <c r="Z42" i="16"/>
  <c r="AB7" i="16"/>
  <c r="AB8" i="16"/>
  <c r="AB9" i="16"/>
  <c r="AB10" i="16"/>
  <c r="AB11" i="16"/>
  <c r="AB12" i="16"/>
  <c r="AB13" i="16"/>
  <c r="AB14" i="16"/>
  <c r="AB15" i="16"/>
  <c r="AB16" i="16"/>
  <c r="AB17" i="16"/>
  <c r="AB18" i="16"/>
  <c r="AB19" i="16"/>
  <c r="AB20" i="16"/>
  <c r="AB21" i="16"/>
  <c r="AB22" i="16"/>
  <c r="AB23" i="16"/>
  <c r="AB24" i="16"/>
  <c r="AB25" i="16"/>
  <c r="AB26" i="16"/>
  <c r="AB27" i="16"/>
  <c r="AB28" i="16"/>
  <c r="AB29" i="16"/>
  <c r="AB30" i="16"/>
  <c r="AB31" i="16"/>
  <c r="AB32" i="16"/>
  <c r="AB33" i="16"/>
  <c r="AB34" i="16"/>
  <c r="AB35" i="16"/>
  <c r="AB36" i="16"/>
  <c r="AB37" i="16"/>
  <c r="AB38" i="16"/>
  <c r="AB39" i="16"/>
  <c r="AB40" i="16"/>
  <c r="AB41" i="16"/>
  <c r="AB42" i="16"/>
  <c r="AB43" i="16"/>
  <c r="AB44" i="16"/>
  <c r="AB45" i="16"/>
  <c r="Z9" i="16"/>
  <c r="Z11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K520" i="16" l="1"/>
  <c r="S520" i="16" s="1"/>
  <c r="L520" i="16"/>
  <c r="N520" i="16" s="1"/>
  <c r="P520" i="16" s="1"/>
  <c r="R520" i="16"/>
  <c r="V520" i="16"/>
  <c r="W520" i="16"/>
  <c r="V518" i="16"/>
  <c r="R518" i="16"/>
  <c r="L518" i="16"/>
  <c r="N518" i="16" s="1"/>
  <c r="P518" i="16" s="1"/>
  <c r="K518" i="16"/>
  <c r="W518" i="16" s="1"/>
  <c r="V517" i="16"/>
  <c r="R517" i="16"/>
  <c r="L517" i="16"/>
  <c r="N517" i="16" s="1"/>
  <c r="P517" i="16" s="1"/>
  <c r="K517" i="16"/>
  <c r="V516" i="16"/>
  <c r="R516" i="16"/>
  <c r="L516" i="16"/>
  <c r="N516" i="16" s="1"/>
  <c r="P516" i="16" s="1"/>
  <c r="K516" i="16"/>
  <c r="W516" i="16" s="1"/>
  <c r="V514" i="16"/>
  <c r="R514" i="16"/>
  <c r="L514" i="16"/>
  <c r="N514" i="16" s="1"/>
  <c r="P514" i="16" s="1"/>
  <c r="K514" i="16"/>
  <c r="V513" i="16"/>
  <c r="R513" i="16"/>
  <c r="L513" i="16"/>
  <c r="N513" i="16" s="1"/>
  <c r="P513" i="16" s="1"/>
  <c r="K513" i="16"/>
  <c r="W513" i="16" s="1"/>
  <c r="V512" i="16"/>
  <c r="R512" i="16"/>
  <c r="L512" i="16"/>
  <c r="N512" i="16" s="1"/>
  <c r="P512" i="16" s="1"/>
  <c r="K512" i="16"/>
  <c r="V511" i="16"/>
  <c r="R511" i="16"/>
  <c r="L511" i="16"/>
  <c r="N511" i="16" s="1"/>
  <c r="P511" i="16" s="1"/>
  <c r="K511" i="16"/>
  <c r="M511" i="16" s="1"/>
  <c r="V510" i="16"/>
  <c r="R510" i="16"/>
  <c r="L510" i="16"/>
  <c r="N510" i="16" s="1"/>
  <c r="P510" i="16" s="1"/>
  <c r="K510" i="16"/>
  <c r="V509" i="16"/>
  <c r="R509" i="16"/>
  <c r="L509" i="16"/>
  <c r="N509" i="16" s="1"/>
  <c r="P509" i="16" s="1"/>
  <c r="K509" i="16"/>
  <c r="S509" i="16" s="1"/>
  <c r="V508" i="16"/>
  <c r="R508" i="16"/>
  <c r="L508" i="16"/>
  <c r="N508" i="16" s="1"/>
  <c r="P508" i="16" s="1"/>
  <c r="K508" i="16"/>
  <c r="V507" i="16"/>
  <c r="R507" i="16"/>
  <c r="M507" i="16"/>
  <c r="L507" i="16"/>
  <c r="N507" i="16" s="1"/>
  <c r="P507" i="16" s="1"/>
  <c r="K507" i="16"/>
  <c r="S507" i="16" s="1"/>
  <c r="V506" i="16"/>
  <c r="R506" i="16"/>
  <c r="L506" i="16"/>
  <c r="N506" i="16" s="1"/>
  <c r="P506" i="16" s="1"/>
  <c r="K506" i="16"/>
  <c r="V505" i="16"/>
  <c r="R505" i="16"/>
  <c r="L505" i="16"/>
  <c r="N505" i="16" s="1"/>
  <c r="P505" i="16" s="1"/>
  <c r="K505" i="16"/>
  <c r="W505" i="16" s="1"/>
  <c r="V504" i="16"/>
  <c r="R504" i="16"/>
  <c r="L504" i="16"/>
  <c r="N504" i="16" s="1"/>
  <c r="P504" i="16" s="1"/>
  <c r="K504" i="16"/>
  <c r="V503" i="16"/>
  <c r="R503" i="16"/>
  <c r="L503" i="16"/>
  <c r="N503" i="16" s="1"/>
  <c r="P503" i="16" s="1"/>
  <c r="K503" i="16"/>
  <c r="S503" i="16" s="1"/>
  <c r="V502" i="16"/>
  <c r="R502" i="16"/>
  <c r="L502" i="16"/>
  <c r="N502" i="16" s="1"/>
  <c r="P502" i="16" s="1"/>
  <c r="K502" i="16"/>
  <c r="V501" i="16"/>
  <c r="R501" i="16"/>
  <c r="L501" i="16"/>
  <c r="N501" i="16" s="1"/>
  <c r="P501" i="16" s="1"/>
  <c r="K501" i="16"/>
  <c r="M501" i="16" s="1"/>
  <c r="V499" i="16"/>
  <c r="R499" i="16"/>
  <c r="L499" i="16"/>
  <c r="N499" i="16" s="1"/>
  <c r="P499" i="16" s="1"/>
  <c r="K499" i="16"/>
  <c r="L498" i="16"/>
  <c r="N498" i="16" s="1"/>
  <c r="P498" i="16" s="1"/>
  <c r="K498" i="16"/>
  <c r="M498" i="16" s="1"/>
  <c r="O498" i="16" s="1"/>
  <c r="V497" i="16"/>
  <c r="R497" i="16"/>
  <c r="L497" i="16"/>
  <c r="N497" i="16" s="1"/>
  <c r="P497" i="16" s="1"/>
  <c r="K497" i="16"/>
  <c r="V496" i="16"/>
  <c r="R496" i="16"/>
  <c r="L496" i="16"/>
  <c r="N496" i="16" s="1"/>
  <c r="P496" i="16" s="1"/>
  <c r="K496" i="16"/>
  <c r="W496" i="16" s="1"/>
  <c r="V495" i="16"/>
  <c r="R495" i="16"/>
  <c r="L495" i="16"/>
  <c r="N495" i="16" s="1"/>
  <c r="P495" i="16" s="1"/>
  <c r="K495" i="16"/>
  <c r="V494" i="16"/>
  <c r="R494" i="16"/>
  <c r="Z494" i="16" s="1"/>
  <c r="L494" i="16"/>
  <c r="N494" i="16" s="1"/>
  <c r="P494" i="16" s="1"/>
  <c r="K494" i="16"/>
  <c r="W494" i="16" s="1"/>
  <c r="V493" i="16"/>
  <c r="R493" i="16"/>
  <c r="L493" i="16"/>
  <c r="N493" i="16" s="1"/>
  <c r="P493" i="16" s="1"/>
  <c r="K493" i="16"/>
  <c r="M493" i="16" s="1"/>
  <c r="O493" i="16" s="1"/>
  <c r="V492" i="16"/>
  <c r="R492" i="16"/>
  <c r="L492" i="16"/>
  <c r="N492" i="16" s="1"/>
  <c r="P492" i="16" s="1"/>
  <c r="K492" i="16"/>
  <c r="W492" i="16" s="1"/>
  <c r="V490" i="16"/>
  <c r="R490" i="16"/>
  <c r="L490" i="16"/>
  <c r="N490" i="16" s="1"/>
  <c r="P490" i="16" s="1"/>
  <c r="K490" i="16"/>
  <c r="M490" i="16" s="1"/>
  <c r="X490" i="16" s="1"/>
  <c r="V489" i="16"/>
  <c r="R489" i="16"/>
  <c r="M489" i="16"/>
  <c r="L489" i="16"/>
  <c r="N489" i="16" s="1"/>
  <c r="P489" i="16" s="1"/>
  <c r="K489" i="16"/>
  <c r="W489" i="16" s="1"/>
  <c r="L488" i="16"/>
  <c r="N488" i="16" s="1"/>
  <c r="P488" i="16" s="1"/>
  <c r="K488" i="16"/>
  <c r="M488" i="16" s="1"/>
  <c r="O488" i="16" s="1"/>
  <c r="L487" i="16"/>
  <c r="N487" i="16" s="1"/>
  <c r="P487" i="16" s="1"/>
  <c r="K487" i="16"/>
  <c r="M487" i="16" s="1"/>
  <c r="O487" i="16" s="1"/>
  <c r="V486" i="16"/>
  <c r="R486" i="16"/>
  <c r="L486" i="16"/>
  <c r="N486" i="16" s="1"/>
  <c r="P486" i="16" s="1"/>
  <c r="K486" i="16"/>
  <c r="M486" i="16" s="1"/>
  <c r="O486" i="16" s="1"/>
  <c r="V485" i="16"/>
  <c r="R485" i="16"/>
  <c r="L485" i="16"/>
  <c r="N485" i="16" s="1"/>
  <c r="P485" i="16" s="1"/>
  <c r="K485" i="16"/>
  <c r="W485" i="16" s="1"/>
  <c r="V484" i="16"/>
  <c r="R484" i="16"/>
  <c r="L484" i="16"/>
  <c r="N484" i="16" s="1"/>
  <c r="P484" i="16" s="1"/>
  <c r="K484" i="16"/>
  <c r="M484" i="16" s="1"/>
  <c r="X484" i="16" s="1"/>
  <c r="V483" i="16"/>
  <c r="R483" i="16"/>
  <c r="L483" i="16"/>
  <c r="N483" i="16" s="1"/>
  <c r="P483" i="16" s="1"/>
  <c r="K483" i="16"/>
  <c r="W483" i="16" s="1"/>
  <c r="V482" i="16"/>
  <c r="R482" i="16"/>
  <c r="L482" i="16"/>
  <c r="N482" i="16" s="1"/>
  <c r="P482" i="16" s="1"/>
  <c r="K482" i="16"/>
  <c r="M482" i="16" s="1"/>
  <c r="O482" i="16" s="1"/>
  <c r="V480" i="16"/>
  <c r="R480" i="16"/>
  <c r="L480" i="16"/>
  <c r="N480" i="16" s="1"/>
  <c r="P480" i="16" s="1"/>
  <c r="K480" i="16"/>
  <c r="W480" i="16" s="1"/>
  <c r="V479" i="16"/>
  <c r="R479" i="16"/>
  <c r="L479" i="16"/>
  <c r="N479" i="16" s="1"/>
  <c r="P479" i="16" s="1"/>
  <c r="K479" i="16"/>
  <c r="S479" i="16" s="1"/>
  <c r="V478" i="16"/>
  <c r="R478" i="16"/>
  <c r="L478" i="16"/>
  <c r="N478" i="16" s="1"/>
  <c r="P478" i="16" s="1"/>
  <c r="K478" i="16"/>
  <c r="M478" i="16" s="1"/>
  <c r="O478" i="16" s="1"/>
  <c r="V477" i="16"/>
  <c r="R477" i="16"/>
  <c r="L477" i="16"/>
  <c r="N477" i="16" s="1"/>
  <c r="P477" i="16" s="1"/>
  <c r="K477" i="16"/>
  <c r="S477" i="16" s="1"/>
  <c r="V476" i="16"/>
  <c r="R476" i="16"/>
  <c r="L476" i="16"/>
  <c r="N476" i="16" s="1"/>
  <c r="P476" i="16" s="1"/>
  <c r="K476" i="16"/>
  <c r="W476" i="16" s="1"/>
  <c r="V475" i="16"/>
  <c r="R475" i="16"/>
  <c r="L475" i="16"/>
  <c r="N475" i="16" s="1"/>
  <c r="P475" i="16" s="1"/>
  <c r="K475" i="16"/>
  <c r="W475" i="16" s="1"/>
  <c r="V474" i="16"/>
  <c r="R474" i="16"/>
  <c r="L474" i="16"/>
  <c r="N474" i="16" s="1"/>
  <c r="P474" i="16" s="1"/>
  <c r="K474" i="16"/>
  <c r="W474" i="16" s="1"/>
  <c r="V473" i="16"/>
  <c r="R473" i="16"/>
  <c r="L473" i="16"/>
  <c r="N473" i="16" s="1"/>
  <c r="P473" i="16" s="1"/>
  <c r="K473" i="16"/>
  <c r="S473" i="16" s="1"/>
  <c r="V472" i="16"/>
  <c r="R472" i="16"/>
  <c r="L472" i="16"/>
  <c r="N472" i="16" s="1"/>
  <c r="P472" i="16" s="1"/>
  <c r="K472" i="16"/>
  <c r="W472" i="16" s="1"/>
  <c r="V471" i="16"/>
  <c r="R471" i="16"/>
  <c r="L471" i="16"/>
  <c r="N471" i="16" s="1"/>
  <c r="P471" i="16" s="1"/>
  <c r="K471" i="16"/>
  <c r="S471" i="16" s="1"/>
  <c r="V470" i="16"/>
  <c r="R470" i="16"/>
  <c r="L470" i="16"/>
  <c r="N470" i="16" s="1"/>
  <c r="P470" i="16" s="1"/>
  <c r="K470" i="16"/>
  <c r="W470" i="16" s="1"/>
  <c r="V469" i="16"/>
  <c r="R469" i="16"/>
  <c r="L469" i="16"/>
  <c r="N469" i="16" s="1"/>
  <c r="P469" i="16" s="1"/>
  <c r="K469" i="16"/>
  <c r="S469" i="16" s="1"/>
  <c r="V468" i="16"/>
  <c r="R468" i="16"/>
  <c r="L468" i="16"/>
  <c r="N468" i="16" s="1"/>
  <c r="P468" i="16" s="1"/>
  <c r="K468" i="16"/>
  <c r="W468" i="16" s="1"/>
  <c r="V467" i="16"/>
  <c r="R467" i="16"/>
  <c r="L467" i="16"/>
  <c r="N467" i="16" s="1"/>
  <c r="P467" i="16" s="1"/>
  <c r="K467" i="16"/>
  <c r="M467" i="16" s="1"/>
  <c r="X467" i="16" s="1"/>
  <c r="Z471" i="16" l="1"/>
  <c r="Z520" i="16"/>
  <c r="Z489" i="16"/>
  <c r="Z499" i="16"/>
  <c r="Z517" i="16"/>
  <c r="W501" i="16"/>
  <c r="M516" i="16"/>
  <c r="O516" i="16" s="1"/>
  <c r="Z502" i="16"/>
  <c r="W473" i="16"/>
  <c r="AA473" i="16" s="1"/>
  <c r="Z476" i="16"/>
  <c r="Z508" i="16"/>
  <c r="Z513" i="16"/>
  <c r="M471" i="16"/>
  <c r="X471" i="16" s="1"/>
  <c r="Z496" i="16"/>
  <c r="Z468" i="16"/>
  <c r="Z469" i="16"/>
  <c r="M473" i="16"/>
  <c r="X473" i="16" s="1"/>
  <c r="Z486" i="16"/>
  <c r="S501" i="16"/>
  <c r="AA501" i="16" s="1"/>
  <c r="M520" i="16"/>
  <c r="O520" i="16" s="1"/>
  <c r="Y520" i="16" s="1"/>
  <c r="AA520" i="16"/>
  <c r="Z492" i="16"/>
  <c r="M513" i="16"/>
  <c r="X513" i="16" s="1"/>
  <c r="U520" i="16"/>
  <c r="W471" i="16"/>
  <c r="S475" i="16"/>
  <c r="AA475" i="16" s="1"/>
  <c r="Z477" i="16"/>
  <c r="M492" i="16"/>
  <c r="O492" i="16" s="1"/>
  <c r="Z505" i="16"/>
  <c r="Z509" i="16"/>
  <c r="Z511" i="16"/>
  <c r="Z467" i="16"/>
  <c r="M469" i="16"/>
  <c r="X469" i="16" s="1"/>
  <c r="W469" i="16"/>
  <c r="AA469" i="16" s="1"/>
  <c r="Z475" i="16"/>
  <c r="M477" i="16"/>
  <c r="X477" i="16" s="1"/>
  <c r="W477" i="16"/>
  <c r="Z478" i="16"/>
  <c r="M494" i="16"/>
  <c r="T494" i="16" s="1"/>
  <c r="Z501" i="16"/>
  <c r="M503" i="16"/>
  <c r="X503" i="16" s="1"/>
  <c r="W503" i="16"/>
  <c r="AA503" i="16" s="1"/>
  <c r="M505" i="16"/>
  <c r="X505" i="16" s="1"/>
  <c r="M509" i="16"/>
  <c r="X509" i="16" s="1"/>
  <c r="W509" i="16"/>
  <c r="AA509" i="16" s="1"/>
  <c r="Z510" i="16"/>
  <c r="S511" i="16"/>
  <c r="M518" i="16"/>
  <c r="X518" i="16" s="1"/>
  <c r="S467" i="16"/>
  <c r="W467" i="16"/>
  <c r="M475" i="16"/>
  <c r="X475" i="16" s="1"/>
  <c r="Z473" i="16"/>
  <c r="Z482" i="16"/>
  <c r="Z495" i="16"/>
  <c r="S496" i="16"/>
  <c r="S505" i="16"/>
  <c r="AA505" i="16" s="1"/>
  <c r="W511" i="16"/>
  <c r="Z518" i="16"/>
  <c r="X478" i="16"/>
  <c r="M480" i="16"/>
  <c r="X480" i="16" s="1"/>
  <c r="Z483" i="16"/>
  <c r="Z484" i="16"/>
  <c r="T490" i="16"/>
  <c r="AB490" i="16" s="1"/>
  <c r="Z493" i="16"/>
  <c r="M496" i="16"/>
  <c r="T496" i="16" s="1"/>
  <c r="Z503" i="16"/>
  <c r="Z504" i="16"/>
  <c r="Z506" i="16"/>
  <c r="W507" i="16"/>
  <c r="AA507" i="16" s="1"/>
  <c r="S513" i="16"/>
  <c r="AA513" i="16" s="1"/>
  <c r="S516" i="16"/>
  <c r="AA516" i="16" s="1"/>
  <c r="Z479" i="16"/>
  <c r="O484" i="16"/>
  <c r="Z490" i="16"/>
  <c r="Z507" i="16"/>
  <c r="S518" i="16"/>
  <c r="AA518" i="16" s="1"/>
  <c r="Z470" i="16"/>
  <c r="AA471" i="16"/>
  <c r="Z472" i="16"/>
  <c r="Z474" i="16"/>
  <c r="AA477" i="16"/>
  <c r="Z485" i="16"/>
  <c r="O490" i="16"/>
  <c r="U490" i="16" s="1"/>
  <c r="Z497" i="16"/>
  <c r="Z512" i="16"/>
  <c r="Z514" i="16"/>
  <c r="Z480" i="16"/>
  <c r="M483" i="16"/>
  <c r="T483" i="16" s="1"/>
  <c r="T484" i="16"/>
  <c r="AB484" i="16" s="1"/>
  <c r="M485" i="16"/>
  <c r="X485" i="16" s="1"/>
  <c r="AA496" i="16"/>
  <c r="Z516" i="16"/>
  <c r="Y482" i="16"/>
  <c r="U482" i="16"/>
  <c r="Y493" i="16"/>
  <c r="U493" i="16"/>
  <c r="Y478" i="16"/>
  <c r="U478" i="16"/>
  <c r="Y486" i="16"/>
  <c r="U486" i="16"/>
  <c r="W482" i="16"/>
  <c r="W486" i="16"/>
  <c r="T478" i="16"/>
  <c r="S486" i="16"/>
  <c r="W495" i="16"/>
  <c r="S495" i="16"/>
  <c r="M495" i="16"/>
  <c r="O467" i="16"/>
  <c r="T467" i="16"/>
  <c r="AB467" i="16" s="1"/>
  <c r="M468" i="16"/>
  <c r="M470" i="16"/>
  <c r="O471" i="16"/>
  <c r="T471" i="16"/>
  <c r="AB471" i="16" s="1"/>
  <c r="M472" i="16"/>
  <c r="M474" i="16"/>
  <c r="O475" i="16"/>
  <c r="M476" i="16"/>
  <c r="W479" i="16"/>
  <c r="AA479" i="16" s="1"/>
  <c r="T482" i="16"/>
  <c r="W484" i="16"/>
  <c r="T486" i="16"/>
  <c r="X489" i="16"/>
  <c r="T489" i="16"/>
  <c r="O489" i="16"/>
  <c r="W490" i="16"/>
  <c r="T493" i="16"/>
  <c r="X501" i="16"/>
  <c r="T501" i="16"/>
  <c r="O501" i="16"/>
  <c r="W506" i="16"/>
  <c r="S506" i="16"/>
  <c r="M506" i="16"/>
  <c r="W514" i="16"/>
  <c r="S514" i="16"/>
  <c r="M514" i="16"/>
  <c r="T492" i="16"/>
  <c r="W493" i="16"/>
  <c r="W502" i="16"/>
  <c r="S502" i="16"/>
  <c r="M502" i="16"/>
  <c r="W510" i="16"/>
  <c r="S510" i="16"/>
  <c r="M510" i="16"/>
  <c r="S482" i="16"/>
  <c r="X482" i="16"/>
  <c r="Y484" i="16"/>
  <c r="U484" i="16"/>
  <c r="X486" i="16"/>
  <c r="S493" i="16"/>
  <c r="X493" i="16"/>
  <c r="S468" i="16"/>
  <c r="AA468" i="16" s="1"/>
  <c r="S470" i="16"/>
  <c r="AA470" i="16" s="1"/>
  <c r="S472" i="16"/>
  <c r="AA472" i="16" s="1"/>
  <c r="S474" i="16"/>
  <c r="AA474" i="16" s="1"/>
  <c r="S476" i="16"/>
  <c r="AA476" i="16" s="1"/>
  <c r="W478" i="16"/>
  <c r="S478" i="16"/>
  <c r="M479" i="16"/>
  <c r="S484" i="16"/>
  <c r="S490" i="16"/>
  <c r="S480" i="16"/>
  <c r="AA480" i="16" s="1"/>
  <c r="S483" i="16"/>
  <c r="AA483" i="16" s="1"/>
  <c r="S485" i="16"/>
  <c r="AA485" i="16" s="1"/>
  <c r="S489" i="16"/>
  <c r="AA489" i="16" s="1"/>
  <c r="S492" i="16"/>
  <c r="AA492" i="16" s="1"/>
  <c r="S494" i="16"/>
  <c r="AA494" i="16" s="1"/>
  <c r="X496" i="16"/>
  <c r="O496" i="16"/>
  <c r="W497" i="16"/>
  <c r="S497" i="16"/>
  <c r="M497" i="16"/>
  <c r="W499" i="16"/>
  <c r="S499" i="16"/>
  <c r="M499" i="16"/>
  <c r="W504" i="16"/>
  <c r="S504" i="16"/>
  <c r="M504" i="16"/>
  <c r="X507" i="16"/>
  <c r="T507" i="16"/>
  <c r="O507" i="16"/>
  <c r="W508" i="16"/>
  <c r="S508" i="16"/>
  <c r="M508" i="16"/>
  <c r="X511" i="16"/>
  <c r="T511" i="16"/>
  <c r="O511" i="16"/>
  <c r="W512" i="16"/>
  <c r="S512" i="16"/>
  <c r="M512" i="16"/>
  <c r="X516" i="16"/>
  <c r="T516" i="16"/>
  <c r="W517" i="16"/>
  <c r="S517" i="16"/>
  <c r="M517" i="16"/>
  <c r="X492" i="16" l="1"/>
  <c r="X494" i="16"/>
  <c r="O483" i="16"/>
  <c r="U483" i="16" s="1"/>
  <c r="T475" i="16"/>
  <c r="AB475" i="16" s="1"/>
  <c r="O469" i="16"/>
  <c r="T469" i="16"/>
  <c r="AB469" i="16" s="1"/>
  <c r="T480" i="16"/>
  <c r="O518" i="16"/>
  <c r="Y518" i="16" s="1"/>
  <c r="O480" i="16"/>
  <c r="O503" i="16"/>
  <c r="Y503" i="16" s="1"/>
  <c r="T477" i="16"/>
  <c r="AB477" i="16" s="1"/>
  <c r="O477" i="16"/>
  <c r="U477" i="16" s="1"/>
  <c r="T503" i="16"/>
  <c r="AB503" i="16" s="1"/>
  <c r="O509" i="16"/>
  <c r="Y509" i="16" s="1"/>
  <c r="T509" i="16"/>
  <c r="AB509" i="16" s="1"/>
  <c r="T518" i="16"/>
  <c r="AB518" i="16" s="1"/>
  <c r="O473" i="16"/>
  <c r="AA511" i="16"/>
  <c r="AA467" i="16"/>
  <c r="T520" i="16"/>
  <c r="O513" i="16"/>
  <c r="T513" i="16"/>
  <c r="AB513" i="16" s="1"/>
  <c r="AC520" i="16"/>
  <c r="X483" i="16"/>
  <c r="AB483" i="16" s="1"/>
  <c r="AB478" i="16"/>
  <c r="X520" i="16"/>
  <c r="AB486" i="16"/>
  <c r="T473" i="16"/>
  <c r="AB473" i="16" s="1"/>
  <c r="O505" i="16"/>
  <c r="Y505" i="16" s="1"/>
  <c r="AA512" i="16"/>
  <c r="AB496" i="16"/>
  <c r="AA502" i="16"/>
  <c r="O494" i="16"/>
  <c r="U494" i="16" s="1"/>
  <c r="Y490" i="16"/>
  <c r="AC490" i="16" s="1"/>
  <c r="T505" i="16"/>
  <c r="AB505" i="16" s="1"/>
  <c r="T485" i="16"/>
  <c r="AB485" i="16" s="1"/>
  <c r="O485" i="16"/>
  <c r="U485" i="16" s="1"/>
  <c r="AA504" i="16"/>
  <c r="AB492" i="16"/>
  <c r="AB493" i="16"/>
  <c r="AA493" i="16"/>
  <c r="AA514" i="16"/>
  <c r="AB494" i="16"/>
  <c r="AA486" i="16"/>
  <c r="AA482" i="16"/>
  <c r="AC478" i="16"/>
  <c r="T508" i="16"/>
  <c r="X508" i="16"/>
  <c r="O508" i="16"/>
  <c r="T499" i="16"/>
  <c r="X499" i="16"/>
  <c r="O499" i="16"/>
  <c r="Y511" i="16"/>
  <c r="U511" i="16"/>
  <c r="X479" i="16"/>
  <c r="O479" i="16"/>
  <c r="T479" i="16"/>
  <c r="AB501" i="16"/>
  <c r="Y469" i="16"/>
  <c r="U469" i="16"/>
  <c r="O495" i="16"/>
  <c r="T495" i="16"/>
  <c r="X495" i="16"/>
  <c r="AC486" i="16"/>
  <c r="AA517" i="16"/>
  <c r="AA508" i="16"/>
  <c r="T504" i="16"/>
  <c r="X504" i="16"/>
  <c r="O504" i="16"/>
  <c r="AA499" i="16"/>
  <c r="Y496" i="16"/>
  <c r="U496" i="16"/>
  <c r="AB482" i="16"/>
  <c r="O502" i="16"/>
  <c r="T502" i="16"/>
  <c r="X502" i="16"/>
  <c r="U492" i="16"/>
  <c r="Y492" i="16"/>
  <c r="O514" i="16"/>
  <c r="X514" i="16"/>
  <c r="T514" i="16"/>
  <c r="AA506" i="16"/>
  <c r="AB489" i="16"/>
  <c r="Y483" i="16"/>
  <c r="T476" i="16"/>
  <c r="X476" i="16"/>
  <c r="O476" i="16"/>
  <c r="Y471" i="16"/>
  <c r="U471" i="16"/>
  <c r="X468" i="16"/>
  <c r="O468" i="16"/>
  <c r="T468" i="16"/>
  <c r="T517" i="16"/>
  <c r="X517" i="16"/>
  <c r="O517" i="16"/>
  <c r="Y513" i="16"/>
  <c r="U513" i="16"/>
  <c r="O506" i="16"/>
  <c r="X506" i="16"/>
  <c r="T506" i="16"/>
  <c r="Y489" i="16"/>
  <c r="U489" i="16"/>
  <c r="Y475" i="16"/>
  <c r="U475" i="16"/>
  <c r="T472" i="16"/>
  <c r="X472" i="16"/>
  <c r="O472" i="16"/>
  <c r="Y467" i="16"/>
  <c r="U467" i="16"/>
  <c r="AB516" i="16"/>
  <c r="AB507" i="16"/>
  <c r="AA497" i="16"/>
  <c r="AC484" i="16"/>
  <c r="AA510" i="16"/>
  <c r="AA484" i="16"/>
  <c r="X474" i="16"/>
  <c r="O474" i="16"/>
  <c r="T474" i="16"/>
  <c r="U480" i="16"/>
  <c r="Y480" i="16"/>
  <c r="AC493" i="16"/>
  <c r="T512" i="16"/>
  <c r="X512" i="16"/>
  <c r="O512" i="16"/>
  <c r="Y516" i="16"/>
  <c r="U516" i="16"/>
  <c r="AB511" i="16"/>
  <c r="Y507" i="16"/>
  <c r="U507" i="16"/>
  <c r="T497" i="16"/>
  <c r="X497" i="16"/>
  <c r="O497" i="16"/>
  <c r="AA478" i="16"/>
  <c r="O510" i="16"/>
  <c r="T510" i="16"/>
  <c r="X510" i="16"/>
  <c r="Y501" i="16"/>
  <c r="U501" i="16"/>
  <c r="AA490" i="16"/>
  <c r="Y473" i="16"/>
  <c r="U473" i="16"/>
  <c r="T470" i="16"/>
  <c r="X470" i="16"/>
  <c r="O470" i="16"/>
  <c r="AA495" i="16"/>
  <c r="AB480" i="16"/>
  <c r="AC482" i="16"/>
  <c r="U518" i="16" l="1"/>
  <c r="Y485" i="16"/>
  <c r="Y477" i="16"/>
  <c r="U503" i="16"/>
  <c r="AC503" i="16" s="1"/>
  <c r="Y494" i="16"/>
  <c r="U509" i="16"/>
  <c r="AB520" i="16"/>
  <c r="U505" i="16"/>
  <c r="AC505" i="16" s="1"/>
  <c r="AB497" i="16"/>
  <c r="AC480" i="16"/>
  <c r="AB502" i="16"/>
  <c r="AB495" i="16"/>
  <c r="AC501" i="16"/>
  <c r="AB510" i="16"/>
  <c r="AC516" i="16"/>
  <c r="AC477" i="16"/>
  <c r="AC489" i="16"/>
  <c r="AB468" i="16"/>
  <c r="AB476" i="16"/>
  <c r="AC509" i="16"/>
  <c r="AB470" i="16"/>
  <c r="AB512" i="16"/>
  <c r="AB504" i="16"/>
  <c r="AB508" i="16"/>
  <c r="AC473" i="16"/>
  <c r="AC513" i="16"/>
  <c r="AB514" i="16"/>
  <c r="AC469" i="16"/>
  <c r="U510" i="16"/>
  <c r="Y510" i="16"/>
  <c r="AB474" i="16"/>
  <c r="Y472" i="16"/>
  <c r="U472" i="16"/>
  <c r="AC475" i="16"/>
  <c r="AB506" i="16"/>
  <c r="Y517" i="16"/>
  <c r="U517" i="16"/>
  <c r="AC471" i="16"/>
  <c r="AC494" i="16"/>
  <c r="U514" i="16"/>
  <c r="Y514" i="16"/>
  <c r="Y479" i="16"/>
  <c r="U479" i="16"/>
  <c r="Y499" i="16"/>
  <c r="U499" i="16"/>
  <c r="Y497" i="16"/>
  <c r="U497" i="16"/>
  <c r="U470" i="16"/>
  <c r="Y470" i="16"/>
  <c r="AC507" i="16"/>
  <c r="Y512" i="16"/>
  <c r="U512" i="16"/>
  <c r="Y474" i="16"/>
  <c r="U474" i="16"/>
  <c r="AC467" i="16"/>
  <c r="Y504" i="16"/>
  <c r="U504" i="16"/>
  <c r="Y508" i="16"/>
  <c r="U508" i="16"/>
  <c r="AC518" i="16"/>
  <c r="AB472" i="16"/>
  <c r="U506" i="16"/>
  <c r="Y506" i="16"/>
  <c r="AB517" i="16"/>
  <c r="Y468" i="16"/>
  <c r="U468" i="16"/>
  <c r="Y476" i="16"/>
  <c r="U476" i="16"/>
  <c r="AC483" i="16"/>
  <c r="AC492" i="16"/>
  <c r="U502" i="16"/>
  <c r="Y502" i="16"/>
  <c r="AC496" i="16"/>
  <c r="AC485" i="16"/>
  <c r="U495" i="16"/>
  <c r="Y495" i="16"/>
  <c r="AB479" i="16"/>
  <c r="AC511" i="16"/>
  <c r="AB499" i="16"/>
  <c r="AC508" i="16" l="1"/>
  <c r="AC497" i="16"/>
  <c r="AC479" i="16"/>
  <c r="AC510" i="16"/>
  <c r="AC495" i="16"/>
  <c r="AC502" i="16"/>
  <c r="AC470" i="16"/>
  <c r="AC514" i="16"/>
  <c r="AC499" i="16"/>
  <c r="AC517" i="16"/>
  <c r="AC472" i="16"/>
  <c r="AC468" i="16"/>
  <c r="AC474" i="16"/>
  <c r="AC504" i="16"/>
  <c r="AC476" i="16"/>
  <c r="AC506" i="16"/>
  <c r="AC512" i="16"/>
  <c r="Y655" i="16" l="1"/>
  <c r="X655" i="16"/>
  <c r="W655" i="16"/>
  <c r="V655" i="16"/>
  <c r="U655" i="16"/>
  <c r="T655" i="16"/>
  <c r="S655" i="16"/>
  <c r="R655" i="16"/>
  <c r="Y654" i="16"/>
  <c r="X654" i="16"/>
  <c r="W654" i="16"/>
  <c r="V654" i="16"/>
  <c r="U654" i="16"/>
  <c r="T654" i="16"/>
  <c r="S654" i="16"/>
  <c r="R654" i="16"/>
  <c r="Y652" i="16"/>
  <c r="X652" i="16"/>
  <c r="W652" i="16"/>
  <c r="V652" i="16"/>
  <c r="U652" i="16"/>
  <c r="T652" i="16"/>
  <c r="S652" i="16"/>
  <c r="R652" i="16"/>
  <c r="Y651" i="16"/>
  <c r="X651" i="16"/>
  <c r="W651" i="16"/>
  <c r="V651" i="16"/>
  <c r="U651" i="16"/>
  <c r="T651" i="16"/>
  <c r="S651" i="16"/>
  <c r="R651" i="16"/>
  <c r="AA651" i="16" l="1"/>
  <c r="AA652" i="16"/>
  <c r="AA654" i="16"/>
  <c r="AA655" i="16"/>
  <c r="AB651" i="16"/>
  <c r="AB652" i="16"/>
  <c r="AB654" i="16"/>
  <c r="AB655" i="16"/>
  <c r="AC651" i="16"/>
  <c r="AC652" i="16"/>
  <c r="AC654" i="16"/>
  <c r="AC655" i="16"/>
  <c r="Z651" i="16"/>
  <c r="Z652" i="16"/>
  <c r="Z654" i="16"/>
  <c r="Z655" i="16"/>
  <c r="AC464" i="16"/>
  <c r="AB464" i="16"/>
  <c r="AA464" i="16"/>
  <c r="Z464" i="16"/>
  <c r="Y464" i="16"/>
  <c r="X464" i="16"/>
  <c r="W464" i="16"/>
  <c r="V464" i="16"/>
  <c r="U464" i="16"/>
  <c r="AC462" i="16"/>
  <c r="AB462" i="16"/>
  <c r="AA462" i="16"/>
  <c r="Z462" i="16"/>
  <c r="Y462" i="16"/>
  <c r="X462" i="16"/>
  <c r="W462" i="16"/>
  <c r="V462" i="16"/>
  <c r="U462" i="16"/>
  <c r="Q461" i="16"/>
  <c r="S461" i="16" s="1"/>
  <c r="AC460" i="16"/>
  <c r="AB460" i="16"/>
  <c r="AA460" i="16"/>
  <c r="Z460" i="16"/>
  <c r="Y460" i="16"/>
  <c r="X460" i="16"/>
  <c r="W460" i="16"/>
  <c r="V460" i="16"/>
  <c r="U460" i="16"/>
  <c r="AC457" i="16"/>
  <c r="AB457" i="16"/>
  <c r="AA457" i="16"/>
  <c r="Z457" i="16"/>
  <c r="Y457" i="16"/>
  <c r="X457" i="16"/>
  <c r="W457" i="16"/>
  <c r="V457" i="16"/>
  <c r="U457" i="16"/>
  <c r="AC454" i="16"/>
  <c r="AB454" i="16"/>
  <c r="AA454" i="16"/>
  <c r="Z454" i="16"/>
  <c r="Y454" i="16"/>
  <c r="X454" i="16"/>
  <c r="W454" i="16"/>
  <c r="V454" i="16"/>
  <c r="U454" i="16"/>
  <c r="AC453" i="16"/>
  <c r="AB453" i="16"/>
  <c r="AA453" i="16"/>
  <c r="Z453" i="16"/>
  <c r="Y453" i="16"/>
  <c r="X453" i="16"/>
  <c r="W453" i="16"/>
  <c r="V453" i="16"/>
  <c r="U453" i="16"/>
  <c r="AC451" i="16"/>
  <c r="AB451" i="16"/>
  <c r="AA451" i="16"/>
  <c r="Z451" i="16"/>
  <c r="Y451" i="16"/>
  <c r="X451" i="16"/>
  <c r="W451" i="16"/>
  <c r="V451" i="16"/>
  <c r="U451" i="16"/>
  <c r="AC450" i="16"/>
  <c r="AB450" i="16"/>
  <c r="AA450" i="16"/>
  <c r="Z450" i="16"/>
  <c r="Y450" i="16"/>
  <c r="X450" i="16"/>
  <c r="W450" i="16"/>
  <c r="V450" i="16"/>
  <c r="U450" i="16"/>
  <c r="AC449" i="16"/>
  <c r="AB449" i="16"/>
  <c r="AA449" i="16"/>
  <c r="Z449" i="16"/>
  <c r="Y449" i="16"/>
  <c r="X449" i="16"/>
  <c r="W449" i="16"/>
  <c r="V449" i="16"/>
  <c r="U449" i="16"/>
  <c r="AC442" i="16"/>
  <c r="AB442" i="16"/>
  <c r="AA442" i="16"/>
  <c r="Z442" i="16"/>
  <c r="Y442" i="16"/>
  <c r="X442" i="16"/>
  <c r="W442" i="16"/>
  <c r="V442" i="16"/>
  <c r="U442" i="16"/>
  <c r="AC441" i="16"/>
  <c r="AB441" i="16"/>
  <c r="AA441" i="16"/>
  <c r="Z441" i="16"/>
  <c r="Y441" i="16"/>
  <c r="X441" i="16"/>
  <c r="W441" i="16"/>
  <c r="V441" i="16"/>
  <c r="U441" i="16"/>
  <c r="AC440" i="16"/>
  <c r="AB440" i="16"/>
  <c r="AA440" i="16"/>
  <c r="Z440" i="16"/>
  <c r="Y440" i="16"/>
  <c r="X440" i="16"/>
  <c r="W440" i="16"/>
  <c r="V440" i="16"/>
  <c r="U440" i="16"/>
  <c r="AC436" i="16"/>
  <c r="AB436" i="16"/>
  <c r="AA436" i="16"/>
  <c r="Z436" i="16"/>
  <c r="Y436" i="16"/>
  <c r="X436" i="16"/>
  <c r="W436" i="16"/>
  <c r="V436" i="16"/>
  <c r="U436" i="16"/>
  <c r="O436" i="16"/>
  <c r="Q436" i="16" s="1"/>
  <c r="AC435" i="16"/>
  <c r="AB435" i="16"/>
  <c r="AA435" i="16"/>
  <c r="Z435" i="16"/>
  <c r="Y435" i="16"/>
  <c r="X435" i="16"/>
  <c r="W435" i="16"/>
  <c r="V435" i="16"/>
  <c r="U435" i="16"/>
  <c r="AC430" i="16"/>
  <c r="AB430" i="16"/>
  <c r="AA430" i="16"/>
  <c r="Z430" i="16"/>
  <c r="Y430" i="16"/>
  <c r="X430" i="16"/>
  <c r="W430" i="16"/>
  <c r="V430" i="16"/>
  <c r="U430" i="16"/>
  <c r="AC428" i="16"/>
  <c r="AB428" i="16"/>
  <c r="AA428" i="16"/>
  <c r="Z428" i="16"/>
  <c r="Y428" i="16"/>
  <c r="X428" i="16"/>
  <c r="W428" i="16"/>
  <c r="V428" i="16"/>
  <c r="U428" i="16"/>
  <c r="AC425" i="16"/>
  <c r="AB425" i="16"/>
  <c r="AA425" i="16"/>
  <c r="Z425" i="16"/>
  <c r="Y425" i="16"/>
  <c r="X425" i="16"/>
  <c r="W425" i="16"/>
  <c r="V425" i="16"/>
  <c r="U425" i="16"/>
  <c r="AA424" i="16"/>
  <c r="Z424" i="16"/>
  <c r="V424" i="16"/>
  <c r="U424" i="16"/>
  <c r="O424" i="16"/>
  <c r="Q424" i="16" s="1"/>
  <c r="S424" i="16" s="1"/>
  <c r="N424" i="16"/>
  <c r="W424" i="16" s="1"/>
  <c r="Q423" i="16"/>
  <c r="S423" i="16" s="1"/>
  <c r="AC422" i="16"/>
  <c r="AB422" i="16"/>
  <c r="AA422" i="16"/>
  <c r="Z422" i="16"/>
  <c r="Y422" i="16"/>
  <c r="X422" i="16"/>
  <c r="W422" i="16"/>
  <c r="V422" i="16"/>
  <c r="U422" i="16"/>
  <c r="AC414" i="16"/>
  <c r="AB414" i="16"/>
  <c r="AA414" i="16"/>
  <c r="Z414" i="16"/>
  <c r="Y414" i="16"/>
  <c r="X414" i="16"/>
  <c r="W414" i="16"/>
  <c r="V414" i="16"/>
  <c r="U414" i="16"/>
  <c r="AB424" i="16" l="1"/>
  <c r="P424" i="16"/>
  <c r="AC424" i="16" l="1"/>
  <c r="X424" i="16"/>
  <c r="R424" i="16"/>
  <c r="Y424" i="16" s="1"/>
  <c r="Y260" i="16" l="1"/>
  <c r="X260" i="16"/>
  <c r="W260" i="16"/>
  <c r="V260" i="16"/>
  <c r="U260" i="16"/>
  <c r="T260" i="16"/>
  <c r="S260" i="16"/>
  <c r="R260" i="16"/>
  <c r="Y259" i="16"/>
  <c r="X259" i="16"/>
  <c r="W259" i="16"/>
  <c r="V259" i="16"/>
  <c r="U259" i="16"/>
  <c r="T259" i="16"/>
  <c r="S259" i="16"/>
  <c r="R259" i="16"/>
  <c r="Y536" i="16"/>
  <c r="X536" i="16"/>
  <c r="W536" i="16"/>
  <c r="V536" i="16"/>
  <c r="U536" i="16"/>
  <c r="T536" i="16"/>
  <c r="S536" i="16"/>
  <c r="R536" i="16"/>
  <c r="Y212" i="16"/>
  <c r="X212" i="16"/>
  <c r="W212" i="16"/>
  <c r="V212" i="16"/>
  <c r="U212" i="16"/>
  <c r="T212" i="16"/>
  <c r="S212" i="16"/>
  <c r="R212" i="16"/>
  <c r="Y211" i="16"/>
  <c r="X211" i="16"/>
  <c r="W211" i="16"/>
  <c r="V211" i="16"/>
  <c r="U211" i="16"/>
  <c r="T211" i="16"/>
  <c r="S211" i="16"/>
  <c r="R211" i="16"/>
  <c r="Y336" i="16"/>
  <c r="X336" i="16"/>
  <c r="W336" i="16"/>
  <c r="V336" i="16"/>
  <c r="U336" i="16"/>
  <c r="T336" i="16"/>
  <c r="S336" i="16"/>
  <c r="R336" i="16"/>
  <c r="Y221" i="16"/>
  <c r="X221" i="16"/>
  <c r="W221" i="16"/>
  <c r="V221" i="16"/>
  <c r="U221" i="16"/>
  <c r="T221" i="16"/>
  <c r="S221" i="16"/>
  <c r="R221" i="16"/>
  <c r="Y220" i="16"/>
  <c r="X220" i="16"/>
  <c r="W220" i="16"/>
  <c r="V220" i="16"/>
  <c r="U220" i="16"/>
  <c r="T220" i="16"/>
  <c r="S220" i="16"/>
  <c r="R220" i="16"/>
  <c r="L335" i="16"/>
  <c r="N335" i="16" s="1"/>
  <c r="P335" i="16" s="1"/>
  <c r="K335" i="16"/>
  <c r="M335" i="16" s="1"/>
  <c r="O335" i="16" s="1"/>
  <c r="L334" i="16"/>
  <c r="N334" i="16" s="1"/>
  <c r="P334" i="16" s="1"/>
  <c r="K334" i="16"/>
  <c r="M334" i="16" s="1"/>
  <c r="O334" i="16" s="1"/>
  <c r="V333" i="16"/>
  <c r="R333" i="16"/>
  <c r="L333" i="16"/>
  <c r="N333" i="16" s="1"/>
  <c r="P333" i="16" s="1"/>
  <c r="K333" i="16"/>
  <c r="W333" i="16" s="1"/>
  <c r="Y332" i="16"/>
  <c r="X332" i="16"/>
  <c r="W332" i="16"/>
  <c r="V332" i="16"/>
  <c r="U332" i="16"/>
  <c r="T332" i="16"/>
  <c r="S332" i="16"/>
  <c r="R332" i="16"/>
  <c r="V331" i="16"/>
  <c r="R331" i="16"/>
  <c r="L331" i="16"/>
  <c r="N331" i="16" s="1"/>
  <c r="P331" i="16" s="1"/>
  <c r="K331" i="16"/>
  <c r="V330" i="16"/>
  <c r="R330" i="16"/>
  <c r="L330" i="16"/>
  <c r="N330" i="16" s="1"/>
  <c r="P330" i="16" s="1"/>
  <c r="K330" i="16"/>
  <c r="S330" i="16" s="1"/>
  <c r="V329" i="16"/>
  <c r="R329" i="16"/>
  <c r="L329" i="16"/>
  <c r="N329" i="16" s="1"/>
  <c r="P329" i="16" s="1"/>
  <c r="K329" i="16"/>
  <c r="V328" i="16"/>
  <c r="R328" i="16"/>
  <c r="L328" i="16"/>
  <c r="N328" i="16" s="1"/>
  <c r="P328" i="16" s="1"/>
  <c r="K328" i="16"/>
  <c r="S328" i="16" s="1"/>
  <c r="V327" i="16"/>
  <c r="R327" i="16"/>
  <c r="L327" i="16"/>
  <c r="N327" i="16" s="1"/>
  <c r="P327" i="16" s="1"/>
  <c r="K327" i="16"/>
  <c r="L325" i="16"/>
  <c r="N325" i="16" s="1"/>
  <c r="P325" i="16" s="1"/>
  <c r="K325" i="16"/>
  <c r="M325" i="16" s="1"/>
  <c r="O325" i="16" s="1"/>
  <c r="V324" i="16"/>
  <c r="R324" i="16"/>
  <c r="L324" i="16"/>
  <c r="N324" i="16" s="1"/>
  <c r="P324" i="16" s="1"/>
  <c r="K324" i="16"/>
  <c r="V323" i="16"/>
  <c r="R323" i="16"/>
  <c r="L323" i="16"/>
  <c r="N323" i="16" s="1"/>
  <c r="P323" i="16" s="1"/>
  <c r="K323" i="16"/>
  <c r="S323" i="16" s="1"/>
  <c r="V322" i="16"/>
  <c r="R322" i="16"/>
  <c r="L322" i="16"/>
  <c r="N322" i="16" s="1"/>
  <c r="P322" i="16" s="1"/>
  <c r="K322" i="16"/>
  <c r="V321" i="16"/>
  <c r="R321" i="16"/>
  <c r="L321" i="16"/>
  <c r="N321" i="16" s="1"/>
  <c r="P321" i="16" s="1"/>
  <c r="K321" i="16"/>
  <c r="S321" i="16" s="1"/>
  <c r="V320" i="16"/>
  <c r="R320" i="16"/>
  <c r="L320" i="16"/>
  <c r="N320" i="16" s="1"/>
  <c r="P320" i="16" s="1"/>
  <c r="K320" i="16"/>
  <c r="V318" i="16"/>
  <c r="R318" i="16"/>
  <c r="L318" i="16"/>
  <c r="N318" i="16" s="1"/>
  <c r="P318" i="16" s="1"/>
  <c r="K318" i="16"/>
  <c r="W318" i="16" s="1"/>
  <c r="V317" i="16"/>
  <c r="R317" i="16"/>
  <c r="L317" i="16"/>
  <c r="N317" i="16" s="1"/>
  <c r="P317" i="16" s="1"/>
  <c r="K317" i="16"/>
  <c r="M317" i="16" s="1"/>
  <c r="X317" i="16" s="1"/>
  <c r="R316" i="16"/>
  <c r="V315" i="16"/>
  <c r="R315" i="16"/>
  <c r="L315" i="16"/>
  <c r="N315" i="16" s="1"/>
  <c r="P315" i="16" s="1"/>
  <c r="K315" i="16"/>
  <c r="S315" i="16" s="1"/>
  <c r="V314" i="16"/>
  <c r="R314" i="16"/>
  <c r="L314" i="16"/>
  <c r="N314" i="16" s="1"/>
  <c r="P314" i="16" s="1"/>
  <c r="K314" i="16"/>
  <c r="R313" i="16"/>
  <c r="V312" i="16"/>
  <c r="R312" i="16"/>
  <c r="V311" i="16"/>
  <c r="R311" i="16"/>
  <c r="L311" i="16"/>
  <c r="N311" i="16" s="1"/>
  <c r="P311" i="16" s="1"/>
  <c r="K311" i="16"/>
  <c r="W311" i="16" s="1"/>
  <c r="V310" i="16"/>
  <c r="R310" i="16"/>
  <c r="L310" i="16"/>
  <c r="N310" i="16" s="1"/>
  <c r="P310" i="16" s="1"/>
  <c r="K310" i="16"/>
  <c r="V309" i="16"/>
  <c r="R309" i="16"/>
  <c r="L309" i="16"/>
  <c r="N309" i="16" s="1"/>
  <c r="P309" i="16" s="1"/>
  <c r="K309" i="16"/>
  <c r="W309" i="16" s="1"/>
  <c r="V308" i="16"/>
  <c r="R308" i="16"/>
  <c r="L308" i="16"/>
  <c r="N308" i="16" s="1"/>
  <c r="P308" i="16" s="1"/>
  <c r="K308" i="16"/>
  <c r="V307" i="16"/>
  <c r="R307" i="16"/>
  <c r="L307" i="16"/>
  <c r="N307" i="16" s="1"/>
  <c r="P307" i="16" s="1"/>
  <c r="K307" i="16"/>
  <c r="S307" i="16" s="1"/>
  <c r="R306" i="16"/>
  <c r="V305" i="16"/>
  <c r="R305" i="16"/>
  <c r="L305" i="16"/>
  <c r="N305" i="16" s="1"/>
  <c r="P305" i="16" s="1"/>
  <c r="K305" i="16"/>
  <c r="W305" i="16" s="1"/>
  <c r="V304" i="16"/>
  <c r="R304" i="16"/>
  <c r="L304" i="16"/>
  <c r="N304" i="16" s="1"/>
  <c r="P304" i="16" s="1"/>
  <c r="K304" i="16"/>
  <c r="M304" i="16" s="1"/>
  <c r="X304" i="16" s="1"/>
  <c r="V303" i="16"/>
  <c r="R303" i="16"/>
  <c r="L303" i="16"/>
  <c r="N303" i="16" s="1"/>
  <c r="P303" i="16" s="1"/>
  <c r="K303" i="16"/>
  <c r="W303" i="16" s="1"/>
  <c r="V302" i="16"/>
  <c r="R302" i="16"/>
  <c r="L302" i="16"/>
  <c r="N302" i="16" s="1"/>
  <c r="P302" i="16" s="1"/>
  <c r="K302" i="16"/>
  <c r="M302" i="16" s="1"/>
  <c r="T302" i="16" s="1"/>
  <c r="V301" i="16"/>
  <c r="R301" i="16"/>
  <c r="L301" i="16"/>
  <c r="N301" i="16" s="1"/>
  <c r="P301" i="16" s="1"/>
  <c r="K301" i="16"/>
  <c r="W301" i="16" s="1"/>
  <c r="V300" i="16"/>
  <c r="R300" i="16"/>
  <c r="L300" i="16"/>
  <c r="N300" i="16" s="1"/>
  <c r="P300" i="16" s="1"/>
  <c r="K300" i="16"/>
  <c r="M300" i="16" s="1"/>
  <c r="V298" i="16"/>
  <c r="R298" i="16"/>
  <c r="L298" i="16"/>
  <c r="N298" i="16" s="1"/>
  <c r="P298" i="16" s="1"/>
  <c r="K298" i="16"/>
  <c r="S298" i="16" s="1"/>
  <c r="V297" i="16"/>
  <c r="R297" i="16"/>
  <c r="L297" i="16"/>
  <c r="N297" i="16" s="1"/>
  <c r="P297" i="16" s="1"/>
  <c r="K297" i="16"/>
  <c r="M297" i="16" s="1"/>
  <c r="V296" i="16"/>
  <c r="R296" i="16"/>
  <c r="L296" i="16"/>
  <c r="N296" i="16" s="1"/>
  <c r="P296" i="16" s="1"/>
  <c r="K296" i="16"/>
  <c r="S296" i="16" s="1"/>
  <c r="V295" i="16"/>
  <c r="R295" i="16"/>
  <c r="L295" i="16"/>
  <c r="N295" i="16" s="1"/>
  <c r="P295" i="16" s="1"/>
  <c r="K295" i="16"/>
  <c r="M295" i="16" s="1"/>
  <c r="V294" i="16"/>
  <c r="R294" i="16"/>
  <c r="L294" i="16"/>
  <c r="N294" i="16" s="1"/>
  <c r="P294" i="16" s="1"/>
  <c r="K294" i="16"/>
  <c r="S294" i="16" s="1"/>
  <c r="V293" i="16"/>
  <c r="R293" i="16"/>
  <c r="L293" i="16"/>
  <c r="N293" i="16" s="1"/>
  <c r="P293" i="16" s="1"/>
  <c r="K293" i="16"/>
  <c r="M293" i="16" s="1"/>
  <c r="R292" i="16"/>
  <c r="L292" i="16"/>
  <c r="N292" i="16" s="1"/>
  <c r="P292" i="16" s="1"/>
  <c r="K292" i="16"/>
  <c r="S292" i="16" s="1"/>
  <c r="V291" i="16"/>
  <c r="R291" i="16"/>
  <c r="L291" i="16"/>
  <c r="N291" i="16" s="1"/>
  <c r="P291" i="16" s="1"/>
  <c r="K291" i="16"/>
  <c r="M291" i="16" s="1"/>
  <c r="Y289" i="16"/>
  <c r="X289" i="16"/>
  <c r="W289" i="16"/>
  <c r="V289" i="16"/>
  <c r="U289" i="16"/>
  <c r="T289" i="16"/>
  <c r="S289" i="16"/>
  <c r="R289" i="16"/>
  <c r="AB259" i="16" l="1"/>
  <c r="AB260" i="16"/>
  <c r="AC259" i="16"/>
  <c r="AC260" i="16"/>
  <c r="Z259" i="16"/>
  <c r="Z260" i="16"/>
  <c r="AA259" i="16"/>
  <c r="AA260" i="16"/>
  <c r="Z536" i="16"/>
  <c r="AA536" i="16"/>
  <c r="AB536" i="16"/>
  <c r="AC536" i="16"/>
  <c r="Z211" i="16"/>
  <c r="Z212" i="16"/>
  <c r="AA211" i="16"/>
  <c r="AA212" i="16"/>
  <c r="AB211" i="16"/>
  <c r="AB212" i="16"/>
  <c r="AC211" i="16"/>
  <c r="AC212" i="16"/>
  <c r="Z336" i="16"/>
  <c r="AA336" i="16"/>
  <c r="AA220" i="16"/>
  <c r="AA221" i="16"/>
  <c r="M309" i="16"/>
  <c r="X309" i="16" s="1"/>
  <c r="AB220" i="16"/>
  <c r="AB221" i="16"/>
  <c r="AB336" i="16"/>
  <c r="Z220" i="16"/>
  <c r="AC220" i="16"/>
  <c r="AC221" i="16"/>
  <c r="AC336" i="16"/>
  <c r="Z221" i="16"/>
  <c r="M328" i="16"/>
  <c r="X328" i="16" s="1"/>
  <c r="M296" i="16"/>
  <c r="X296" i="16" s="1"/>
  <c r="W296" i="16"/>
  <c r="AA296" i="16" s="1"/>
  <c r="Z318" i="16"/>
  <c r="Z328" i="16"/>
  <c r="Z296" i="16"/>
  <c r="W300" i="16"/>
  <c r="Z303" i="16"/>
  <c r="W328" i="16"/>
  <c r="AA328" i="16" s="1"/>
  <c r="M330" i="16"/>
  <c r="X330" i="16" s="1"/>
  <c r="W323" i="16"/>
  <c r="AA323" i="16" s="1"/>
  <c r="Z294" i="16"/>
  <c r="Z295" i="16"/>
  <c r="Z298" i="16"/>
  <c r="Z307" i="16"/>
  <c r="Z315" i="16"/>
  <c r="Z333" i="16"/>
  <c r="W295" i="16"/>
  <c r="M298" i="16"/>
  <c r="X298" i="16" s="1"/>
  <c r="W298" i="16"/>
  <c r="AA298" i="16" s="1"/>
  <c r="M307" i="16"/>
  <c r="T307" i="16" s="1"/>
  <c r="W307" i="16"/>
  <c r="AA307" i="16" s="1"/>
  <c r="M315" i="16"/>
  <c r="O315" i="16" s="1"/>
  <c r="W315" i="16"/>
  <c r="AA315" i="16" s="1"/>
  <c r="W321" i="16"/>
  <c r="AA321" i="16" s="1"/>
  <c r="M323" i="16"/>
  <c r="O323" i="16" s="1"/>
  <c r="Z330" i="16"/>
  <c r="Z289" i="16"/>
  <c r="W297" i="16"/>
  <c r="Z301" i="16"/>
  <c r="M303" i="16"/>
  <c r="X303" i="16" s="1"/>
  <c r="S309" i="16"/>
  <c r="AA309" i="16" s="1"/>
  <c r="M321" i="16"/>
  <c r="T321" i="16" s="1"/>
  <c r="W330" i="16"/>
  <c r="AA330" i="16" s="1"/>
  <c r="AB332" i="16"/>
  <c r="S293" i="16"/>
  <c r="AA289" i="16"/>
  <c r="Z291" i="16"/>
  <c r="M292" i="16"/>
  <c r="T292" i="16" s="1"/>
  <c r="Z293" i="16"/>
  <c r="M294" i="16"/>
  <c r="X294" i="16" s="1"/>
  <c r="W294" i="16"/>
  <c r="AA294" i="16" s="1"/>
  <c r="S297" i="16"/>
  <c r="S300" i="16"/>
  <c r="T304" i="16"/>
  <c r="AB304" i="16" s="1"/>
  <c r="Z308" i="16"/>
  <c r="M311" i="16"/>
  <c r="O311" i="16" s="1"/>
  <c r="Z311" i="16"/>
  <c r="Z314" i="16"/>
  <c r="T317" i="16"/>
  <c r="AB317" i="16" s="1"/>
  <c r="M318" i="16"/>
  <c r="X318" i="16" s="1"/>
  <c r="Z320" i="16"/>
  <c r="Z321" i="16"/>
  <c r="Z322" i="16"/>
  <c r="Z323" i="16"/>
  <c r="Z324" i="16"/>
  <c r="Z327" i="16"/>
  <c r="Z329" i="16"/>
  <c r="Z331" i="16"/>
  <c r="AC332" i="16"/>
  <c r="M333" i="16"/>
  <c r="X333" i="16" s="1"/>
  <c r="S291" i="16"/>
  <c r="S301" i="16"/>
  <c r="AA301" i="16" s="1"/>
  <c r="Z302" i="16"/>
  <c r="S304" i="16"/>
  <c r="Z305" i="16"/>
  <c r="S311" i="16"/>
  <c r="AA311" i="16" s="1"/>
  <c r="AB289" i="16"/>
  <c r="W291" i="16"/>
  <c r="W293" i="16"/>
  <c r="S295" i="16"/>
  <c r="Z297" i="16"/>
  <c r="Z300" i="16"/>
  <c r="M301" i="16"/>
  <c r="X301" i="16" s="1"/>
  <c r="O302" i="16"/>
  <c r="Y302" i="16" s="1"/>
  <c r="O304" i="16"/>
  <c r="U304" i="16" s="1"/>
  <c r="Z304" i="16"/>
  <c r="M305" i="16"/>
  <c r="X305" i="16" s="1"/>
  <c r="Z309" i="16"/>
  <c r="Z310" i="16"/>
  <c r="Z317" i="16"/>
  <c r="Z332" i="16"/>
  <c r="AC289" i="16"/>
  <c r="O317" i="16"/>
  <c r="Y317" i="16" s="1"/>
  <c r="AA332" i="16"/>
  <c r="O291" i="16"/>
  <c r="X291" i="16"/>
  <c r="T291" i="16"/>
  <c r="T300" i="16"/>
  <c r="O300" i="16"/>
  <c r="X300" i="16"/>
  <c r="T297" i="16"/>
  <c r="X297" i="16"/>
  <c r="O297" i="16"/>
  <c r="W320" i="16"/>
  <c r="S320" i="16"/>
  <c r="M320" i="16"/>
  <c r="T295" i="16"/>
  <c r="X295" i="16"/>
  <c r="O295" i="16"/>
  <c r="W308" i="16"/>
  <c r="S308" i="16"/>
  <c r="M308" i="16"/>
  <c r="X293" i="16"/>
  <c r="O293" i="16"/>
  <c r="T293" i="16"/>
  <c r="W331" i="16"/>
  <c r="S331" i="16"/>
  <c r="M331" i="16"/>
  <c r="Z312" i="16"/>
  <c r="W322" i="16"/>
  <c r="S322" i="16"/>
  <c r="M322" i="16"/>
  <c r="S302" i="16"/>
  <c r="X302" i="16"/>
  <c r="AB302" i="16" s="1"/>
  <c r="Y304" i="16"/>
  <c r="W310" i="16"/>
  <c r="S310" i="16"/>
  <c r="M310" i="16"/>
  <c r="W317" i="16"/>
  <c r="W324" i="16"/>
  <c r="S324" i="16"/>
  <c r="M324" i="16"/>
  <c r="W327" i="16"/>
  <c r="S327" i="16"/>
  <c r="M327" i="16"/>
  <c r="W302" i="16"/>
  <c r="W304" i="16"/>
  <c r="W314" i="16"/>
  <c r="S314" i="16"/>
  <c r="M314" i="16"/>
  <c r="S317" i="16"/>
  <c r="W329" i="16"/>
  <c r="S329" i="16"/>
  <c r="M329" i="16"/>
  <c r="S303" i="16"/>
  <c r="AA303" i="16" s="1"/>
  <c r="S305" i="16"/>
  <c r="AA305" i="16" s="1"/>
  <c r="S318" i="16"/>
  <c r="AA318" i="16" s="1"/>
  <c r="S333" i="16"/>
  <c r="AA333" i="16" s="1"/>
  <c r="O328" i="16" l="1"/>
  <c r="U328" i="16" s="1"/>
  <c r="T309" i="16"/>
  <c r="O309" i="16"/>
  <c r="U309" i="16" s="1"/>
  <c r="O303" i="16"/>
  <c r="Y303" i="16" s="1"/>
  <c r="T315" i="16"/>
  <c r="T296" i="16"/>
  <c r="AB296" i="16" s="1"/>
  <c r="X323" i="16"/>
  <c r="O318" i="16"/>
  <c r="U318" i="16" s="1"/>
  <c r="AA291" i="16"/>
  <c r="O292" i="16"/>
  <c r="U292" i="16" s="1"/>
  <c r="T318" i="16"/>
  <c r="AB318" i="16" s="1"/>
  <c r="T328" i="16"/>
  <c r="AB328" i="16" s="1"/>
  <c r="X321" i="16"/>
  <c r="X307" i="16"/>
  <c r="AB307" i="16" s="1"/>
  <c r="O298" i="16"/>
  <c r="Y298" i="16" s="1"/>
  <c r="X315" i="16"/>
  <c r="O296" i="16"/>
  <c r="U296" i="16" s="1"/>
  <c r="O330" i="16"/>
  <c r="U330" i="16" s="1"/>
  <c r="O321" i="16"/>
  <c r="Y321" i="16" s="1"/>
  <c r="T330" i="16"/>
  <c r="AB330" i="16" s="1"/>
  <c r="T311" i="16"/>
  <c r="T323" i="16"/>
  <c r="X311" i="16"/>
  <c r="AA295" i="16"/>
  <c r="AA300" i="16"/>
  <c r="T303" i="16"/>
  <c r="AB303" i="16" s="1"/>
  <c r="AA327" i="16"/>
  <c r="U302" i="16"/>
  <c r="AC302" i="16" s="1"/>
  <c r="T298" i="16"/>
  <c r="AB298" i="16" s="1"/>
  <c r="O333" i="16"/>
  <c r="U333" i="16" s="1"/>
  <c r="O305" i="16"/>
  <c r="U305" i="16" s="1"/>
  <c r="AA297" i="16"/>
  <c r="AB321" i="16"/>
  <c r="T333" i="16"/>
  <c r="AB333" i="16" s="1"/>
  <c r="U317" i="16"/>
  <c r="AC317" i="16" s="1"/>
  <c r="T305" i="16"/>
  <c r="AB305" i="16" s="1"/>
  <c r="T301" i="16"/>
  <c r="AB301" i="16" s="1"/>
  <c r="AA331" i="16"/>
  <c r="O307" i="16"/>
  <c r="Y307" i="16" s="1"/>
  <c r="AA314" i="16"/>
  <c r="AA304" i="16"/>
  <c r="O301" i="16"/>
  <c r="Y301" i="16" s="1"/>
  <c r="AA302" i="16"/>
  <c r="AA310" i="16"/>
  <c r="AC304" i="16"/>
  <c r="T294" i="16"/>
  <c r="AB294" i="16" s="1"/>
  <c r="AB297" i="16"/>
  <c r="AA293" i="16"/>
  <c r="AA317" i="16"/>
  <c r="O294" i="16"/>
  <c r="U294" i="16" s="1"/>
  <c r="Y297" i="16"/>
  <c r="U297" i="16"/>
  <c r="T327" i="16"/>
  <c r="X327" i="16"/>
  <c r="O327" i="16"/>
  <c r="T310" i="16"/>
  <c r="X310" i="16"/>
  <c r="O310" i="16"/>
  <c r="AA322" i="16"/>
  <c r="X331" i="16"/>
  <c r="O331" i="16"/>
  <c r="T331" i="16"/>
  <c r="Y311" i="16"/>
  <c r="U311" i="16"/>
  <c r="X320" i="16"/>
  <c r="O320" i="16"/>
  <c r="T320" i="16"/>
  <c r="T324" i="16"/>
  <c r="O324" i="16"/>
  <c r="X324" i="16"/>
  <c r="Y309" i="16"/>
  <c r="Y323" i="16"/>
  <c r="U323" i="16"/>
  <c r="AA329" i="16"/>
  <c r="X314" i="16"/>
  <c r="O314" i="16"/>
  <c r="T314" i="16"/>
  <c r="Y315" i="16"/>
  <c r="U315" i="16"/>
  <c r="Y333" i="16"/>
  <c r="AA324" i="16"/>
  <c r="AB309" i="16"/>
  <c r="Y293" i="16"/>
  <c r="U293" i="16"/>
  <c r="AA308" i="16"/>
  <c r="Y295" i="16"/>
  <c r="U295" i="16"/>
  <c r="AB300" i="16"/>
  <c r="AB291" i="16"/>
  <c r="T308" i="16"/>
  <c r="O308" i="16"/>
  <c r="X308" i="16"/>
  <c r="X329" i="16"/>
  <c r="O329" i="16"/>
  <c r="T329" i="16"/>
  <c r="Y328" i="16"/>
  <c r="X322" i="16"/>
  <c r="T322" i="16"/>
  <c r="O322" i="16"/>
  <c r="AB293" i="16"/>
  <c r="AB295" i="16"/>
  <c r="AA320" i="16"/>
  <c r="Y300" i="16"/>
  <c r="U300" i="16"/>
  <c r="Y291" i="16"/>
  <c r="U291" i="16"/>
  <c r="Y318" i="16" l="1"/>
  <c r="Y330" i="16"/>
  <c r="AC330" i="16" s="1"/>
  <c r="U303" i="16"/>
  <c r="AC303" i="16" s="1"/>
  <c r="AB323" i="16"/>
  <c r="U301" i="16"/>
  <c r="AC301" i="16" s="1"/>
  <c r="U298" i="16"/>
  <c r="AC298" i="16" s="1"/>
  <c r="U321" i="16"/>
  <c r="AC321" i="16" s="1"/>
  <c r="Y305" i="16"/>
  <c r="AC305" i="16" s="1"/>
  <c r="AB315" i="16"/>
  <c r="AB311" i="16"/>
  <c r="AC318" i="16"/>
  <c r="Y296" i="16"/>
  <c r="AC296" i="16" s="1"/>
  <c r="AB322" i="16"/>
  <c r="AB308" i="16"/>
  <c r="AC333" i="16"/>
  <c r="Y294" i="16"/>
  <c r="AC294" i="16" s="1"/>
  <c r="U307" i="16"/>
  <c r="AC307" i="16" s="1"/>
  <c r="AB310" i="16"/>
  <c r="AB324" i="16"/>
  <c r="AC311" i="16"/>
  <c r="AC300" i="16"/>
  <c r="AC309" i="16"/>
  <c r="AB314" i="16"/>
  <c r="AB331" i="16"/>
  <c r="AB327" i="16"/>
  <c r="U314" i="16"/>
  <c r="Y314" i="16"/>
  <c r="Y331" i="16"/>
  <c r="U331" i="16"/>
  <c r="AC291" i="16"/>
  <c r="U308" i="16"/>
  <c r="Y308" i="16"/>
  <c r="AC293" i="16"/>
  <c r="AC323" i="16"/>
  <c r="Y324" i="16"/>
  <c r="U324" i="16"/>
  <c r="Y320" i="16"/>
  <c r="U320" i="16"/>
  <c r="Y310" i="16"/>
  <c r="U310" i="16"/>
  <c r="Y327" i="16"/>
  <c r="U327" i="16"/>
  <c r="Y322" i="16"/>
  <c r="U322" i="16"/>
  <c r="AC328" i="16"/>
  <c r="Y329" i="16"/>
  <c r="U329" i="16"/>
  <c r="AC295" i="16"/>
  <c r="AC315" i="16"/>
  <c r="AB320" i="16"/>
  <c r="AB329" i="16"/>
  <c r="AC297" i="16"/>
  <c r="AC327" i="16" l="1"/>
  <c r="AC308" i="16"/>
  <c r="AC314" i="16"/>
  <c r="AC320" i="16"/>
  <c r="AC331" i="16"/>
  <c r="AC322" i="16"/>
  <c r="AC310" i="16"/>
  <c r="AC324" i="16"/>
  <c r="AC329" i="16"/>
  <c r="Y413" i="16" l="1"/>
  <c r="X413" i="16"/>
  <c r="W413" i="16"/>
  <c r="V413" i="16"/>
  <c r="U413" i="16"/>
  <c r="T413" i="16"/>
  <c r="S413" i="16"/>
  <c r="R413" i="16"/>
  <c r="W412" i="16"/>
  <c r="V412" i="16"/>
  <c r="U412" i="16"/>
  <c r="X412" i="16" s="1"/>
  <c r="T412" i="16"/>
  <c r="S412" i="16"/>
  <c r="R412" i="16"/>
  <c r="Y412" i="16" s="1"/>
  <c r="Y411" i="16"/>
  <c r="X411" i="16"/>
  <c r="W411" i="16"/>
  <c r="V411" i="16"/>
  <c r="U411" i="16"/>
  <c r="T411" i="16"/>
  <c r="S411" i="16"/>
  <c r="R411" i="16"/>
  <c r="Z412" i="16" l="1"/>
  <c r="AB411" i="16"/>
  <c r="AC411" i="16"/>
  <c r="Z411" i="16"/>
  <c r="AA411" i="16"/>
  <c r="Y243" i="16" l="1"/>
  <c r="X243" i="16"/>
  <c r="W243" i="16"/>
  <c r="V243" i="16"/>
  <c r="U243" i="16"/>
  <c r="T243" i="16"/>
  <c r="S243" i="16"/>
  <c r="R243" i="16"/>
  <c r="Y242" i="16"/>
  <c r="X242" i="16"/>
  <c r="W242" i="16"/>
  <c r="V242" i="16"/>
  <c r="U242" i="16"/>
  <c r="T242" i="16"/>
  <c r="S242" i="16"/>
  <c r="R242" i="16"/>
  <c r="Y241" i="16"/>
  <c r="X241" i="16"/>
  <c r="W241" i="16"/>
  <c r="V241" i="16"/>
  <c r="U241" i="16"/>
  <c r="T241" i="16"/>
  <c r="S241" i="16"/>
  <c r="R241" i="16"/>
  <c r="Y240" i="16"/>
  <c r="X240" i="16"/>
  <c r="W240" i="16"/>
  <c r="V240" i="16"/>
  <c r="U240" i="16"/>
  <c r="T240" i="16"/>
  <c r="S240" i="16"/>
  <c r="R240" i="16"/>
  <c r="Y239" i="16"/>
  <c r="X239" i="16"/>
  <c r="W239" i="16"/>
  <c r="V239" i="16"/>
  <c r="U239" i="16"/>
  <c r="T239" i="16"/>
  <c r="S239" i="16"/>
  <c r="R239" i="16"/>
  <c r="Y238" i="16"/>
  <c r="X238" i="16"/>
  <c r="W238" i="16"/>
  <c r="V238" i="16"/>
  <c r="U238" i="16"/>
  <c r="T238" i="16"/>
  <c r="S238" i="16"/>
  <c r="R238" i="16"/>
  <c r="Y237" i="16"/>
  <c r="X237" i="16"/>
  <c r="W237" i="16"/>
  <c r="V237" i="16"/>
  <c r="U237" i="16"/>
  <c r="T237" i="16"/>
  <c r="S237" i="16"/>
  <c r="R237" i="16"/>
  <c r="Y236" i="16"/>
  <c r="X236" i="16"/>
  <c r="W236" i="16"/>
  <c r="V236" i="16"/>
  <c r="U236" i="16"/>
  <c r="T236" i="16"/>
  <c r="S236" i="16"/>
  <c r="R236" i="16"/>
  <c r="Y235" i="16"/>
  <c r="X235" i="16"/>
  <c r="W235" i="16"/>
  <c r="V235" i="16"/>
  <c r="U235" i="16"/>
  <c r="T235" i="16"/>
  <c r="S235" i="16"/>
  <c r="R235" i="16"/>
  <c r="Y233" i="16"/>
  <c r="X233" i="16"/>
  <c r="W233" i="16"/>
  <c r="V233" i="16"/>
  <c r="U233" i="16"/>
  <c r="T233" i="16"/>
  <c r="S233" i="16"/>
  <c r="R233" i="16"/>
  <c r="Y232" i="16"/>
  <c r="X232" i="16"/>
  <c r="W232" i="16"/>
  <c r="V232" i="16"/>
  <c r="U232" i="16"/>
  <c r="T232" i="16"/>
  <c r="S232" i="16"/>
  <c r="R232" i="16"/>
  <c r="Y231" i="16"/>
  <c r="X231" i="16"/>
  <c r="W231" i="16"/>
  <c r="V231" i="16"/>
  <c r="U231" i="16"/>
  <c r="T231" i="16"/>
  <c r="S231" i="16"/>
  <c r="R231" i="16"/>
  <c r="Y230" i="16"/>
  <c r="X230" i="16"/>
  <c r="W230" i="16"/>
  <c r="V230" i="16"/>
  <c r="U230" i="16"/>
  <c r="T230" i="16"/>
  <c r="S230" i="16"/>
  <c r="R230" i="16"/>
  <c r="Y229" i="16"/>
  <c r="X229" i="16"/>
  <c r="W229" i="16"/>
  <c r="V229" i="16"/>
  <c r="U229" i="16"/>
  <c r="T229" i="16"/>
  <c r="S229" i="16"/>
  <c r="R229" i="16"/>
  <c r="Y228" i="16"/>
  <c r="X228" i="16"/>
  <c r="W228" i="16"/>
  <c r="V228" i="16"/>
  <c r="U228" i="16"/>
  <c r="T228" i="16"/>
  <c r="S228" i="16"/>
  <c r="R228" i="16"/>
  <c r="Y227" i="16"/>
  <c r="X227" i="16"/>
  <c r="W227" i="16"/>
  <c r="V227" i="16"/>
  <c r="U227" i="16"/>
  <c r="T227" i="16"/>
  <c r="S227" i="16"/>
  <c r="R227" i="16"/>
  <c r="Y226" i="16"/>
  <c r="X226" i="16"/>
  <c r="W226" i="16"/>
  <c r="V226" i="16"/>
  <c r="U226" i="16"/>
  <c r="T226" i="16"/>
  <c r="S226" i="16"/>
  <c r="R226" i="16"/>
  <c r="Y225" i="16"/>
  <c r="X225" i="16"/>
  <c r="W225" i="16"/>
  <c r="V225" i="16"/>
  <c r="U225" i="16"/>
  <c r="T225" i="16"/>
  <c r="S225" i="16"/>
  <c r="R225" i="16"/>
  <c r="Y224" i="16"/>
  <c r="X224" i="16"/>
  <c r="W224" i="16"/>
  <c r="V224" i="16"/>
  <c r="U224" i="16"/>
  <c r="T224" i="16"/>
  <c r="S224" i="16"/>
  <c r="R224" i="16"/>
  <c r="Y223" i="16"/>
  <c r="X223" i="16"/>
  <c r="W223" i="16"/>
  <c r="V223" i="16"/>
  <c r="U223" i="16"/>
  <c r="T223" i="16"/>
  <c r="S223" i="16"/>
  <c r="R223" i="16"/>
  <c r="Y219" i="16"/>
  <c r="X219" i="16"/>
  <c r="W219" i="16"/>
  <c r="V219" i="16"/>
  <c r="U219" i="16"/>
  <c r="T219" i="16"/>
  <c r="S219" i="16"/>
  <c r="R219" i="16"/>
  <c r="Y218" i="16"/>
  <c r="X218" i="16"/>
  <c r="W218" i="16"/>
  <c r="V218" i="16"/>
  <c r="U218" i="16"/>
  <c r="T218" i="16"/>
  <c r="S218" i="16"/>
  <c r="R218" i="16"/>
  <c r="Y217" i="16"/>
  <c r="X217" i="16"/>
  <c r="W217" i="16"/>
  <c r="V217" i="16"/>
  <c r="U217" i="16"/>
  <c r="T217" i="16"/>
  <c r="S217" i="16"/>
  <c r="R217" i="16"/>
  <c r="Y216" i="16"/>
  <c r="X216" i="16"/>
  <c r="W216" i="16"/>
  <c r="V216" i="16"/>
  <c r="U216" i="16"/>
  <c r="T216" i="16"/>
  <c r="S216" i="16"/>
  <c r="R216" i="16"/>
  <c r="Y215" i="16"/>
  <c r="X215" i="16"/>
  <c r="W215" i="16"/>
  <c r="V215" i="16"/>
  <c r="U215" i="16"/>
  <c r="T215" i="16"/>
  <c r="S215" i="16"/>
  <c r="R215" i="16"/>
  <c r="Y214" i="16"/>
  <c r="X214" i="16"/>
  <c r="W214" i="16"/>
  <c r="V214" i="16"/>
  <c r="U214" i="16"/>
  <c r="T214" i="16"/>
  <c r="S214" i="16"/>
  <c r="R214" i="16"/>
  <c r="Y210" i="16"/>
  <c r="X210" i="16"/>
  <c r="W210" i="16"/>
  <c r="V210" i="16"/>
  <c r="U210" i="16"/>
  <c r="T210" i="16"/>
  <c r="S210" i="16"/>
  <c r="R210" i="16"/>
  <c r="Y209" i="16"/>
  <c r="X209" i="16"/>
  <c r="W209" i="16"/>
  <c r="V209" i="16"/>
  <c r="U209" i="16"/>
  <c r="T209" i="16"/>
  <c r="S209" i="16"/>
  <c r="R209" i="16"/>
  <c r="Y208" i="16"/>
  <c r="X208" i="16"/>
  <c r="W208" i="16"/>
  <c r="V208" i="16"/>
  <c r="U208" i="16"/>
  <c r="T208" i="16"/>
  <c r="S208" i="16"/>
  <c r="R208" i="16"/>
  <c r="Y207" i="16"/>
  <c r="X207" i="16"/>
  <c r="W207" i="16"/>
  <c r="V207" i="16"/>
  <c r="U207" i="16"/>
  <c r="T207" i="16"/>
  <c r="S207" i="16"/>
  <c r="R207" i="16"/>
  <c r="Y206" i="16"/>
  <c r="X206" i="16"/>
  <c r="W206" i="16"/>
  <c r="V206" i="16"/>
  <c r="U206" i="16"/>
  <c r="T206" i="16"/>
  <c r="S206" i="16"/>
  <c r="R206" i="16"/>
  <c r="Y205" i="16"/>
  <c r="X205" i="16"/>
  <c r="W205" i="16"/>
  <c r="V205" i="16"/>
  <c r="U205" i="16"/>
  <c r="T205" i="16"/>
  <c r="S205" i="16"/>
  <c r="R205" i="16"/>
  <c r="Y204" i="16"/>
  <c r="X204" i="16"/>
  <c r="W204" i="16"/>
  <c r="V204" i="16"/>
  <c r="U204" i="16"/>
  <c r="T204" i="16"/>
  <c r="S204" i="16"/>
  <c r="R204" i="16"/>
  <c r="Y202" i="16"/>
  <c r="X202" i="16"/>
  <c r="W202" i="16"/>
  <c r="V202" i="16"/>
  <c r="U202" i="16"/>
  <c r="T202" i="16"/>
  <c r="S202" i="16"/>
  <c r="R202" i="16"/>
  <c r="Y201" i="16"/>
  <c r="X201" i="16"/>
  <c r="W201" i="16"/>
  <c r="V201" i="16"/>
  <c r="U201" i="16"/>
  <c r="T201" i="16"/>
  <c r="S201" i="16"/>
  <c r="R201" i="16"/>
  <c r="Y200" i="16"/>
  <c r="X200" i="16"/>
  <c r="W200" i="16"/>
  <c r="V200" i="16"/>
  <c r="U200" i="16"/>
  <c r="T200" i="16"/>
  <c r="S200" i="16"/>
  <c r="R200" i="16"/>
  <c r="Y199" i="16"/>
  <c r="X199" i="16"/>
  <c r="W199" i="16"/>
  <c r="V199" i="16"/>
  <c r="U199" i="16"/>
  <c r="T199" i="16"/>
  <c r="S199" i="16"/>
  <c r="R199" i="16"/>
  <c r="Y198" i="16"/>
  <c r="X198" i="16"/>
  <c r="W198" i="16"/>
  <c r="V198" i="16"/>
  <c r="U198" i="16"/>
  <c r="T198" i="16"/>
  <c r="S198" i="16"/>
  <c r="R198" i="16"/>
  <c r="Y196" i="16"/>
  <c r="X196" i="16"/>
  <c r="W196" i="16"/>
  <c r="V196" i="16"/>
  <c r="U196" i="16"/>
  <c r="T196" i="16"/>
  <c r="S196" i="16"/>
  <c r="R196" i="16"/>
  <c r="Y195" i="16"/>
  <c r="X195" i="16"/>
  <c r="W195" i="16"/>
  <c r="V195" i="16"/>
  <c r="U195" i="16"/>
  <c r="T195" i="16"/>
  <c r="S195" i="16"/>
  <c r="R195" i="16"/>
  <c r="Y194" i="16"/>
  <c r="X194" i="16"/>
  <c r="W194" i="16"/>
  <c r="V194" i="16"/>
  <c r="U194" i="16"/>
  <c r="T194" i="16"/>
  <c r="S194" i="16"/>
  <c r="R194" i="16"/>
  <c r="Y193" i="16"/>
  <c r="X193" i="16"/>
  <c r="W193" i="16"/>
  <c r="V193" i="16"/>
  <c r="U193" i="16"/>
  <c r="T193" i="16"/>
  <c r="S193" i="16"/>
  <c r="R193" i="16"/>
  <c r="Y192" i="16"/>
  <c r="X192" i="16"/>
  <c r="W192" i="16"/>
  <c r="V192" i="16"/>
  <c r="U192" i="16"/>
  <c r="T192" i="16"/>
  <c r="S192" i="16"/>
  <c r="R192" i="16"/>
  <c r="Y190" i="16"/>
  <c r="X190" i="16"/>
  <c r="W190" i="16"/>
  <c r="V190" i="16"/>
  <c r="U190" i="16"/>
  <c r="T190" i="16"/>
  <c r="S190" i="16"/>
  <c r="R190" i="16"/>
  <c r="Y189" i="16"/>
  <c r="X189" i="16"/>
  <c r="W189" i="16"/>
  <c r="V189" i="16"/>
  <c r="U189" i="16"/>
  <c r="T189" i="16"/>
  <c r="S189" i="16"/>
  <c r="R189" i="16"/>
  <c r="Y188" i="16"/>
  <c r="X188" i="16"/>
  <c r="W188" i="16"/>
  <c r="V188" i="16"/>
  <c r="U188" i="16"/>
  <c r="T188" i="16"/>
  <c r="S188" i="16"/>
  <c r="R188" i="16"/>
  <c r="Y187" i="16"/>
  <c r="X187" i="16"/>
  <c r="W187" i="16"/>
  <c r="V187" i="16"/>
  <c r="U187" i="16"/>
  <c r="T187" i="16"/>
  <c r="S187" i="16"/>
  <c r="R187" i="16"/>
  <c r="Y186" i="16"/>
  <c r="X186" i="16"/>
  <c r="W186" i="16"/>
  <c r="V186" i="16"/>
  <c r="U186" i="16"/>
  <c r="T186" i="16"/>
  <c r="S186" i="16"/>
  <c r="R186" i="16"/>
  <c r="Y185" i="16"/>
  <c r="X185" i="16"/>
  <c r="W185" i="16"/>
  <c r="V185" i="16"/>
  <c r="U185" i="16"/>
  <c r="T185" i="16"/>
  <c r="S185" i="16"/>
  <c r="R185" i="16"/>
  <c r="Y183" i="16"/>
  <c r="X183" i="16"/>
  <c r="W183" i="16"/>
  <c r="V183" i="16"/>
  <c r="U183" i="16"/>
  <c r="T183" i="16"/>
  <c r="S183" i="16"/>
  <c r="R183" i="16"/>
  <c r="Y182" i="16"/>
  <c r="X182" i="16"/>
  <c r="W182" i="16"/>
  <c r="V182" i="16"/>
  <c r="U182" i="16"/>
  <c r="T182" i="16"/>
  <c r="S182" i="16"/>
  <c r="R182" i="16"/>
  <c r="Y181" i="16"/>
  <c r="X181" i="16"/>
  <c r="W181" i="16"/>
  <c r="V181" i="16"/>
  <c r="U181" i="16"/>
  <c r="T181" i="16"/>
  <c r="S181" i="16"/>
  <c r="R181" i="16"/>
  <c r="Y180" i="16"/>
  <c r="X180" i="16"/>
  <c r="W180" i="16"/>
  <c r="V180" i="16"/>
  <c r="U180" i="16"/>
  <c r="T180" i="16"/>
  <c r="S180" i="16"/>
  <c r="R180" i="16"/>
  <c r="Y179" i="16"/>
  <c r="X179" i="16"/>
  <c r="W179" i="16"/>
  <c r="V179" i="16"/>
  <c r="U179" i="16"/>
  <c r="T179" i="16"/>
  <c r="S179" i="16"/>
  <c r="R179" i="16"/>
  <c r="Y178" i="16"/>
  <c r="X178" i="16"/>
  <c r="W178" i="16"/>
  <c r="V178" i="16"/>
  <c r="U178" i="16"/>
  <c r="T178" i="16"/>
  <c r="S178" i="16"/>
  <c r="R178" i="16"/>
  <c r="Y177" i="16"/>
  <c r="X177" i="16"/>
  <c r="W177" i="16"/>
  <c r="V177" i="16"/>
  <c r="U177" i="16"/>
  <c r="T177" i="16"/>
  <c r="S177" i="16"/>
  <c r="R177" i="16"/>
  <c r="Y176" i="16"/>
  <c r="X176" i="16"/>
  <c r="W176" i="16"/>
  <c r="V176" i="16"/>
  <c r="U176" i="16"/>
  <c r="T176" i="16"/>
  <c r="S176" i="16"/>
  <c r="R176" i="16"/>
  <c r="Y175" i="16"/>
  <c r="X175" i="16"/>
  <c r="W175" i="16"/>
  <c r="V175" i="16"/>
  <c r="U175" i="16"/>
  <c r="T175" i="16"/>
  <c r="S175" i="16"/>
  <c r="R175" i="16"/>
  <c r="Y174" i="16"/>
  <c r="X174" i="16"/>
  <c r="W174" i="16"/>
  <c r="V174" i="16"/>
  <c r="U174" i="16"/>
  <c r="T174" i="16"/>
  <c r="S174" i="16"/>
  <c r="R174" i="16"/>
  <c r="Y173" i="16"/>
  <c r="X173" i="16"/>
  <c r="W173" i="16"/>
  <c r="V173" i="16"/>
  <c r="U173" i="16"/>
  <c r="T173" i="16"/>
  <c r="S173" i="16"/>
  <c r="R173" i="16"/>
  <c r="Y172" i="16"/>
  <c r="X172" i="16"/>
  <c r="W172" i="16"/>
  <c r="V172" i="16"/>
  <c r="U172" i="16"/>
  <c r="T172" i="16"/>
  <c r="S172" i="16"/>
  <c r="R172" i="16"/>
  <c r="Y171" i="16"/>
  <c r="X171" i="16"/>
  <c r="W171" i="16"/>
  <c r="V171" i="16"/>
  <c r="U171" i="16"/>
  <c r="T171" i="16"/>
  <c r="S171" i="16"/>
  <c r="R171" i="16"/>
  <c r="Y170" i="16"/>
  <c r="X170" i="16"/>
  <c r="W170" i="16"/>
  <c r="V170" i="16"/>
  <c r="U170" i="16"/>
  <c r="T170" i="16"/>
  <c r="S170" i="16"/>
  <c r="R170" i="16"/>
  <c r="Y169" i="16"/>
  <c r="X169" i="16"/>
  <c r="W169" i="16"/>
  <c r="V169" i="16"/>
  <c r="U169" i="16"/>
  <c r="T169" i="16"/>
  <c r="S169" i="16"/>
  <c r="R169" i="16"/>
  <c r="Y168" i="16"/>
  <c r="X168" i="16"/>
  <c r="W168" i="16"/>
  <c r="V168" i="16"/>
  <c r="U168" i="16"/>
  <c r="T168" i="16"/>
  <c r="S168" i="16"/>
  <c r="R168" i="16"/>
  <c r="Y167" i="16"/>
  <c r="X167" i="16"/>
  <c r="W167" i="16"/>
  <c r="V167" i="16"/>
  <c r="U167" i="16"/>
  <c r="T167" i="16"/>
  <c r="S167" i="16"/>
  <c r="R167" i="16"/>
  <c r="AC168" i="16" l="1"/>
  <c r="Z214" i="16"/>
  <c r="AA174" i="16"/>
  <c r="Z216" i="16"/>
  <c r="Z217" i="16"/>
  <c r="Z218" i="16"/>
  <c r="Z219" i="16"/>
  <c r="Z223" i="16"/>
  <c r="Z224" i="16"/>
  <c r="Z226" i="16"/>
  <c r="Z227" i="16"/>
  <c r="Z228" i="16"/>
  <c r="Z229" i="16"/>
  <c r="Z230" i="16"/>
  <c r="Z231" i="16"/>
  <c r="Z232" i="16"/>
  <c r="Z233" i="16"/>
  <c r="Z235" i="16"/>
  <c r="Z237" i="16"/>
  <c r="Z238" i="16"/>
  <c r="AA185" i="16"/>
  <c r="AA186" i="16"/>
  <c r="AA187" i="16"/>
  <c r="AA196" i="16"/>
  <c r="AA198" i="16"/>
  <c r="AA199" i="16"/>
  <c r="AA200" i="16"/>
  <c r="AA202" i="16"/>
  <c r="AA204" i="16"/>
  <c r="AA205" i="16"/>
  <c r="AA208" i="16"/>
  <c r="AA209" i="16"/>
  <c r="AA168" i="16"/>
  <c r="AA175" i="16"/>
  <c r="AA179" i="16"/>
  <c r="AA188" i="16"/>
  <c r="AA177" i="16"/>
  <c r="AA181" i="16"/>
  <c r="AA183" i="16"/>
  <c r="AA190" i="16"/>
  <c r="AA193" i="16"/>
  <c r="AA195" i="16"/>
  <c r="AA207" i="16"/>
  <c r="Z215" i="16"/>
  <c r="Z236" i="16"/>
  <c r="Z239" i="16"/>
  <c r="Z240" i="16"/>
  <c r="Z242" i="16"/>
  <c r="Z243" i="16"/>
  <c r="AB167" i="16"/>
  <c r="AB168" i="16"/>
  <c r="AB169" i="16"/>
  <c r="AB170" i="16"/>
  <c r="AB171" i="16"/>
  <c r="AB172" i="16"/>
  <c r="AB173" i="16"/>
  <c r="AB174" i="16"/>
  <c r="AB175" i="16"/>
  <c r="AB176" i="16"/>
  <c r="AB177" i="16"/>
  <c r="AB178" i="16"/>
  <c r="AB179" i="16"/>
  <c r="AB180" i="16"/>
  <c r="AB181" i="16"/>
  <c r="AB182" i="16"/>
  <c r="AB183" i="16"/>
  <c r="AB185" i="16"/>
  <c r="AB186" i="16"/>
  <c r="AB187" i="16"/>
  <c r="AB188" i="16"/>
  <c r="AB189" i="16"/>
  <c r="AB190" i="16"/>
  <c r="AB192" i="16"/>
  <c r="AB193" i="16"/>
  <c r="AB194" i="16"/>
  <c r="AB195" i="16"/>
  <c r="AB196" i="16"/>
  <c r="AB198" i="16"/>
  <c r="AB199" i="16"/>
  <c r="AB200" i="16"/>
  <c r="AB201" i="16"/>
  <c r="AB202" i="16"/>
  <c r="AB204" i="16"/>
  <c r="AB205" i="16"/>
  <c r="AB206" i="16"/>
  <c r="AB207" i="16"/>
  <c r="AB208" i="16"/>
  <c r="AB209" i="16"/>
  <c r="AA210" i="16"/>
  <c r="AA214" i="16"/>
  <c r="AA215" i="16"/>
  <c r="AA216" i="16"/>
  <c r="AA217" i="16"/>
  <c r="AA218" i="16"/>
  <c r="AA219" i="16"/>
  <c r="AA223" i="16"/>
  <c r="AA224" i="16"/>
  <c r="AA225" i="16"/>
  <c r="AA226" i="16"/>
  <c r="AA227" i="16"/>
  <c r="AA228" i="16"/>
  <c r="AA229" i="16"/>
  <c r="AA230" i="16"/>
  <c r="AA231" i="16"/>
  <c r="AA232" i="16"/>
  <c r="AA233" i="16"/>
  <c r="AA235" i="16"/>
  <c r="AA236" i="16"/>
  <c r="AA237" i="16"/>
  <c r="AA238" i="16"/>
  <c r="AA239" i="16"/>
  <c r="AA240" i="16"/>
  <c r="AA241" i="16"/>
  <c r="AA242" i="16"/>
  <c r="AA243" i="16"/>
  <c r="AA167" i="16"/>
  <c r="AA169" i="16"/>
  <c r="AA171" i="16"/>
  <c r="AA173" i="16"/>
  <c r="AA176" i="16"/>
  <c r="AA182" i="16"/>
  <c r="AA189" i="16"/>
  <c r="AA192" i="16"/>
  <c r="AA194" i="16"/>
  <c r="AA201" i="16"/>
  <c r="AA206" i="16"/>
  <c r="AC167" i="16"/>
  <c r="AC169" i="16"/>
  <c r="AC171" i="16"/>
  <c r="AC172" i="16"/>
  <c r="AC173" i="16"/>
  <c r="AC174" i="16"/>
  <c r="AC175" i="16"/>
  <c r="AC176" i="16"/>
  <c r="AC177" i="16"/>
  <c r="AC178" i="16"/>
  <c r="AC179" i="16"/>
  <c r="AC180" i="16"/>
  <c r="AC181" i="16"/>
  <c r="AC182" i="16"/>
  <c r="AC183" i="16"/>
  <c r="AC185" i="16"/>
  <c r="AC186" i="16"/>
  <c r="AC187" i="16"/>
  <c r="AC188" i="16"/>
  <c r="AC189" i="16"/>
  <c r="AC190" i="16"/>
  <c r="AC192" i="16"/>
  <c r="AC193" i="16"/>
  <c r="AC194" i="16"/>
  <c r="AC195" i="16"/>
  <c r="AC196" i="16"/>
  <c r="AC198" i="16"/>
  <c r="AC199" i="16"/>
  <c r="AC200" i="16"/>
  <c r="AC201" i="16"/>
  <c r="AC202" i="16"/>
  <c r="AC204" i="16"/>
  <c r="AC205" i="16"/>
  <c r="AC206" i="16"/>
  <c r="AC207" i="16"/>
  <c r="AC208" i="16"/>
  <c r="AC209" i="16"/>
  <c r="AB210" i="16"/>
  <c r="AB214" i="16"/>
  <c r="AB215" i="16"/>
  <c r="AB216" i="16"/>
  <c r="AB217" i="16"/>
  <c r="AB218" i="16"/>
  <c r="AB219" i="16"/>
  <c r="AB223" i="16"/>
  <c r="AB224" i="16"/>
  <c r="AB225" i="16"/>
  <c r="AB226" i="16"/>
  <c r="AB227" i="16"/>
  <c r="AB228" i="16"/>
  <c r="AB229" i="16"/>
  <c r="AB230" i="16"/>
  <c r="AB231" i="16"/>
  <c r="AB232" i="16"/>
  <c r="AB233" i="16"/>
  <c r="AB235" i="16"/>
  <c r="AB236" i="16"/>
  <c r="AB237" i="16"/>
  <c r="AB238" i="16"/>
  <c r="AB239" i="16"/>
  <c r="AB240" i="16"/>
  <c r="AB241" i="16"/>
  <c r="AB242" i="16"/>
  <c r="AB243" i="16"/>
  <c r="AA170" i="16"/>
  <c r="AA172" i="16"/>
  <c r="AA178" i="16"/>
  <c r="AA180" i="16"/>
  <c r="Z210" i="16"/>
  <c r="Z241" i="16"/>
  <c r="AC170" i="16"/>
  <c r="Z167" i="16"/>
  <c r="Z168" i="16"/>
  <c r="Z169" i="16"/>
  <c r="Z170" i="16"/>
  <c r="Z171" i="16"/>
  <c r="Z172" i="16"/>
  <c r="Z173" i="16"/>
  <c r="Z174" i="16"/>
  <c r="Z175" i="16"/>
  <c r="Z176" i="16"/>
  <c r="Z177" i="16"/>
  <c r="Z178" i="16"/>
  <c r="Z179" i="16"/>
  <c r="Z180" i="16"/>
  <c r="Z181" i="16"/>
  <c r="Z182" i="16"/>
  <c r="Z183" i="16"/>
  <c r="Z185" i="16"/>
  <c r="Z186" i="16"/>
  <c r="Z187" i="16"/>
  <c r="Z188" i="16"/>
  <c r="Z189" i="16"/>
  <c r="Z190" i="16"/>
  <c r="Z192" i="16"/>
  <c r="Z193" i="16"/>
  <c r="Z194" i="16"/>
  <c r="Z195" i="16"/>
  <c r="Z196" i="16"/>
  <c r="Z198" i="16"/>
  <c r="Z199" i="16"/>
  <c r="Z200" i="16"/>
  <c r="Z201" i="16"/>
  <c r="Z202" i="16"/>
  <c r="Z204" i="16"/>
  <c r="Z205" i="16"/>
  <c r="Z206" i="16"/>
  <c r="Z207" i="16"/>
  <c r="Z208" i="16"/>
  <c r="Z209" i="16"/>
  <c r="AC210" i="16"/>
  <c r="AC214" i="16"/>
  <c r="AC215" i="16"/>
  <c r="AC216" i="16"/>
  <c r="AC217" i="16"/>
  <c r="AC218" i="16"/>
  <c r="AC219" i="16"/>
  <c r="AC223" i="16"/>
  <c r="AC224" i="16"/>
  <c r="AC225" i="16"/>
  <c r="AC226" i="16"/>
  <c r="AC227" i="16"/>
  <c r="AC228" i="16"/>
  <c r="AC229" i="16"/>
  <c r="AC230" i="16"/>
  <c r="AC231" i="16"/>
  <c r="AC232" i="16"/>
  <c r="AC233" i="16"/>
  <c r="AC235" i="16"/>
  <c r="AC236" i="16"/>
  <c r="AC237" i="16"/>
  <c r="AC238" i="16"/>
  <c r="AC239" i="16"/>
  <c r="AC240" i="16"/>
  <c r="AC241" i="16"/>
  <c r="AC242" i="16"/>
  <c r="AC243" i="16"/>
  <c r="Z225" i="16"/>
  <c r="AB31" i="20" l="1"/>
  <c r="AA31" i="20"/>
  <c r="Z31" i="20"/>
  <c r="Y31" i="20"/>
  <c r="X31" i="20"/>
  <c r="W31" i="20"/>
  <c r="AE31" i="20" s="1"/>
  <c r="V31" i="20"/>
  <c r="U31" i="20"/>
  <c r="AB30" i="20"/>
  <c r="AA30" i="20"/>
  <c r="Z30" i="20"/>
  <c r="Y30" i="20"/>
  <c r="X30" i="20"/>
  <c r="W30" i="20"/>
  <c r="V30" i="20"/>
  <c r="U30" i="20"/>
  <c r="AB29" i="20"/>
  <c r="AA29" i="20"/>
  <c r="Z29" i="20"/>
  <c r="Y29" i="20"/>
  <c r="X29" i="20"/>
  <c r="W29" i="20"/>
  <c r="V29" i="20"/>
  <c r="U29" i="20"/>
  <c r="AB28" i="20"/>
  <c r="AA28" i="20"/>
  <c r="Z28" i="20"/>
  <c r="Y28" i="20"/>
  <c r="X28" i="20"/>
  <c r="W28" i="20"/>
  <c r="V28" i="20"/>
  <c r="U28" i="20"/>
  <c r="AC28" i="20" s="1"/>
  <c r="AB27" i="20"/>
  <c r="AA27" i="20"/>
  <c r="Z27" i="20"/>
  <c r="Y27" i="20"/>
  <c r="X27" i="20"/>
  <c r="W27" i="20"/>
  <c r="V27" i="20"/>
  <c r="U27" i="20"/>
  <c r="AB26" i="20"/>
  <c r="AA26" i="20"/>
  <c r="Z26" i="20"/>
  <c r="Y26" i="20"/>
  <c r="X26" i="20"/>
  <c r="W26" i="20"/>
  <c r="V26" i="20"/>
  <c r="U26" i="20"/>
  <c r="AC26" i="20" s="1"/>
  <c r="AB25" i="20"/>
  <c r="AA25" i="20"/>
  <c r="Z25" i="20"/>
  <c r="Y25" i="20"/>
  <c r="X25" i="20"/>
  <c r="W25" i="20"/>
  <c r="V25" i="20"/>
  <c r="U25" i="20"/>
  <c r="AB24" i="20"/>
  <c r="AA24" i="20"/>
  <c r="Z24" i="20"/>
  <c r="Y24" i="20"/>
  <c r="X24" i="20"/>
  <c r="W24" i="20"/>
  <c r="V24" i="20"/>
  <c r="U24" i="20"/>
  <c r="AB23" i="20"/>
  <c r="AA23" i="20"/>
  <c r="Z23" i="20"/>
  <c r="Y23" i="20"/>
  <c r="X23" i="20"/>
  <c r="W23" i="20"/>
  <c r="V23" i="20"/>
  <c r="U23" i="20"/>
  <c r="AB22" i="20"/>
  <c r="AA22" i="20"/>
  <c r="Z22" i="20"/>
  <c r="Y22" i="20"/>
  <c r="X22" i="20"/>
  <c r="W22" i="20"/>
  <c r="V22" i="20"/>
  <c r="U22" i="20"/>
  <c r="AC22" i="20" s="1"/>
  <c r="AB21" i="20"/>
  <c r="AA21" i="20"/>
  <c r="Z21" i="20"/>
  <c r="Y21" i="20"/>
  <c r="X21" i="20"/>
  <c r="W21" i="20"/>
  <c r="V21" i="20"/>
  <c r="U21" i="20"/>
  <c r="AB20" i="20"/>
  <c r="AA20" i="20"/>
  <c r="Z20" i="20"/>
  <c r="Y20" i="20"/>
  <c r="X20" i="20"/>
  <c r="W20" i="20"/>
  <c r="V20" i="20"/>
  <c r="U20" i="20"/>
  <c r="AC20" i="20" s="1"/>
  <c r="AB19" i="20"/>
  <c r="AA19" i="20"/>
  <c r="Z19" i="20"/>
  <c r="Y19" i="20"/>
  <c r="X19" i="20"/>
  <c r="W19" i="20"/>
  <c r="V19" i="20"/>
  <c r="AD19" i="20" s="1"/>
  <c r="U19" i="20"/>
  <c r="AB18" i="20"/>
  <c r="AA18" i="20"/>
  <c r="Z18" i="20"/>
  <c r="Y18" i="20"/>
  <c r="X18" i="20"/>
  <c r="W18" i="20"/>
  <c r="V18" i="20"/>
  <c r="U18" i="20"/>
  <c r="AB17" i="20"/>
  <c r="AA17" i="20"/>
  <c r="Z17" i="20"/>
  <c r="Y17" i="20"/>
  <c r="X17" i="20"/>
  <c r="W17" i="20"/>
  <c r="V17" i="20"/>
  <c r="AD17" i="20" s="1"/>
  <c r="U17" i="20"/>
  <c r="AB16" i="20"/>
  <c r="AA16" i="20"/>
  <c r="Z16" i="20"/>
  <c r="Y16" i="20"/>
  <c r="X16" i="20"/>
  <c r="W16" i="20"/>
  <c r="V16" i="20"/>
  <c r="U16" i="20"/>
  <c r="AC16" i="20" s="1"/>
  <c r="AB15" i="20"/>
  <c r="AA15" i="20"/>
  <c r="Z15" i="20"/>
  <c r="Y15" i="20"/>
  <c r="X15" i="20"/>
  <c r="W15" i="20"/>
  <c r="V15" i="20"/>
  <c r="U15" i="20"/>
  <c r="AB13" i="20"/>
  <c r="AA13" i="20"/>
  <c r="Z13" i="20"/>
  <c r="Y13" i="20"/>
  <c r="X13" i="20"/>
  <c r="W13" i="20"/>
  <c r="V13" i="20"/>
  <c r="U13" i="20"/>
  <c r="AC13" i="20" s="1"/>
  <c r="AB12" i="20"/>
  <c r="AA12" i="20"/>
  <c r="Z12" i="20"/>
  <c r="Y12" i="20"/>
  <c r="X12" i="20"/>
  <c r="W12" i="20"/>
  <c r="V12" i="20"/>
  <c r="AD12" i="20" s="1"/>
  <c r="U12" i="20"/>
  <c r="AB11" i="20"/>
  <c r="AA11" i="20"/>
  <c r="Z11" i="20"/>
  <c r="Y11" i="20"/>
  <c r="X11" i="20"/>
  <c r="W11" i="20"/>
  <c r="V11" i="20"/>
  <c r="U11" i="20"/>
  <c r="AB10" i="20"/>
  <c r="AA10" i="20"/>
  <c r="Z10" i="20"/>
  <c r="Y10" i="20"/>
  <c r="X10" i="20"/>
  <c r="W10" i="20"/>
  <c r="V10" i="20"/>
  <c r="AD10" i="20" s="1"/>
  <c r="U10" i="20"/>
  <c r="AB9" i="20"/>
  <c r="AA9" i="20"/>
  <c r="Z9" i="20"/>
  <c r="Y9" i="20"/>
  <c r="X9" i="20"/>
  <c r="W9" i="20"/>
  <c r="V9" i="20"/>
  <c r="U9" i="20"/>
  <c r="AB8" i="20"/>
  <c r="AA8" i="20"/>
  <c r="Z8" i="20"/>
  <c r="Y8" i="20"/>
  <c r="X8" i="20"/>
  <c r="W8" i="20"/>
  <c r="V8" i="20"/>
  <c r="U8" i="20"/>
  <c r="AB7" i="20"/>
  <c r="AA7" i="20"/>
  <c r="Z7" i="20"/>
  <c r="Y7" i="20"/>
  <c r="X7" i="20"/>
  <c r="W7" i="20"/>
  <c r="V7" i="20"/>
  <c r="U7" i="20"/>
  <c r="AC7" i="20" s="1"/>
  <c r="AB6" i="20"/>
  <c r="AA6" i="20"/>
  <c r="Z6" i="20"/>
  <c r="Y6" i="20"/>
  <c r="X6" i="20"/>
  <c r="W6" i="20"/>
  <c r="V6" i="20"/>
  <c r="AD6" i="20" s="1"/>
  <c r="U6" i="20"/>
  <c r="AC9" i="20" l="1"/>
  <c r="AF11" i="20"/>
  <c r="AF30" i="20"/>
  <c r="AF20" i="20"/>
  <c r="AC30" i="20"/>
  <c r="AC11" i="20"/>
  <c r="AC18" i="20"/>
  <c r="AD8" i="20"/>
  <c r="AD15" i="20"/>
  <c r="AD21" i="20"/>
  <c r="U32" i="20"/>
  <c r="X32" i="20"/>
  <c r="AC24" i="20"/>
  <c r="AA32" i="20"/>
  <c r="Y32" i="20"/>
  <c r="AF9" i="20"/>
  <c r="AF16" i="20"/>
  <c r="AF22" i="20"/>
  <c r="AF24" i="20"/>
  <c r="AF28" i="20"/>
  <c r="AD22" i="20"/>
  <c r="AD24" i="20"/>
  <c r="AD26" i="20"/>
  <c r="AD28" i="20"/>
  <c r="AD30" i="20"/>
  <c r="AF7" i="20"/>
  <c r="AF13" i="20"/>
  <c r="AE7" i="20"/>
  <c r="AE9" i="20"/>
  <c r="AE11" i="20"/>
  <c r="AE13" i="20"/>
  <c r="AE16" i="20"/>
  <c r="AE18" i="20"/>
  <c r="AE20" i="20"/>
  <c r="AE21" i="20"/>
  <c r="AE22" i="20"/>
  <c r="AE24" i="20"/>
  <c r="AE26" i="20"/>
  <c r="AE28" i="20"/>
  <c r="AE30" i="20"/>
  <c r="AF31" i="20"/>
  <c r="AF18" i="20"/>
  <c r="AF26" i="20"/>
  <c r="AE6" i="20"/>
  <c r="AE8" i="20"/>
  <c r="AE10" i="20"/>
  <c r="AE12" i="20"/>
  <c r="AE15" i="20"/>
  <c r="AE17" i="20"/>
  <c r="AE19" i="20"/>
  <c r="AD23" i="20"/>
  <c r="AD25" i="20"/>
  <c r="AD27" i="20"/>
  <c r="AD29" i="20"/>
  <c r="AD31" i="20"/>
  <c r="AF8" i="20"/>
  <c r="AF10" i="20"/>
  <c r="AF12" i="20"/>
  <c r="AF15" i="20"/>
  <c r="AF17" i="20"/>
  <c r="AF19" i="20"/>
  <c r="AF21" i="20"/>
  <c r="AE23" i="20"/>
  <c r="AE25" i="20"/>
  <c r="AE27" i="20"/>
  <c r="AE29" i="20"/>
  <c r="AC8" i="20"/>
  <c r="AC10" i="20"/>
  <c r="AC12" i="20"/>
  <c r="AC15" i="20"/>
  <c r="AC17" i="20"/>
  <c r="AC19" i="20"/>
  <c r="AC21" i="20"/>
  <c r="AF23" i="20"/>
  <c r="AF25" i="20"/>
  <c r="AF27" i="20"/>
  <c r="AF29" i="20"/>
  <c r="Z32" i="20"/>
  <c r="AD7" i="20"/>
  <c r="AD9" i="20"/>
  <c r="AD11" i="20"/>
  <c r="AD13" i="20"/>
  <c r="AD16" i="20"/>
  <c r="AD18" i="20"/>
  <c r="AD20" i="20"/>
  <c r="AC23" i="20"/>
  <c r="AC25" i="20"/>
  <c r="AC27" i="20"/>
  <c r="AC29" i="20"/>
  <c r="AC31" i="20"/>
  <c r="AB32" i="20"/>
  <c r="V32" i="20"/>
  <c r="W32" i="20"/>
  <c r="AF6" i="20"/>
  <c r="AC6" i="20"/>
  <c r="AM14" i="6" l="1"/>
  <c r="AL14" i="6"/>
  <c r="AK14" i="6"/>
  <c r="AJ14" i="6"/>
  <c r="AI14" i="6"/>
  <c r="AH14" i="6"/>
  <c r="AP14" i="6" s="1"/>
  <c r="AG14" i="6"/>
  <c r="AO14" i="6" s="1"/>
  <c r="AF14" i="6"/>
  <c r="AM13" i="6"/>
  <c r="AK13" i="6"/>
  <c r="AO13" i="6" s="1"/>
  <c r="AJ13" i="6"/>
  <c r="AI13" i="6"/>
  <c r="AG13" i="6"/>
  <c r="AF13" i="6"/>
  <c r="U13" i="6"/>
  <c r="AH13" i="6" s="1"/>
  <c r="AM12" i="6"/>
  <c r="AL12" i="6"/>
  <c r="AK12" i="6"/>
  <c r="AJ12" i="6"/>
  <c r="AI12" i="6"/>
  <c r="AQ12" i="6" s="1"/>
  <c r="AH12" i="6"/>
  <c r="AP12" i="6" s="1"/>
  <c r="AG12" i="6"/>
  <c r="AF12" i="6"/>
  <c r="AN12" i="6" s="1"/>
  <c r="AM11" i="6"/>
  <c r="AL11" i="6"/>
  <c r="AK11" i="6"/>
  <c r="AJ11" i="6"/>
  <c r="AI11" i="6"/>
  <c r="AH11" i="6"/>
  <c r="AG11" i="6"/>
  <c r="AO11" i="6" s="1"/>
  <c r="AF11" i="6"/>
  <c r="AC10" i="6"/>
  <c r="AB10" i="6"/>
  <c r="W10" i="6"/>
  <c r="V10" i="6"/>
  <c r="U10" i="6"/>
  <c r="AL10" i="6" s="1"/>
  <c r="Q10" i="6"/>
  <c r="P10" i="6"/>
  <c r="O10" i="6"/>
  <c r="K10" i="6"/>
  <c r="J10" i="6"/>
  <c r="I10" i="6"/>
  <c r="AC9" i="6"/>
  <c r="AB9" i="6"/>
  <c r="AA9" i="6"/>
  <c r="W9" i="6"/>
  <c r="V9" i="6"/>
  <c r="Q9" i="6"/>
  <c r="P9" i="6"/>
  <c r="K9" i="6"/>
  <c r="J9" i="6"/>
  <c r="AM8" i="6"/>
  <c r="AL8" i="6"/>
  <c r="AK8" i="6"/>
  <c r="AJ8" i="6"/>
  <c r="AI8" i="6"/>
  <c r="AH8" i="6"/>
  <c r="AG8" i="6"/>
  <c r="AO8" i="6" s="1"/>
  <c r="AF8" i="6"/>
  <c r="AM7" i="6"/>
  <c r="AL7" i="6"/>
  <c r="AK7" i="6"/>
  <c r="AJ7" i="6"/>
  <c r="AI7" i="6"/>
  <c r="AH7" i="6"/>
  <c r="AG7" i="6"/>
  <c r="AF7" i="6"/>
  <c r="AM6" i="6"/>
  <c r="AL6" i="6"/>
  <c r="AK6" i="6"/>
  <c r="AJ6" i="6"/>
  <c r="AI6" i="6"/>
  <c r="AQ6" i="6" s="1"/>
  <c r="AH6" i="6"/>
  <c r="AG6" i="6"/>
  <c r="AF6" i="6"/>
  <c r="AQ8" i="6" l="1"/>
  <c r="AI10" i="6"/>
  <c r="AN6" i="6"/>
  <c r="AN8" i="6"/>
  <c r="AJ9" i="6"/>
  <c r="AL9" i="6"/>
  <c r="AK10" i="6"/>
  <c r="AQ14" i="6"/>
  <c r="AO7" i="6"/>
  <c r="AP6" i="6"/>
  <c r="AP7" i="6"/>
  <c r="AL13" i="6"/>
  <c r="AP13" i="6" s="1"/>
  <c r="AP8" i="6"/>
  <c r="AQ7" i="6"/>
  <c r="AN7" i="6"/>
  <c r="AI9" i="6"/>
  <c r="AI15" i="6" s="1"/>
  <c r="AJ10" i="6"/>
  <c r="AH10" i="6"/>
  <c r="AP10" i="6" s="1"/>
  <c r="AQ13" i="6"/>
  <c r="AK9" i="6"/>
  <c r="AK15" i="6" s="1"/>
  <c r="AM10" i="6"/>
  <c r="AQ10" i="6" s="1"/>
  <c r="AN11" i="6"/>
  <c r="AN13" i="6"/>
  <c r="AN14" i="6"/>
  <c r="AO12" i="6"/>
  <c r="AF10" i="6"/>
  <c r="AP11" i="6"/>
  <c r="AH9" i="6"/>
  <c r="AQ11" i="6"/>
  <c r="AF9" i="6"/>
  <c r="AG10" i="6"/>
  <c r="AG9" i="6"/>
  <c r="AM9" i="6"/>
  <c r="AO6" i="6"/>
  <c r="AL15" i="6" l="1"/>
  <c r="AP9" i="6"/>
  <c r="AN9" i="6"/>
  <c r="AQ9" i="6"/>
  <c r="AO9" i="6"/>
  <c r="AH15" i="6"/>
  <c r="AP15" i="6" s="1"/>
  <c r="AN10" i="6"/>
  <c r="AM15" i="6"/>
  <c r="AQ15" i="6" s="1"/>
  <c r="AJ15" i="6"/>
  <c r="AG15" i="6"/>
  <c r="AO15" i="6" s="1"/>
  <c r="AO10" i="6"/>
  <c r="AF15" i="6"/>
  <c r="AN15" i="6" s="1"/>
  <c r="H155" i="15" l="1"/>
  <c r="AA702" i="15" l="1"/>
  <c r="Z702" i="15"/>
  <c r="Y702" i="15"/>
  <c r="X702" i="15"/>
  <c r="V702" i="15"/>
  <c r="U702" i="15"/>
  <c r="T702" i="15"/>
  <c r="S702" i="15"/>
  <c r="G155" i="15"/>
  <c r="Y28" i="17" l="1"/>
  <c r="X28" i="17"/>
  <c r="W28" i="17"/>
  <c r="V28" i="17"/>
  <c r="U28" i="17"/>
  <c r="T28" i="17"/>
  <c r="AB28" i="17" s="1"/>
  <c r="S28" i="17"/>
  <c r="R28" i="17"/>
  <c r="Y27" i="17"/>
  <c r="X27" i="17"/>
  <c r="W27" i="17"/>
  <c r="V27" i="17"/>
  <c r="U27" i="17"/>
  <c r="T27" i="17"/>
  <c r="S27" i="17"/>
  <c r="R27" i="17"/>
  <c r="Y26" i="17"/>
  <c r="X26" i="17"/>
  <c r="W26" i="17"/>
  <c r="V26" i="17"/>
  <c r="U26" i="17"/>
  <c r="AC26" i="17" s="1"/>
  <c r="T26" i="17"/>
  <c r="AB26" i="17" s="1"/>
  <c r="S26" i="17"/>
  <c r="R26" i="17"/>
  <c r="Y25" i="17"/>
  <c r="X25" i="17"/>
  <c r="W25" i="17"/>
  <c r="V25" i="17"/>
  <c r="U25" i="17"/>
  <c r="T25" i="17"/>
  <c r="S25" i="17"/>
  <c r="AA25" i="17" s="1"/>
  <c r="R25" i="17"/>
  <c r="Z25" i="17" s="1"/>
  <c r="Y24" i="17"/>
  <c r="X24" i="17"/>
  <c r="W24" i="17"/>
  <c r="V24" i="17"/>
  <c r="U24" i="17"/>
  <c r="T24" i="17"/>
  <c r="S24" i="17"/>
  <c r="R24" i="17"/>
  <c r="Y23" i="17"/>
  <c r="X23" i="17"/>
  <c r="W23" i="17"/>
  <c r="V23" i="17"/>
  <c r="U23" i="17"/>
  <c r="T23" i="17"/>
  <c r="S23" i="17"/>
  <c r="AA23" i="17" s="1"/>
  <c r="R23" i="17"/>
  <c r="Z23" i="17" s="1"/>
  <c r="Y22" i="17"/>
  <c r="X22" i="17"/>
  <c r="W22" i="17"/>
  <c r="V22" i="17"/>
  <c r="U22" i="17"/>
  <c r="T22" i="17"/>
  <c r="AB22" i="17" s="1"/>
  <c r="S22" i="17"/>
  <c r="R22" i="17"/>
  <c r="Y21" i="17"/>
  <c r="X21" i="17"/>
  <c r="W21" i="17"/>
  <c r="V21" i="17"/>
  <c r="U21" i="17"/>
  <c r="T21" i="17"/>
  <c r="S21" i="17"/>
  <c r="R21" i="17"/>
  <c r="Y20" i="17"/>
  <c r="X20" i="17"/>
  <c r="W20" i="17"/>
  <c r="V20" i="17"/>
  <c r="U20" i="17"/>
  <c r="AC20" i="17" s="1"/>
  <c r="T20" i="17"/>
  <c r="AB20" i="17" s="1"/>
  <c r="S20" i="17"/>
  <c r="R20" i="17"/>
  <c r="Y19" i="17"/>
  <c r="X19" i="17"/>
  <c r="W19" i="17"/>
  <c r="V19" i="17"/>
  <c r="U19" i="17"/>
  <c r="T19" i="17"/>
  <c r="S19" i="17"/>
  <c r="AA19" i="17" s="1"/>
  <c r="R19" i="17"/>
  <c r="Z19" i="17" s="1"/>
  <c r="Y18" i="17"/>
  <c r="X18" i="17"/>
  <c r="W18" i="17"/>
  <c r="V18" i="17"/>
  <c r="Z18" i="17" s="1"/>
  <c r="U18" i="17"/>
  <c r="T18" i="17"/>
  <c r="S18" i="17"/>
  <c r="R18" i="17"/>
  <c r="Y17" i="17"/>
  <c r="X17" i="17"/>
  <c r="W17" i="17"/>
  <c r="V17" i="17"/>
  <c r="U17" i="17"/>
  <c r="T17" i="17"/>
  <c r="S17" i="17"/>
  <c r="AA17" i="17" s="1"/>
  <c r="R17" i="17"/>
  <c r="Z17" i="17" s="1"/>
  <c r="Y16" i="17"/>
  <c r="X16" i="17"/>
  <c r="W16" i="17"/>
  <c r="V16" i="17"/>
  <c r="U16" i="17"/>
  <c r="T16" i="17"/>
  <c r="AB16" i="17" s="1"/>
  <c r="S16" i="17"/>
  <c r="R16" i="17"/>
  <c r="Y15" i="17"/>
  <c r="X15" i="17"/>
  <c r="W15" i="17"/>
  <c r="V15" i="17"/>
  <c r="U15" i="17"/>
  <c r="T15" i="17"/>
  <c r="S15" i="17"/>
  <c r="R15" i="17"/>
  <c r="Y14" i="17"/>
  <c r="X14" i="17"/>
  <c r="W14" i="17"/>
  <c r="V14" i="17"/>
  <c r="U14" i="17"/>
  <c r="AC14" i="17" s="1"/>
  <c r="T14" i="17"/>
  <c r="AB14" i="17" s="1"/>
  <c r="S14" i="17"/>
  <c r="R14" i="17"/>
  <c r="Y13" i="17"/>
  <c r="X13" i="17"/>
  <c r="W13" i="17"/>
  <c r="V13" i="17"/>
  <c r="U13" i="17"/>
  <c r="T13" i="17"/>
  <c r="S13" i="17"/>
  <c r="AA13" i="17" s="1"/>
  <c r="R13" i="17"/>
  <c r="Y12" i="17"/>
  <c r="X12" i="17"/>
  <c r="W12" i="17"/>
  <c r="V12" i="17"/>
  <c r="U12" i="17"/>
  <c r="T12" i="17"/>
  <c r="S12" i="17"/>
  <c r="R12" i="17"/>
  <c r="Y11" i="17"/>
  <c r="X11" i="17"/>
  <c r="W11" i="17"/>
  <c r="V11" i="17"/>
  <c r="U11" i="17"/>
  <c r="T11" i="17"/>
  <c r="S11" i="17"/>
  <c r="AA11" i="17" s="1"/>
  <c r="R11" i="17"/>
  <c r="Z11" i="17" s="1"/>
  <c r="Y10" i="17"/>
  <c r="X10" i="17"/>
  <c r="W10" i="17"/>
  <c r="V10" i="17"/>
  <c r="U10" i="17"/>
  <c r="AC10" i="17" s="1"/>
  <c r="T10" i="17"/>
  <c r="AB10" i="17" s="1"/>
  <c r="S10" i="17"/>
  <c r="R10" i="17"/>
  <c r="Y9" i="17"/>
  <c r="X9" i="17"/>
  <c r="W9" i="17"/>
  <c r="V9" i="17"/>
  <c r="U9" i="17"/>
  <c r="T9" i="17"/>
  <c r="S9" i="17"/>
  <c r="R9" i="17"/>
  <c r="Y8" i="17"/>
  <c r="X8" i="17"/>
  <c r="W8" i="17"/>
  <c r="V8" i="17"/>
  <c r="U8" i="17"/>
  <c r="AC8" i="17" s="1"/>
  <c r="T8" i="17"/>
  <c r="AB8" i="17" s="1"/>
  <c r="S8" i="17"/>
  <c r="R8" i="17"/>
  <c r="Y7" i="17"/>
  <c r="X7" i="17"/>
  <c r="W7" i="17"/>
  <c r="V7" i="17"/>
  <c r="U7" i="17"/>
  <c r="T7" i="17"/>
  <c r="S7" i="17"/>
  <c r="AA7" i="17" s="1"/>
  <c r="R7" i="17"/>
  <c r="Y6" i="17"/>
  <c r="X6" i="17"/>
  <c r="X29" i="17" s="1"/>
  <c r="W6" i="17"/>
  <c r="W29" i="17" s="1"/>
  <c r="V6" i="17"/>
  <c r="U6" i="17"/>
  <c r="T6" i="17"/>
  <c r="S6" i="17"/>
  <c r="R6" i="17"/>
  <c r="Z24" i="17" l="1"/>
  <c r="Z13" i="17"/>
  <c r="AC18" i="17"/>
  <c r="AC24" i="17"/>
  <c r="AA12" i="17"/>
  <c r="AB9" i="17"/>
  <c r="AA18" i="17"/>
  <c r="AA24" i="17"/>
  <c r="AC9" i="17"/>
  <c r="AB15" i="17"/>
  <c r="AB21" i="17"/>
  <c r="AB27" i="17"/>
  <c r="Z6" i="17"/>
  <c r="Z12" i="17"/>
  <c r="AC19" i="17"/>
  <c r="AC25" i="17"/>
  <c r="Y29" i="17"/>
  <c r="AC27" i="17"/>
  <c r="AA8" i="17"/>
  <c r="Z14" i="17"/>
  <c r="Z20" i="17"/>
  <c r="Z26" i="17"/>
  <c r="Z8" i="17"/>
  <c r="AB11" i="17"/>
  <c r="AA14" i="17"/>
  <c r="AA20" i="17"/>
  <c r="AA26" i="17"/>
  <c r="R29" i="17"/>
  <c r="AC15" i="17"/>
  <c r="AC21" i="17"/>
  <c r="AC11" i="17"/>
  <c r="AB17" i="17"/>
  <c r="AB23" i="17"/>
  <c r="Z9" i="17"/>
  <c r="Z10" i="17"/>
  <c r="AC16" i="17"/>
  <c r="AC17" i="17"/>
  <c r="AC22" i="17"/>
  <c r="AC23" i="17"/>
  <c r="AC28" i="17"/>
  <c r="S29" i="17"/>
  <c r="AA9" i="17"/>
  <c r="AA10" i="17"/>
  <c r="Z15" i="17"/>
  <c r="Z16" i="17"/>
  <c r="Z21" i="17"/>
  <c r="Z22" i="17"/>
  <c r="Z27" i="17"/>
  <c r="Z28" i="17"/>
  <c r="T29" i="17"/>
  <c r="AB7" i="17"/>
  <c r="AB12" i="17"/>
  <c r="AB13" i="17"/>
  <c r="AA15" i="17"/>
  <c r="AA16" i="17"/>
  <c r="AA21" i="17"/>
  <c r="AA22" i="17"/>
  <c r="AA27" i="17"/>
  <c r="AA28" i="17"/>
  <c r="AC6" i="17"/>
  <c r="AC7" i="17"/>
  <c r="AC12" i="17"/>
  <c r="AC13" i="17"/>
  <c r="AB18" i="17"/>
  <c r="AB19" i="17"/>
  <c r="AB24" i="17"/>
  <c r="AB25" i="17"/>
  <c r="Z7" i="17"/>
  <c r="AB6" i="17"/>
  <c r="U29" i="17"/>
  <c r="V29" i="17"/>
  <c r="AA6" i="17"/>
  <c r="W613" i="16" l="1"/>
  <c r="V613" i="16"/>
  <c r="U613" i="16"/>
  <c r="X613" i="16" s="1"/>
  <c r="T613" i="16"/>
  <c r="S613" i="16"/>
  <c r="R613" i="16"/>
  <c r="Y613" i="16" s="1"/>
  <c r="W612" i="16"/>
  <c r="V612" i="16"/>
  <c r="U612" i="16"/>
  <c r="X612" i="16" s="1"/>
  <c r="T612" i="16"/>
  <c r="S612" i="16"/>
  <c r="R612" i="16"/>
  <c r="Y612" i="16" s="1"/>
  <c r="W611" i="16"/>
  <c r="V611" i="16"/>
  <c r="U611" i="16"/>
  <c r="X611" i="16" s="1"/>
  <c r="T611" i="16"/>
  <c r="S611" i="16"/>
  <c r="R611" i="16"/>
  <c r="Y611" i="16" s="1"/>
  <c r="W610" i="16"/>
  <c r="V610" i="16"/>
  <c r="U610" i="16"/>
  <c r="X610" i="16" s="1"/>
  <c r="T610" i="16"/>
  <c r="S610" i="16"/>
  <c r="R610" i="16"/>
  <c r="Y610" i="16" s="1"/>
  <c r="W609" i="16"/>
  <c r="V609" i="16"/>
  <c r="U609" i="16"/>
  <c r="X609" i="16" s="1"/>
  <c r="T609" i="16"/>
  <c r="S609" i="16"/>
  <c r="R609" i="16"/>
  <c r="Y609" i="16" s="1"/>
  <c r="W608" i="16"/>
  <c r="V608" i="16"/>
  <c r="U608" i="16"/>
  <c r="X608" i="16" s="1"/>
  <c r="T608" i="16"/>
  <c r="S608" i="16"/>
  <c r="R608" i="16"/>
  <c r="Y608" i="16" s="1"/>
  <c r="W607" i="16"/>
  <c r="V607" i="16"/>
  <c r="U607" i="16"/>
  <c r="X607" i="16" s="1"/>
  <c r="T607" i="16"/>
  <c r="S607" i="16"/>
  <c r="R607" i="16"/>
  <c r="Y607" i="16" s="1"/>
  <c r="W606" i="16"/>
  <c r="V606" i="16"/>
  <c r="U606" i="16"/>
  <c r="X606" i="16" s="1"/>
  <c r="T606" i="16"/>
  <c r="S606" i="16"/>
  <c r="R606" i="16"/>
  <c r="Y606" i="16" s="1"/>
  <c r="W605" i="16"/>
  <c r="V605" i="16"/>
  <c r="U605" i="16"/>
  <c r="X605" i="16" s="1"/>
  <c r="T605" i="16"/>
  <c r="S605" i="16"/>
  <c r="R605" i="16"/>
  <c r="Y605" i="16" s="1"/>
  <c r="W604" i="16"/>
  <c r="V604" i="16"/>
  <c r="U604" i="16"/>
  <c r="X604" i="16" s="1"/>
  <c r="T604" i="16"/>
  <c r="S604" i="16"/>
  <c r="R604" i="16"/>
  <c r="Y604" i="16" s="1"/>
  <c r="W603" i="16"/>
  <c r="V603" i="16"/>
  <c r="U603" i="16"/>
  <c r="X603" i="16" s="1"/>
  <c r="T603" i="16"/>
  <c r="S603" i="16"/>
  <c r="R603" i="16"/>
  <c r="Y603" i="16" s="1"/>
  <c r="W602" i="16"/>
  <c r="V602" i="16"/>
  <c r="U602" i="16"/>
  <c r="X602" i="16" s="1"/>
  <c r="T602" i="16"/>
  <c r="S602" i="16"/>
  <c r="R602" i="16"/>
  <c r="Y602" i="16" s="1"/>
  <c r="W601" i="16"/>
  <c r="V601" i="16"/>
  <c r="U601" i="16"/>
  <c r="X601" i="16" s="1"/>
  <c r="T601" i="16"/>
  <c r="S601" i="16"/>
  <c r="R601" i="16"/>
  <c r="Y601" i="16" s="1"/>
  <c r="W600" i="16"/>
  <c r="V600" i="16"/>
  <c r="U600" i="16"/>
  <c r="X600" i="16" s="1"/>
  <c r="T600" i="16"/>
  <c r="S600" i="16"/>
  <c r="R600" i="16"/>
  <c r="Y600" i="16" s="1"/>
  <c r="W599" i="16"/>
  <c r="V599" i="16"/>
  <c r="U599" i="16"/>
  <c r="X599" i="16" s="1"/>
  <c r="T599" i="16"/>
  <c r="S599" i="16"/>
  <c r="R599" i="16"/>
  <c r="Y599" i="16" s="1"/>
  <c r="W598" i="16"/>
  <c r="V598" i="16"/>
  <c r="U598" i="16"/>
  <c r="X598" i="16" s="1"/>
  <c r="T598" i="16"/>
  <c r="S598" i="16"/>
  <c r="R598" i="16"/>
  <c r="Y598" i="16" s="1"/>
  <c r="W597" i="16"/>
  <c r="V597" i="16"/>
  <c r="U597" i="16"/>
  <c r="X597" i="16" s="1"/>
  <c r="T597" i="16"/>
  <c r="S597" i="16"/>
  <c r="R597" i="16"/>
  <c r="Y597" i="16" s="1"/>
  <c r="W596" i="16"/>
  <c r="V596" i="16"/>
  <c r="U596" i="16"/>
  <c r="X596" i="16" s="1"/>
  <c r="T596" i="16"/>
  <c r="S596" i="16"/>
  <c r="R596" i="16"/>
  <c r="Y596" i="16" s="1"/>
  <c r="W595" i="16"/>
  <c r="V595" i="16"/>
  <c r="U595" i="16"/>
  <c r="X595" i="16" s="1"/>
  <c r="T595" i="16"/>
  <c r="S595" i="16"/>
  <c r="R595" i="16"/>
  <c r="Y595" i="16" s="1"/>
  <c r="W594" i="16"/>
  <c r="V594" i="16"/>
  <c r="U594" i="16"/>
  <c r="X594" i="16" s="1"/>
  <c r="T594" i="16"/>
  <c r="S594" i="16"/>
  <c r="R594" i="16"/>
  <c r="Y594" i="16" s="1"/>
  <c r="W593" i="16"/>
  <c r="V593" i="16"/>
  <c r="U593" i="16"/>
  <c r="X593" i="16" s="1"/>
  <c r="T593" i="16"/>
  <c r="S593" i="16"/>
  <c r="R593" i="16"/>
  <c r="Y593" i="16" s="1"/>
  <c r="W592" i="16"/>
  <c r="V592" i="16"/>
  <c r="U592" i="16"/>
  <c r="X592" i="16" s="1"/>
  <c r="T592" i="16"/>
  <c r="S592" i="16"/>
  <c r="R592" i="16"/>
  <c r="Y592" i="16" s="1"/>
  <c r="W591" i="16"/>
  <c r="V591" i="16"/>
  <c r="U591" i="16"/>
  <c r="X591" i="16" s="1"/>
  <c r="T591" i="16"/>
  <c r="S591" i="16"/>
  <c r="R591" i="16"/>
  <c r="Y591" i="16" s="1"/>
  <c r="W590" i="16"/>
  <c r="V590" i="16"/>
  <c r="U590" i="16"/>
  <c r="X590" i="16" s="1"/>
  <c r="T590" i="16"/>
  <c r="S590" i="16"/>
  <c r="R590" i="16"/>
  <c r="Y590" i="16" s="1"/>
  <c r="W589" i="16"/>
  <c r="V589" i="16"/>
  <c r="U589" i="16"/>
  <c r="X589" i="16" s="1"/>
  <c r="T589" i="16"/>
  <c r="S589" i="16"/>
  <c r="R589" i="16"/>
  <c r="Y589" i="16" s="1"/>
  <c r="W588" i="16"/>
  <c r="V588" i="16"/>
  <c r="U588" i="16"/>
  <c r="X588" i="16" s="1"/>
  <c r="T588" i="16"/>
  <c r="S588" i="16"/>
  <c r="R588" i="16"/>
  <c r="Y588" i="16" s="1"/>
  <c r="W587" i="16"/>
  <c r="V587" i="16"/>
  <c r="U587" i="16"/>
  <c r="X587" i="16" s="1"/>
  <c r="T587" i="16"/>
  <c r="S587" i="16"/>
  <c r="R587" i="16"/>
  <c r="Y587" i="16" s="1"/>
  <c r="W586" i="16"/>
  <c r="V586" i="16"/>
  <c r="U586" i="16"/>
  <c r="X586" i="16" s="1"/>
  <c r="T586" i="16"/>
  <c r="S586" i="16"/>
  <c r="R586" i="16"/>
  <c r="Y586" i="16" s="1"/>
  <c r="W585" i="16"/>
  <c r="V585" i="16"/>
  <c r="U585" i="16"/>
  <c r="X585" i="16" s="1"/>
  <c r="T585" i="16"/>
  <c r="S585" i="16"/>
  <c r="R585" i="16"/>
  <c r="Y585" i="16" s="1"/>
  <c r="W584" i="16"/>
  <c r="V584" i="16"/>
  <c r="U584" i="16"/>
  <c r="X584" i="16" s="1"/>
  <c r="T584" i="16"/>
  <c r="S584" i="16"/>
  <c r="R584" i="16"/>
  <c r="Y584" i="16" s="1"/>
  <c r="W583" i="16"/>
  <c r="V583" i="16"/>
  <c r="U583" i="16"/>
  <c r="X583" i="16" s="1"/>
  <c r="T583" i="16"/>
  <c r="S583" i="16"/>
  <c r="R583" i="16"/>
  <c r="Y583" i="16" s="1"/>
  <c r="W582" i="16"/>
  <c r="V582" i="16"/>
  <c r="U582" i="16"/>
  <c r="X582" i="16" s="1"/>
  <c r="T582" i="16"/>
  <c r="S582" i="16"/>
  <c r="R582" i="16"/>
  <c r="Y582" i="16" s="1"/>
  <c r="W581" i="16"/>
  <c r="V581" i="16"/>
  <c r="U581" i="16"/>
  <c r="X581" i="16" s="1"/>
  <c r="T581" i="16"/>
  <c r="S581" i="16"/>
  <c r="R581" i="16"/>
  <c r="Y581" i="16" s="1"/>
  <c r="W580" i="16"/>
  <c r="V580" i="16"/>
  <c r="U580" i="16"/>
  <c r="X580" i="16" s="1"/>
  <c r="T580" i="16"/>
  <c r="S580" i="16"/>
  <c r="R580" i="16"/>
  <c r="Y580" i="16" s="1"/>
  <c r="W579" i="16"/>
  <c r="V579" i="16"/>
  <c r="U579" i="16"/>
  <c r="X579" i="16" s="1"/>
  <c r="T579" i="16"/>
  <c r="S579" i="16"/>
  <c r="R579" i="16"/>
  <c r="Y579" i="16" s="1"/>
  <c r="W578" i="16"/>
  <c r="V578" i="16"/>
  <c r="U578" i="16"/>
  <c r="X578" i="16" s="1"/>
  <c r="T578" i="16"/>
  <c r="S578" i="16"/>
  <c r="R578" i="16"/>
  <c r="Y578" i="16" s="1"/>
  <c r="W577" i="16"/>
  <c r="V577" i="16"/>
  <c r="U577" i="16"/>
  <c r="X577" i="16" s="1"/>
  <c r="T577" i="16"/>
  <c r="S577" i="16"/>
  <c r="R577" i="16"/>
  <c r="Y577" i="16" s="1"/>
  <c r="W576" i="16"/>
  <c r="V576" i="16"/>
  <c r="U576" i="16"/>
  <c r="X576" i="16" s="1"/>
  <c r="T576" i="16"/>
  <c r="S576" i="16"/>
  <c r="R576" i="16"/>
  <c r="Y576" i="16" s="1"/>
  <c r="W575" i="16"/>
  <c r="V575" i="16"/>
  <c r="U575" i="16"/>
  <c r="X575" i="16" s="1"/>
  <c r="T575" i="16"/>
  <c r="S575" i="16"/>
  <c r="R575" i="16"/>
  <c r="Y575" i="16" s="1"/>
  <c r="W574" i="16"/>
  <c r="V574" i="16"/>
  <c r="U574" i="16"/>
  <c r="X574" i="16" s="1"/>
  <c r="T574" i="16"/>
  <c r="S574" i="16"/>
  <c r="R574" i="16"/>
  <c r="Y574" i="16" s="1"/>
  <c r="W573" i="16"/>
  <c r="V573" i="16"/>
  <c r="U573" i="16"/>
  <c r="X573" i="16" s="1"/>
  <c r="T573" i="16"/>
  <c r="S573" i="16"/>
  <c r="R573" i="16"/>
  <c r="Y573" i="16" s="1"/>
  <c r="W572" i="16"/>
  <c r="V572" i="16"/>
  <c r="U572" i="16"/>
  <c r="X572" i="16" s="1"/>
  <c r="T572" i="16"/>
  <c r="S572" i="16"/>
  <c r="R572" i="16"/>
  <c r="Y572" i="16" s="1"/>
  <c r="W571" i="16"/>
  <c r="V571" i="16"/>
  <c r="U571" i="16"/>
  <c r="X571" i="16" s="1"/>
  <c r="T571" i="16"/>
  <c r="S571" i="16"/>
  <c r="R571" i="16"/>
  <c r="Y571" i="16" s="1"/>
  <c r="W570" i="16"/>
  <c r="V570" i="16"/>
  <c r="U570" i="16"/>
  <c r="X570" i="16" s="1"/>
  <c r="T570" i="16"/>
  <c r="S570" i="16"/>
  <c r="R570" i="16"/>
  <c r="Y570" i="16" s="1"/>
  <c r="W569" i="16"/>
  <c r="V569" i="16"/>
  <c r="U569" i="16"/>
  <c r="X569" i="16" s="1"/>
  <c r="T569" i="16"/>
  <c r="S569" i="16"/>
  <c r="R569" i="16"/>
  <c r="Y569" i="16" s="1"/>
  <c r="W568" i="16"/>
  <c r="V568" i="16"/>
  <c r="U568" i="16"/>
  <c r="X568" i="16" s="1"/>
  <c r="T568" i="16"/>
  <c r="S568" i="16"/>
  <c r="R568" i="16"/>
  <c r="Y568" i="16" s="1"/>
  <c r="W567" i="16"/>
  <c r="V567" i="16"/>
  <c r="U567" i="16"/>
  <c r="X567" i="16" s="1"/>
  <c r="T567" i="16"/>
  <c r="S567" i="16"/>
  <c r="R567" i="16"/>
  <c r="Y567" i="16" s="1"/>
  <c r="W566" i="16"/>
  <c r="V566" i="16"/>
  <c r="U566" i="16"/>
  <c r="X566" i="16" s="1"/>
  <c r="T566" i="16"/>
  <c r="S566" i="16"/>
  <c r="R566" i="16"/>
  <c r="Y566" i="16" s="1"/>
  <c r="W565" i="16"/>
  <c r="V565" i="16"/>
  <c r="U565" i="16"/>
  <c r="X565" i="16" s="1"/>
  <c r="T565" i="16"/>
  <c r="S565" i="16"/>
  <c r="R565" i="16"/>
  <c r="Y565" i="16" s="1"/>
  <c r="W564" i="16"/>
  <c r="V564" i="16"/>
  <c r="U564" i="16"/>
  <c r="X564" i="16" s="1"/>
  <c r="T564" i="16"/>
  <c r="S564" i="16"/>
  <c r="R564" i="16"/>
  <c r="Y564" i="16" s="1"/>
  <c r="W563" i="16"/>
  <c r="V563" i="16"/>
  <c r="U563" i="16"/>
  <c r="X563" i="16" s="1"/>
  <c r="T563" i="16"/>
  <c r="S563" i="16"/>
  <c r="R563" i="16"/>
  <c r="Y563" i="16" s="1"/>
  <c r="W562" i="16"/>
  <c r="V562" i="16"/>
  <c r="U562" i="16"/>
  <c r="X562" i="16" s="1"/>
  <c r="T562" i="16"/>
  <c r="S562" i="16"/>
  <c r="R562" i="16"/>
  <c r="Y562" i="16" s="1"/>
  <c r="W559" i="16"/>
  <c r="V559" i="16"/>
  <c r="U559" i="16"/>
  <c r="X559" i="16" s="1"/>
  <c r="T559" i="16"/>
  <c r="S559" i="16"/>
  <c r="R559" i="16"/>
  <c r="Y559" i="16" s="1"/>
  <c r="W558" i="16"/>
  <c r="V558" i="16"/>
  <c r="U558" i="16"/>
  <c r="X558" i="16" s="1"/>
  <c r="T558" i="16"/>
  <c r="S558" i="16"/>
  <c r="R558" i="16"/>
  <c r="Y558" i="16" s="1"/>
  <c r="W557" i="16"/>
  <c r="V557" i="16"/>
  <c r="U557" i="16"/>
  <c r="X557" i="16" s="1"/>
  <c r="T557" i="16"/>
  <c r="S557" i="16"/>
  <c r="R557" i="16"/>
  <c r="Y557" i="16" s="1"/>
  <c r="W556" i="16"/>
  <c r="V556" i="16"/>
  <c r="U556" i="16"/>
  <c r="X556" i="16" s="1"/>
  <c r="T556" i="16"/>
  <c r="S556" i="16"/>
  <c r="R556" i="16"/>
  <c r="Y556" i="16" s="1"/>
  <c r="W555" i="16"/>
  <c r="V555" i="16"/>
  <c r="U555" i="16"/>
  <c r="X555" i="16" s="1"/>
  <c r="T555" i="16"/>
  <c r="S555" i="16"/>
  <c r="R555" i="16"/>
  <c r="Y555" i="16" s="1"/>
  <c r="W553" i="16"/>
  <c r="V553" i="16"/>
  <c r="U553" i="16"/>
  <c r="X553" i="16" s="1"/>
  <c r="T553" i="16"/>
  <c r="S553" i="16"/>
  <c r="R553" i="16"/>
  <c r="Y553" i="16" s="1"/>
  <c r="W552" i="16"/>
  <c r="V552" i="16"/>
  <c r="U552" i="16"/>
  <c r="X552" i="16" s="1"/>
  <c r="T552" i="16"/>
  <c r="S552" i="16"/>
  <c r="R552" i="16"/>
  <c r="Y552" i="16" s="1"/>
  <c r="W551" i="16"/>
  <c r="V551" i="16"/>
  <c r="U551" i="16"/>
  <c r="X551" i="16" s="1"/>
  <c r="T551" i="16"/>
  <c r="S551" i="16"/>
  <c r="R551" i="16"/>
  <c r="Y551" i="16" s="1"/>
  <c r="W550" i="16"/>
  <c r="V550" i="16"/>
  <c r="U550" i="16"/>
  <c r="X550" i="16" s="1"/>
  <c r="T550" i="16"/>
  <c r="S550" i="16"/>
  <c r="R550" i="16"/>
  <c r="Y550" i="16" s="1"/>
  <c r="W549" i="16"/>
  <c r="V549" i="16"/>
  <c r="U549" i="16"/>
  <c r="X549" i="16" s="1"/>
  <c r="T549" i="16"/>
  <c r="S549" i="16"/>
  <c r="R549" i="16"/>
  <c r="Y549" i="16" s="1"/>
  <c r="W548" i="16"/>
  <c r="V548" i="16"/>
  <c r="U548" i="16"/>
  <c r="X548" i="16" s="1"/>
  <c r="T548" i="16"/>
  <c r="S548" i="16"/>
  <c r="R548" i="16"/>
  <c r="Y548" i="16" s="1"/>
  <c r="W547" i="16"/>
  <c r="V547" i="16"/>
  <c r="U547" i="16"/>
  <c r="X547" i="16" s="1"/>
  <c r="T547" i="16"/>
  <c r="S547" i="16"/>
  <c r="R547" i="16"/>
  <c r="Y547" i="16" s="1"/>
  <c r="W545" i="16"/>
  <c r="V545" i="16"/>
  <c r="U545" i="16"/>
  <c r="X545" i="16" s="1"/>
  <c r="T545" i="16"/>
  <c r="S545" i="16"/>
  <c r="R545" i="16"/>
  <c r="Y545" i="16" s="1"/>
  <c r="W544" i="16"/>
  <c r="V544" i="16"/>
  <c r="U544" i="16"/>
  <c r="X544" i="16" s="1"/>
  <c r="T544" i="16"/>
  <c r="S544" i="16"/>
  <c r="R544" i="16"/>
  <c r="Y544" i="16" s="1"/>
  <c r="W543" i="16"/>
  <c r="V543" i="16"/>
  <c r="U543" i="16"/>
  <c r="X543" i="16" s="1"/>
  <c r="T543" i="16"/>
  <c r="S543" i="16"/>
  <c r="R543" i="16"/>
  <c r="Y543" i="16" s="1"/>
  <c r="W542" i="16"/>
  <c r="V542" i="16"/>
  <c r="U542" i="16"/>
  <c r="X542" i="16" s="1"/>
  <c r="T542" i="16"/>
  <c r="S542" i="16"/>
  <c r="R542" i="16"/>
  <c r="Y542" i="16" s="1"/>
  <c r="W541" i="16"/>
  <c r="V541" i="16"/>
  <c r="U541" i="16"/>
  <c r="X541" i="16" s="1"/>
  <c r="T541" i="16"/>
  <c r="S541" i="16"/>
  <c r="R541" i="16"/>
  <c r="Y541" i="16" s="1"/>
  <c r="W540" i="16"/>
  <c r="V540" i="16"/>
  <c r="U540" i="16"/>
  <c r="X540" i="16" s="1"/>
  <c r="T540" i="16"/>
  <c r="S540" i="16"/>
  <c r="R540" i="16"/>
  <c r="Y540" i="16" s="1"/>
  <c r="W539" i="16"/>
  <c r="V539" i="16"/>
  <c r="U539" i="16"/>
  <c r="X539" i="16" s="1"/>
  <c r="T539" i="16"/>
  <c r="S539" i="16"/>
  <c r="R539" i="16"/>
  <c r="Y539" i="16" s="1"/>
  <c r="W538" i="16"/>
  <c r="V538" i="16"/>
  <c r="U538" i="16"/>
  <c r="X538" i="16" s="1"/>
  <c r="T538" i="16"/>
  <c r="S538" i="16"/>
  <c r="R538" i="16"/>
  <c r="Y538" i="16" s="1"/>
  <c r="W535" i="16"/>
  <c r="V535" i="16"/>
  <c r="U535" i="16"/>
  <c r="X535" i="16" s="1"/>
  <c r="T535" i="16"/>
  <c r="S535" i="16"/>
  <c r="R535" i="16"/>
  <c r="Y535" i="16" s="1"/>
  <c r="W534" i="16"/>
  <c r="V534" i="16"/>
  <c r="U534" i="16"/>
  <c r="X534" i="16" s="1"/>
  <c r="T534" i="16"/>
  <c r="S534" i="16"/>
  <c r="R534" i="16"/>
  <c r="Y534" i="16" s="1"/>
  <c r="W533" i="16"/>
  <c r="V533" i="16"/>
  <c r="U533" i="16"/>
  <c r="X533" i="16" s="1"/>
  <c r="T533" i="16"/>
  <c r="S533" i="16"/>
  <c r="R533" i="16"/>
  <c r="Y533" i="16" s="1"/>
  <c r="W532" i="16"/>
  <c r="V532" i="16"/>
  <c r="U532" i="16"/>
  <c r="X532" i="16" s="1"/>
  <c r="T532" i="16"/>
  <c r="S532" i="16"/>
  <c r="R532" i="16"/>
  <c r="Y532" i="16" s="1"/>
  <c r="W531" i="16"/>
  <c r="V531" i="16"/>
  <c r="U531" i="16"/>
  <c r="X531" i="16" s="1"/>
  <c r="T531" i="16"/>
  <c r="S531" i="16"/>
  <c r="R531" i="16"/>
  <c r="Y531" i="16" s="1"/>
  <c r="W529" i="16"/>
  <c r="V529" i="16"/>
  <c r="U529" i="16"/>
  <c r="X529" i="16" s="1"/>
  <c r="T529" i="16"/>
  <c r="S529" i="16"/>
  <c r="R529" i="16"/>
  <c r="Y529" i="16" s="1"/>
  <c r="W528" i="16"/>
  <c r="V528" i="16"/>
  <c r="U528" i="16"/>
  <c r="X528" i="16" s="1"/>
  <c r="T528" i="16"/>
  <c r="S528" i="16"/>
  <c r="R528" i="16"/>
  <c r="Y528" i="16" s="1"/>
  <c r="W527" i="16"/>
  <c r="V527" i="16"/>
  <c r="U527" i="16"/>
  <c r="X527" i="16" s="1"/>
  <c r="T527" i="16"/>
  <c r="S527" i="16"/>
  <c r="R527" i="16"/>
  <c r="Y527" i="16" s="1"/>
  <c r="W526" i="16"/>
  <c r="V526" i="16"/>
  <c r="U526" i="16"/>
  <c r="X526" i="16" s="1"/>
  <c r="T526" i="16"/>
  <c r="S526" i="16"/>
  <c r="R526" i="16"/>
  <c r="Y526" i="16" s="1"/>
  <c r="W525" i="16"/>
  <c r="V525" i="16"/>
  <c r="U525" i="16"/>
  <c r="X525" i="16" s="1"/>
  <c r="T525" i="16"/>
  <c r="S525" i="16"/>
  <c r="R525" i="16"/>
  <c r="Y525" i="16" s="1"/>
  <c r="W524" i="16"/>
  <c r="V524" i="16"/>
  <c r="U524" i="16"/>
  <c r="X524" i="16" s="1"/>
  <c r="T524" i="16"/>
  <c r="S524" i="16"/>
  <c r="R524" i="16"/>
  <c r="Y524" i="16" s="1"/>
  <c r="W523" i="16"/>
  <c r="V523" i="16"/>
  <c r="U523" i="16"/>
  <c r="X523" i="16" s="1"/>
  <c r="T523" i="16"/>
  <c r="S523" i="16"/>
  <c r="R523" i="16"/>
  <c r="Y523" i="16" s="1"/>
  <c r="Y401" i="16"/>
  <c r="X401" i="16"/>
  <c r="W401" i="16"/>
  <c r="V401" i="16"/>
  <c r="U401" i="16"/>
  <c r="T401" i="16"/>
  <c r="AB401" i="16" s="1"/>
  <c r="S401" i="16"/>
  <c r="R401" i="16"/>
  <c r="Y400" i="16"/>
  <c r="X400" i="16"/>
  <c r="W400" i="16"/>
  <c r="V400" i="16"/>
  <c r="U400" i="16"/>
  <c r="T400" i="16"/>
  <c r="S400" i="16"/>
  <c r="R400" i="16"/>
  <c r="Y399" i="16"/>
  <c r="X399" i="16"/>
  <c r="W399" i="16"/>
  <c r="V399" i="16"/>
  <c r="U399" i="16"/>
  <c r="T399" i="16"/>
  <c r="AB399" i="16" s="1"/>
  <c r="S399" i="16"/>
  <c r="R399" i="16"/>
  <c r="Z399" i="16" s="1"/>
  <c r="Y398" i="16"/>
  <c r="X398" i="16"/>
  <c r="W398" i="16"/>
  <c r="V398" i="16"/>
  <c r="U398" i="16"/>
  <c r="AC398" i="16" s="1"/>
  <c r="T398" i="16"/>
  <c r="S398" i="16"/>
  <c r="R398" i="16"/>
  <c r="Y397" i="16"/>
  <c r="X397" i="16"/>
  <c r="W397" i="16"/>
  <c r="V397" i="16"/>
  <c r="U397" i="16"/>
  <c r="T397" i="16"/>
  <c r="S397" i="16"/>
  <c r="R397" i="16"/>
  <c r="Y396" i="16"/>
  <c r="X396" i="16"/>
  <c r="W396" i="16"/>
  <c r="V396" i="16"/>
  <c r="U396" i="16"/>
  <c r="T396" i="16"/>
  <c r="S396" i="16"/>
  <c r="R396" i="16"/>
  <c r="Y395" i="16"/>
  <c r="X395" i="16"/>
  <c r="W395" i="16"/>
  <c r="V395" i="16"/>
  <c r="U395" i="16"/>
  <c r="T395" i="16"/>
  <c r="AB395" i="16" s="1"/>
  <c r="S395" i="16"/>
  <c r="R395" i="16"/>
  <c r="Y394" i="16"/>
  <c r="X394" i="16"/>
  <c r="W394" i="16"/>
  <c r="V394" i="16"/>
  <c r="U394" i="16"/>
  <c r="T394" i="16"/>
  <c r="S394" i="16"/>
  <c r="R394" i="16"/>
  <c r="Y393" i="16"/>
  <c r="X393" i="16"/>
  <c r="W393" i="16"/>
  <c r="V393" i="16"/>
  <c r="U393" i="16"/>
  <c r="T393" i="16"/>
  <c r="AB393" i="16" s="1"/>
  <c r="S393" i="16"/>
  <c r="R393" i="16"/>
  <c r="Y392" i="16"/>
  <c r="X392" i="16"/>
  <c r="W392" i="16"/>
  <c r="V392" i="16"/>
  <c r="U392" i="16"/>
  <c r="AC392" i="16" s="1"/>
  <c r="T392" i="16"/>
  <c r="S392" i="16"/>
  <c r="R392" i="16"/>
  <c r="Y390" i="16"/>
  <c r="X390" i="16"/>
  <c r="W390" i="16"/>
  <c r="V390" i="16"/>
  <c r="U390" i="16"/>
  <c r="T390" i="16"/>
  <c r="S390" i="16"/>
  <c r="R390" i="16"/>
  <c r="Y389" i="16"/>
  <c r="X389" i="16"/>
  <c r="W389" i="16"/>
  <c r="V389" i="16"/>
  <c r="U389" i="16"/>
  <c r="T389" i="16"/>
  <c r="S389" i="16"/>
  <c r="R389" i="16"/>
  <c r="Y388" i="16"/>
  <c r="X388" i="16"/>
  <c r="W388" i="16"/>
  <c r="V388" i="16"/>
  <c r="U388" i="16"/>
  <c r="T388" i="16"/>
  <c r="AB388" i="16" s="1"/>
  <c r="S388" i="16"/>
  <c r="R388" i="16"/>
  <c r="Y387" i="16"/>
  <c r="X387" i="16"/>
  <c r="W387" i="16"/>
  <c r="V387" i="16"/>
  <c r="U387" i="16"/>
  <c r="T387" i="16"/>
  <c r="S387" i="16"/>
  <c r="R387" i="16"/>
  <c r="Y386" i="16"/>
  <c r="X386" i="16"/>
  <c r="W386" i="16"/>
  <c r="V386" i="16"/>
  <c r="U386" i="16"/>
  <c r="T386" i="16"/>
  <c r="S386" i="16"/>
  <c r="R386" i="16"/>
  <c r="Z386" i="16" s="1"/>
  <c r="Y385" i="16"/>
  <c r="X385" i="16"/>
  <c r="W385" i="16"/>
  <c r="V385" i="16"/>
  <c r="U385" i="16"/>
  <c r="AC385" i="16" s="1"/>
  <c r="T385" i="16"/>
  <c r="S385" i="16"/>
  <c r="R385" i="16"/>
  <c r="Y384" i="16"/>
  <c r="X384" i="16"/>
  <c r="W384" i="16"/>
  <c r="V384" i="16"/>
  <c r="U384" i="16"/>
  <c r="T384" i="16"/>
  <c r="S384" i="16"/>
  <c r="R384" i="16"/>
  <c r="Y383" i="16"/>
  <c r="X383" i="16"/>
  <c r="W383" i="16"/>
  <c r="V383" i="16"/>
  <c r="U383" i="16"/>
  <c r="T383" i="16"/>
  <c r="S383" i="16"/>
  <c r="R383" i="16"/>
  <c r="Y382" i="16"/>
  <c r="X382" i="16"/>
  <c r="W382" i="16"/>
  <c r="V382" i="16"/>
  <c r="U382" i="16"/>
  <c r="T382" i="16"/>
  <c r="AB382" i="16" s="1"/>
  <c r="S382" i="16"/>
  <c r="R382" i="16"/>
  <c r="Y381" i="16"/>
  <c r="X381" i="16"/>
  <c r="W381" i="16"/>
  <c r="V381" i="16"/>
  <c r="U381" i="16"/>
  <c r="T381" i="16"/>
  <c r="S381" i="16"/>
  <c r="R381" i="16"/>
  <c r="Y380" i="16"/>
  <c r="X380" i="16"/>
  <c r="W380" i="16"/>
  <c r="V380" i="16"/>
  <c r="U380" i="16"/>
  <c r="T380" i="16"/>
  <c r="S380" i="16"/>
  <c r="R380" i="16"/>
  <c r="Z380" i="16" s="1"/>
  <c r="Y378" i="16"/>
  <c r="X378" i="16"/>
  <c r="W378" i="16"/>
  <c r="V378" i="16"/>
  <c r="U378" i="16"/>
  <c r="AC378" i="16" s="1"/>
  <c r="T378" i="16"/>
  <c r="S378" i="16"/>
  <c r="R378" i="16"/>
  <c r="Y377" i="16"/>
  <c r="X377" i="16"/>
  <c r="W377" i="16"/>
  <c r="V377" i="16"/>
  <c r="U377" i="16"/>
  <c r="T377" i="16"/>
  <c r="S377" i="16"/>
  <c r="R377" i="16"/>
  <c r="Y376" i="16"/>
  <c r="X376" i="16"/>
  <c r="W376" i="16"/>
  <c r="V376" i="16"/>
  <c r="U376" i="16"/>
  <c r="T376" i="16"/>
  <c r="S376" i="16"/>
  <c r="R376" i="16"/>
  <c r="Y375" i="16"/>
  <c r="X375" i="16"/>
  <c r="W375" i="16"/>
  <c r="V375" i="16"/>
  <c r="U375" i="16"/>
  <c r="T375" i="16"/>
  <c r="AB375" i="16" s="1"/>
  <c r="S375" i="16"/>
  <c r="R375" i="16"/>
  <c r="Y374" i="16"/>
  <c r="X374" i="16"/>
  <c r="W374" i="16"/>
  <c r="V374" i="16"/>
  <c r="U374" i="16"/>
  <c r="T374" i="16"/>
  <c r="S374" i="16"/>
  <c r="R374" i="16"/>
  <c r="Y373" i="16"/>
  <c r="X373" i="16"/>
  <c r="W373" i="16"/>
  <c r="V373" i="16"/>
  <c r="U373" i="16"/>
  <c r="T373" i="16"/>
  <c r="S373" i="16"/>
  <c r="R373" i="16"/>
  <c r="Y372" i="16"/>
  <c r="X372" i="16"/>
  <c r="W372" i="16"/>
  <c r="V372" i="16"/>
  <c r="U372" i="16"/>
  <c r="T372" i="16"/>
  <c r="S372" i="16"/>
  <c r="R372" i="16"/>
  <c r="Y371" i="16"/>
  <c r="X371" i="16"/>
  <c r="W371" i="16"/>
  <c r="V371" i="16"/>
  <c r="U371" i="16"/>
  <c r="T371" i="16"/>
  <c r="S371" i="16"/>
  <c r="R371" i="16"/>
  <c r="Y370" i="16"/>
  <c r="X370" i="16"/>
  <c r="W370" i="16"/>
  <c r="V370" i="16"/>
  <c r="U370" i="16"/>
  <c r="T370" i="16"/>
  <c r="S370" i="16"/>
  <c r="AA370" i="16" s="1"/>
  <c r="R370" i="16"/>
  <c r="Y369" i="16"/>
  <c r="X369" i="16"/>
  <c r="W369" i="16"/>
  <c r="V369" i="16"/>
  <c r="U369" i="16"/>
  <c r="T369" i="16"/>
  <c r="S369" i="16"/>
  <c r="R369" i="16"/>
  <c r="Y367" i="16"/>
  <c r="X367" i="16"/>
  <c r="W367" i="16"/>
  <c r="V367" i="16"/>
  <c r="U367" i="16"/>
  <c r="T367" i="16"/>
  <c r="S367" i="16"/>
  <c r="R367" i="16"/>
  <c r="Y366" i="16"/>
  <c r="X366" i="16"/>
  <c r="W366" i="16"/>
  <c r="V366" i="16"/>
  <c r="U366" i="16"/>
  <c r="T366" i="16"/>
  <c r="AB366" i="16" s="1"/>
  <c r="S366" i="16"/>
  <c r="R366" i="16"/>
  <c r="Y365" i="16"/>
  <c r="X365" i="16"/>
  <c r="W365" i="16"/>
  <c r="V365" i="16"/>
  <c r="U365" i="16"/>
  <c r="T365" i="16"/>
  <c r="S365" i="16"/>
  <c r="AA365" i="16" s="1"/>
  <c r="R365" i="16"/>
  <c r="Y364" i="16"/>
  <c r="X364" i="16"/>
  <c r="W364" i="16"/>
  <c r="V364" i="16"/>
  <c r="U364" i="16"/>
  <c r="T364" i="16"/>
  <c r="S364" i="16"/>
  <c r="R364" i="16"/>
  <c r="Y363" i="16"/>
  <c r="X363" i="16"/>
  <c r="W363" i="16"/>
  <c r="V363" i="16"/>
  <c r="U363" i="16"/>
  <c r="T363" i="16"/>
  <c r="S363" i="16"/>
  <c r="R363" i="16"/>
  <c r="Y362" i="16"/>
  <c r="X362" i="16"/>
  <c r="W362" i="16"/>
  <c r="V362" i="16"/>
  <c r="U362" i="16"/>
  <c r="T362" i="16"/>
  <c r="S362" i="16"/>
  <c r="R362" i="16"/>
  <c r="Y361" i="16"/>
  <c r="X361" i="16"/>
  <c r="W361" i="16"/>
  <c r="V361" i="16"/>
  <c r="U361" i="16"/>
  <c r="T361" i="16"/>
  <c r="S361" i="16"/>
  <c r="R361" i="16"/>
  <c r="Y360" i="16"/>
  <c r="X360" i="16"/>
  <c r="W360" i="16"/>
  <c r="V360" i="16"/>
  <c r="U360" i="16"/>
  <c r="T360" i="16"/>
  <c r="S360" i="16"/>
  <c r="R360" i="16"/>
  <c r="Y359" i="16"/>
  <c r="X359" i="16"/>
  <c r="W359" i="16"/>
  <c r="V359" i="16"/>
  <c r="U359" i="16"/>
  <c r="T359" i="16"/>
  <c r="S359" i="16"/>
  <c r="R359" i="16"/>
  <c r="Y358" i="16"/>
  <c r="X358" i="16"/>
  <c r="W358" i="16"/>
  <c r="V358" i="16"/>
  <c r="U358" i="16"/>
  <c r="T358" i="16"/>
  <c r="S358" i="16"/>
  <c r="R358" i="16"/>
  <c r="Y357" i="16"/>
  <c r="X357" i="16"/>
  <c r="W357" i="16"/>
  <c r="V357" i="16"/>
  <c r="U357" i="16"/>
  <c r="AC357" i="16" s="1"/>
  <c r="T357" i="16"/>
  <c r="S357" i="16"/>
  <c r="R357" i="16"/>
  <c r="Y356" i="16"/>
  <c r="X356" i="16"/>
  <c r="W356" i="16"/>
  <c r="V356" i="16"/>
  <c r="U356" i="16"/>
  <c r="T356" i="16"/>
  <c r="S356" i="16"/>
  <c r="R356" i="16"/>
  <c r="Z356" i="16" s="1"/>
  <c r="Y355" i="16"/>
  <c r="X355" i="16"/>
  <c r="W355" i="16"/>
  <c r="V355" i="16"/>
  <c r="U355" i="16"/>
  <c r="T355" i="16"/>
  <c r="S355" i="16"/>
  <c r="R355" i="16"/>
  <c r="Y354" i="16"/>
  <c r="X354" i="16"/>
  <c r="W354" i="16"/>
  <c r="V354" i="16"/>
  <c r="U354" i="16"/>
  <c r="T354" i="16"/>
  <c r="S354" i="16"/>
  <c r="R354" i="16"/>
  <c r="Y353" i="16"/>
  <c r="X353" i="16"/>
  <c r="W353" i="16"/>
  <c r="V353" i="16"/>
  <c r="U353" i="16"/>
  <c r="AC353" i="16" s="1"/>
  <c r="T353" i="16"/>
  <c r="S353" i="16"/>
  <c r="AA353" i="16" s="1"/>
  <c r="R353" i="16"/>
  <c r="Y352" i="16"/>
  <c r="X352" i="16"/>
  <c r="W352" i="16"/>
  <c r="V352" i="16"/>
  <c r="U352" i="16"/>
  <c r="T352" i="16"/>
  <c r="S352" i="16"/>
  <c r="R352" i="16"/>
  <c r="Y351" i="16"/>
  <c r="X351" i="16"/>
  <c r="W351" i="16"/>
  <c r="V351" i="16"/>
  <c r="U351" i="16"/>
  <c r="T351" i="16"/>
  <c r="S351" i="16"/>
  <c r="R351" i="16"/>
  <c r="Y350" i="16"/>
  <c r="X350" i="16"/>
  <c r="W350" i="16"/>
  <c r="V350" i="16"/>
  <c r="U350" i="16"/>
  <c r="T350" i="16"/>
  <c r="AB350" i="16" s="1"/>
  <c r="S350" i="16"/>
  <c r="R350" i="16"/>
  <c r="Y349" i="16"/>
  <c r="X349" i="16"/>
  <c r="W349" i="16"/>
  <c r="V349" i="16"/>
  <c r="U349" i="16"/>
  <c r="T349" i="16"/>
  <c r="S349" i="16"/>
  <c r="R349" i="16"/>
  <c r="Y348" i="16"/>
  <c r="X348" i="16"/>
  <c r="W348" i="16"/>
  <c r="V348" i="16"/>
  <c r="U348" i="16"/>
  <c r="T348" i="16"/>
  <c r="S348" i="16"/>
  <c r="R348" i="16"/>
  <c r="Z348" i="16" s="1"/>
  <c r="Y346" i="16"/>
  <c r="X346" i="16"/>
  <c r="W346" i="16"/>
  <c r="V346" i="16"/>
  <c r="U346" i="16"/>
  <c r="T346" i="16"/>
  <c r="S346" i="16"/>
  <c r="R346" i="16"/>
  <c r="Y345" i="16"/>
  <c r="X345" i="16"/>
  <c r="W345" i="16"/>
  <c r="V345" i="16"/>
  <c r="U345" i="16"/>
  <c r="T345" i="16"/>
  <c r="S345" i="16"/>
  <c r="R345" i="16"/>
  <c r="Y344" i="16"/>
  <c r="X344" i="16"/>
  <c r="W344" i="16"/>
  <c r="V344" i="16"/>
  <c r="U344" i="16"/>
  <c r="AC344" i="16" s="1"/>
  <c r="T344" i="16"/>
  <c r="S344" i="16"/>
  <c r="AA344" i="16" s="1"/>
  <c r="R344" i="16"/>
  <c r="Y343" i="16"/>
  <c r="X343" i="16"/>
  <c r="W343" i="16"/>
  <c r="V343" i="16"/>
  <c r="U343" i="16"/>
  <c r="T343" i="16"/>
  <c r="S343" i="16"/>
  <c r="R343" i="16"/>
  <c r="Z343" i="16" s="1"/>
  <c r="Y342" i="16"/>
  <c r="X342" i="16"/>
  <c r="W342" i="16"/>
  <c r="V342" i="16"/>
  <c r="U342" i="16"/>
  <c r="T342" i="16"/>
  <c r="S342" i="16"/>
  <c r="R342" i="16"/>
  <c r="Y341" i="16"/>
  <c r="X341" i="16"/>
  <c r="W341" i="16"/>
  <c r="V341" i="16"/>
  <c r="U341" i="16"/>
  <c r="T341" i="16"/>
  <c r="AB341" i="16" s="1"/>
  <c r="S341" i="16"/>
  <c r="R341" i="16"/>
  <c r="Z341" i="16" s="1"/>
  <c r="Y340" i="16"/>
  <c r="X340" i="16"/>
  <c r="W340" i="16"/>
  <c r="V340" i="16"/>
  <c r="U340" i="16"/>
  <c r="AC340" i="16" s="1"/>
  <c r="T340" i="16"/>
  <c r="S340" i="16"/>
  <c r="AA340" i="16" s="1"/>
  <c r="R340" i="16"/>
  <c r="Y339" i="16"/>
  <c r="X339" i="16"/>
  <c r="W339" i="16"/>
  <c r="V339" i="16"/>
  <c r="U339" i="16"/>
  <c r="T339" i="16"/>
  <c r="S339" i="16"/>
  <c r="R339" i="16"/>
  <c r="Y165" i="16"/>
  <c r="X165" i="16"/>
  <c r="W165" i="16"/>
  <c r="V165" i="16"/>
  <c r="U165" i="16"/>
  <c r="T165" i="16"/>
  <c r="S165" i="16"/>
  <c r="R165" i="16"/>
  <c r="Y164" i="16"/>
  <c r="X164" i="16"/>
  <c r="W164" i="16"/>
  <c r="V164" i="16"/>
  <c r="U164" i="16"/>
  <c r="AC164" i="16" s="1"/>
  <c r="T164" i="16"/>
  <c r="S164" i="16"/>
  <c r="R164" i="16"/>
  <c r="Y163" i="16"/>
  <c r="X163" i="16"/>
  <c r="W163" i="16"/>
  <c r="V163" i="16"/>
  <c r="U163" i="16"/>
  <c r="T163" i="16"/>
  <c r="S163" i="16"/>
  <c r="R163" i="16"/>
  <c r="Y159" i="16"/>
  <c r="X159" i="16"/>
  <c r="W159" i="16"/>
  <c r="V159" i="16"/>
  <c r="U159" i="16"/>
  <c r="AC159" i="16" s="1"/>
  <c r="T159" i="16"/>
  <c r="AB159" i="16" s="1"/>
  <c r="S159" i="16"/>
  <c r="R159" i="16"/>
  <c r="Z159" i="16" s="1"/>
  <c r="Y158" i="16"/>
  <c r="X158" i="16"/>
  <c r="W158" i="16"/>
  <c r="V158" i="16"/>
  <c r="U158" i="16"/>
  <c r="T158" i="16"/>
  <c r="S158" i="16"/>
  <c r="R158" i="16"/>
  <c r="Y155" i="16"/>
  <c r="X155" i="16"/>
  <c r="W155" i="16"/>
  <c r="V155" i="16"/>
  <c r="U155" i="16"/>
  <c r="T155" i="16"/>
  <c r="S155" i="16"/>
  <c r="R155" i="16"/>
  <c r="Y154" i="16"/>
  <c r="X154" i="16"/>
  <c r="W154" i="16"/>
  <c r="V154" i="16"/>
  <c r="U154" i="16"/>
  <c r="T154" i="16"/>
  <c r="S154" i="16"/>
  <c r="R154" i="16"/>
  <c r="Y153" i="16"/>
  <c r="X153" i="16"/>
  <c r="W153" i="16"/>
  <c r="V153" i="16"/>
  <c r="U153" i="16"/>
  <c r="AC153" i="16" s="1"/>
  <c r="T153" i="16"/>
  <c r="S153" i="16"/>
  <c r="R153" i="16"/>
  <c r="Z153" i="16" s="1"/>
  <c r="Y152" i="16"/>
  <c r="X152" i="16"/>
  <c r="W152" i="16"/>
  <c r="V152" i="16"/>
  <c r="U152" i="16"/>
  <c r="T152" i="16"/>
  <c r="S152" i="16"/>
  <c r="R152" i="16"/>
  <c r="Y150" i="16"/>
  <c r="X150" i="16"/>
  <c r="W150" i="16"/>
  <c r="V150" i="16"/>
  <c r="U150" i="16"/>
  <c r="T150" i="16"/>
  <c r="S150" i="16"/>
  <c r="R150" i="16"/>
  <c r="Y149" i="16"/>
  <c r="X149" i="16"/>
  <c r="W149" i="16"/>
  <c r="V149" i="16"/>
  <c r="U149" i="16"/>
  <c r="T149" i="16"/>
  <c r="S149" i="16"/>
  <c r="R149" i="16"/>
  <c r="Y148" i="16"/>
  <c r="X148" i="16"/>
  <c r="W148" i="16"/>
  <c r="V148" i="16"/>
  <c r="U148" i="16"/>
  <c r="T148" i="16"/>
  <c r="S148" i="16"/>
  <c r="R148" i="16"/>
  <c r="Y147" i="16"/>
  <c r="X147" i="16"/>
  <c r="W147" i="16"/>
  <c r="V147" i="16"/>
  <c r="U147" i="16"/>
  <c r="T147" i="16"/>
  <c r="S147" i="16"/>
  <c r="R147" i="16"/>
  <c r="Y146" i="16"/>
  <c r="X146" i="16"/>
  <c r="W146" i="16"/>
  <c r="V146" i="16"/>
  <c r="U146" i="16"/>
  <c r="AC146" i="16" s="1"/>
  <c r="T146" i="16"/>
  <c r="S146" i="16"/>
  <c r="R146" i="16"/>
  <c r="Z146" i="16" s="1"/>
  <c r="Y145" i="16"/>
  <c r="X145" i="16"/>
  <c r="W145" i="16"/>
  <c r="V145" i="16"/>
  <c r="U145" i="16"/>
  <c r="T145" i="16"/>
  <c r="S145" i="16"/>
  <c r="R145" i="16"/>
  <c r="Y144" i="16"/>
  <c r="X144" i="16"/>
  <c r="W144" i="16"/>
  <c r="V144" i="16"/>
  <c r="U144" i="16"/>
  <c r="T144" i="16"/>
  <c r="S144" i="16"/>
  <c r="R144" i="16"/>
  <c r="Z144" i="16" s="1"/>
  <c r="Y143" i="16"/>
  <c r="X143" i="16"/>
  <c r="W143" i="16"/>
  <c r="V143" i="16"/>
  <c r="U143" i="16"/>
  <c r="T143" i="16"/>
  <c r="S143" i="16"/>
  <c r="R143" i="16"/>
  <c r="Y142" i="16"/>
  <c r="X142" i="16"/>
  <c r="W142" i="16"/>
  <c r="V142" i="16"/>
  <c r="U142" i="16"/>
  <c r="T142" i="16"/>
  <c r="S142" i="16"/>
  <c r="R142" i="16"/>
  <c r="Y141" i="16"/>
  <c r="X141" i="16"/>
  <c r="W141" i="16"/>
  <c r="V141" i="16"/>
  <c r="U141" i="16"/>
  <c r="T141" i="16"/>
  <c r="S141" i="16"/>
  <c r="R141" i="16"/>
  <c r="Y136" i="16"/>
  <c r="X136" i="16"/>
  <c r="W136" i="16"/>
  <c r="V136" i="16"/>
  <c r="U136" i="16"/>
  <c r="T136" i="16"/>
  <c r="S136" i="16"/>
  <c r="R136" i="16"/>
  <c r="Y133" i="16"/>
  <c r="X133" i="16"/>
  <c r="W133" i="16"/>
  <c r="V133" i="16"/>
  <c r="U133" i="16"/>
  <c r="T133" i="16"/>
  <c r="S133" i="16"/>
  <c r="R133" i="16"/>
  <c r="U128" i="16"/>
  <c r="T128" i="16"/>
  <c r="S128" i="16"/>
  <c r="R128" i="16"/>
  <c r="Y127" i="16"/>
  <c r="X127" i="16"/>
  <c r="W127" i="16"/>
  <c r="V127" i="16"/>
  <c r="U127" i="16"/>
  <c r="T127" i="16"/>
  <c r="S127" i="16"/>
  <c r="R127" i="16"/>
  <c r="Y126" i="16"/>
  <c r="X126" i="16"/>
  <c r="W126" i="16"/>
  <c r="V126" i="16"/>
  <c r="U126" i="16"/>
  <c r="T126" i="16"/>
  <c r="S126" i="16"/>
  <c r="R126" i="16"/>
  <c r="Z126" i="16" s="1"/>
  <c r="Y125" i="16"/>
  <c r="X125" i="16"/>
  <c r="W125" i="16"/>
  <c r="V125" i="16"/>
  <c r="U125" i="16"/>
  <c r="T125" i="16"/>
  <c r="S125" i="16"/>
  <c r="R125" i="16"/>
  <c r="Y124" i="16"/>
  <c r="X124" i="16"/>
  <c r="W124" i="16"/>
  <c r="V124" i="16"/>
  <c r="U124" i="16"/>
  <c r="T124" i="16"/>
  <c r="S124" i="16"/>
  <c r="R124" i="16"/>
  <c r="Y123" i="16"/>
  <c r="X123" i="16"/>
  <c r="W123" i="16"/>
  <c r="V123" i="16"/>
  <c r="U123" i="16"/>
  <c r="T123" i="16"/>
  <c r="S123" i="16"/>
  <c r="R123" i="16"/>
  <c r="Y122" i="16"/>
  <c r="X122" i="16"/>
  <c r="W122" i="16"/>
  <c r="V122" i="16"/>
  <c r="U122" i="16"/>
  <c r="T122" i="16"/>
  <c r="S122" i="16"/>
  <c r="R122" i="16"/>
  <c r="Y117" i="16"/>
  <c r="X117" i="16"/>
  <c r="W117" i="16"/>
  <c r="V117" i="16"/>
  <c r="U117" i="16"/>
  <c r="T117" i="16"/>
  <c r="S117" i="16"/>
  <c r="R117" i="16"/>
  <c r="Y115" i="16"/>
  <c r="X115" i="16"/>
  <c r="W115" i="16"/>
  <c r="V115" i="16"/>
  <c r="U115" i="16"/>
  <c r="T115" i="16"/>
  <c r="S115" i="16"/>
  <c r="R115" i="16"/>
  <c r="Y114" i="16"/>
  <c r="X114" i="16"/>
  <c r="W114" i="16"/>
  <c r="V114" i="16"/>
  <c r="U114" i="16"/>
  <c r="T114" i="16"/>
  <c r="S114" i="16"/>
  <c r="R114" i="16"/>
  <c r="Y113" i="16"/>
  <c r="X113" i="16"/>
  <c r="W113" i="16"/>
  <c r="V113" i="16"/>
  <c r="U113" i="16"/>
  <c r="T113" i="16"/>
  <c r="S113" i="16"/>
  <c r="R113" i="16"/>
  <c r="Y112" i="16"/>
  <c r="X112" i="16"/>
  <c r="W112" i="16"/>
  <c r="V112" i="16"/>
  <c r="U112" i="16"/>
  <c r="AC112" i="16" s="1"/>
  <c r="T112" i="16"/>
  <c r="S112" i="16"/>
  <c r="R112" i="16"/>
  <c r="Y111" i="16"/>
  <c r="X111" i="16"/>
  <c r="W111" i="16"/>
  <c r="V111" i="16"/>
  <c r="U111" i="16"/>
  <c r="T111" i="16"/>
  <c r="AB111" i="16" s="1"/>
  <c r="S111" i="16"/>
  <c r="R111" i="16"/>
  <c r="Z111" i="16" s="1"/>
  <c r="Y110" i="16"/>
  <c r="X110" i="16"/>
  <c r="W110" i="16"/>
  <c r="V110" i="16"/>
  <c r="U110" i="16"/>
  <c r="T110" i="16"/>
  <c r="S110" i="16"/>
  <c r="R110" i="16"/>
  <c r="Y108" i="16"/>
  <c r="X108" i="16"/>
  <c r="W108" i="16"/>
  <c r="V108" i="16"/>
  <c r="U108" i="16"/>
  <c r="T108" i="16"/>
  <c r="AB108" i="16" s="1"/>
  <c r="S108" i="16"/>
  <c r="R108" i="16"/>
  <c r="Z108" i="16" s="1"/>
  <c r="Y107" i="16"/>
  <c r="X107" i="16"/>
  <c r="W107" i="16"/>
  <c r="V107" i="16"/>
  <c r="U107" i="16"/>
  <c r="T107" i="16"/>
  <c r="S107" i="16"/>
  <c r="R107" i="16"/>
  <c r="Y106" i="16"/>
  <c r="X106" i="16"/>
  <c r="W106" i="16"/>
  <c r="V106" i="16"/>
  <c r="U106" i="16"/>
  <c r="T106" i="16"/>
  <c r="S106" i="16"/>
  <c r="R106" i="16"/>
  <c r="Y105" i="16"/>
  <c r="X105" i="16"/>
  <c r="W105" i="16"/>
  <c r="V105" i="16"/>
  <c r="U105" i="16"/>
  <c r="AC105" i="16" s="1"/>
  <c r="T105" i="16"/>
  <c r="S105" i="16"/>
  <c r="R105" i="16"/>
  <c r="Y100" i="16"/>
  <c r="X100" i="16"/>
  <c r="W100" i="16"/>
  <c r="V100" i="16"/>
  <c r="U100" i="16"/>
  <c r="T100" i="16"/>
  <c r="S100" i="16"/>
  <c r="R100" i="16"/>
  <c r="Z100" i="16" s="1"/>
  <c r="Y98" i="16"/>
  <c r="X98" i="16"/>
  <c r="W98" i="16"/>
  <c r="V98" i="16"/>
  <c r="U98" i="16"/>
  <c r="T98" i="16"/>
  <c r="S98" i="16"/>
  <c r="R98" i="16"/>
  <c r="Y97" i="16"/>
  <c r="X97" i="16"/>
  <c r="W97" i="16"/>
  <c r="V97" i="16"/>
  <c r="U97" i="16"/>
  <c r="T97" i="16"/>
  <c r="S97" i="16"/>
  <c r="R97" i="16"/>
  <c r="Y96" i="16"/>
  <c r="X96" i="16"/>
  <c r="W96" i="16"/>
  <c r="V96" i="16"/>
  <c r="U96" i="16"/>
  <c r="T96" i="16"/>
  <c r="S96" i="16"/>
  <c r="R96" i="16"/>
  <c r="Y95" i="16"/>
  <c r="X95" i="16"/>
  <c r="W95" i="16"/>
  <c r="V95" i="16"/>
  <c r="U95" i="16"/>
  <c r="T95" i="16"/>
  <c r="S95" i="16"/>
  <c r="R95" i="16"/>
  <c r="Y94" i="16"/>
  <c r="X94" i="16"/>
  <c r="W94" i="16"/>
  <c r="V94" i="16"/>
  <c r="U94" i="16"/>
  <c r="AC94" i="16" s="1"/>
  <c r="T94" i="16"/>
  <c r="S94" i="16"/>
  <c r="R94" i="16"/>
  <c r="Z94" i="16" s="1"/>
  <c r="Y93" i="16"/>
  <c r="X93" i="16"/>
  <c r="W93" i="16"/>
  <c r="V93" i="16"/>
  <c r="U93" i="16"/>
  <c r="T93" i="16"/>
  <c r="AB93" i="16" s="1"/>
  <c r="S93" i="16"/>
  <c r="R93" i="16"/>
  <c r="Y89" i="16"/>
  <c r="X89" i="16"/>
  <c r="W89" i="16"/>
  <c r="V89" i="16"/>
  <c r="U89" i="16"/>
  <c r="T89" i="16"/>
  <c r="S89" i="16"/>
  <c r="R89" i="16"/>
  <c r="Y88" i="16"/>
  <c r="X88" i="16"/>
  <c r="W88" i="16"/>
  <c r="V88" i="16"/>
  <c r="U88" i="16"/>
  <c r="T88" i="16"/>
  <c r="S88" i="16"/>
  <c r="R88" i="16"/>
  <c r="Y87" i="16"/>
  <c r="X87" i="16"/>
  <c r="W87" i="16"/>
  <c r="V87" i="16"/>
  <c r="U87" i="16"/>
  <c r="T87" i="16"/>
  <c r="S87" i="16"/>
  <c r="R87" i="16"/>
  <c r="Y86" i="16"/>
  <c r="X86" i="16"/>
  <c r="W86" i="16"/>
  <c r="V86" i="16"/>
  <c r="U86" i="16"/>
  <c r="T86" i="16"/>
  <c r="S86" i="16"/>
  <c r="R86" i="16"/>
  <c r="Y84" i="16"/>
  <c r="X84" i="16"/>
  <c r="W84" i="16"/>
  <c r="V84" i="16"/>
  <c r="U84" i="16"/>
  <c r="T84" i="16"/>
  <c r="S84" i="16"/>
  <c r="R84" i="16"/>
  <c r="Y83" i="16"/>
  <c r="X83" i="16"/>
  <c r="W83" i="16"/>
  <c r="V83" i="16"/>
  <c r="U83" i="16"/>
  <c r="T83" i="16"/>
  <c r="S83" i="16"/>
  <c r="R83" i="16"/>
  <c r="Y76" i="16"/>
  <c r="X76" i="16"/>
  <c r="W76" i="16"/>
  <c r="V76" i="16"/>
  <c r="U76" i="16"/>
  <c r="T76" i="16"/>
  <c r="S76" i="16"/>
  <c r="R76" i="16"/>
  <c r="Y75" i="16"/>
  <c r="X75" i="16"/>
  <c r="W75" i="16"/>
  <c r="V75" i="16"/>
  <c r="U75" i="16"/>
  <c r="T75" i="16"/>
  <c r="S75" i="16"/>
  <c r="R75" i="16"/>
  <c r="Y74" i="16"/>
  <c r="X74" i="16"/>
  <c r="W74" i="16"/>
  <c r="V74" i="16"/>
  <c r="U74" i="16"/>
  <c r="AC74" i="16" s="1"/>
  <c r="T74" i="16"/>
  <c r="S74" i="16"/>
  <c r="R74" i="16"/>
  <c r="Y73" i="16"/>
  <c r="X73" i="16"/>
  <c r="W73" i="16"/>
  <c r="V73" i="16"/>
  <c r="U73" i="16"/>
  <c r="T73" i="16"/>
  <c r="S73" i="16"/>
  <c r="R73" i="16"/>
  <c r="Y71" i="16"/>
  <c r="X71" i="16"/>
  <c r="W71" i="16"/>
  <c r="V71" i="16"/>
  <c r="U71" i="16"/>
  <c r="T71" i="16"/>
  <c r="S71" i="16"/>
  <c r="R71" i="16"/>
  <c r="Y70" i="16"/>
  <c r="X70" i="16"/>
  <c r="W70" i="16"/>
  <c r="V70" i="16"/>
  <c r="U70" i="16"/>
  <c r="T70" i="16"/>
  <c r="S70" i="16"/>
  <c r="R70" i="16"/>
  <c r="Y69" i="16"/>
  <c r="X69" i="16"/>
  <c r="W69" i="16"/>
  <c r="V69" i="16"/>
  <c r="U69" i="16"/>
  <c r="T69" i="16"/>
  <c r="S69" i="16"/>
  <c r="R69" i="16"/>
  <c r="Y68" i="16"/>
  <c r="X68" i="16"/>
  <c r="W68" i="16"/>
  <c r="V68" i="16"/>
  <c r="U68" i="16"/>
  <c r="T68" i="16"/>
  <c r="S68" i="16"/>
  <c r="R68" i="16"/>
  <c r="Y67" i="16"/>
  <c r="X67" i="16"/>
  <c r="W67" i="16"/>
  <c r="V67" i="16"/>
  <c r="U67" i="16"/>
  <c r="AC67" i="16" s="1"/>
  <c r="T67" i="16"/>
  <c r="S67" i="16"/>
  <c r="R67" i="16"/>
  <c r="Z67" i="16" s="1"/>
  <c r="Y66" i="16"/>
  <c r="X66" i="16"/>
  <c r="W66" i="16"/>
  <c r="V66" i="16"/>
  <c r="U66" i="16"/>
  <c r="T66" i="16"/>
  <c r="S66" i="16"/>
  <c r="R66" i="16"/>
  <c r="Y65" i="16"/>
  <c r="X65" i="16"/>
  <c r="W65" i="16"/>
  <c r="V65" i="16"/>
  <c r="U65" i="16"/>
  <c r="T65" i="16"/>
  <c r="S65" i="16"/>
  <c r="R65" i="16"/>
  <c r="Y64" i="16"/>
  <c r="X64" i="16"/>
  <c r="W64" i="16"/>
  <c r="V64" i="16"/>
  <c r="U64" i="16"/>
  <c r="T64" i="16"/>
  <c r="S64" i="16"/>
  <c r="R64" i="16"/>
  <c r="Y62" i="16"/>
  <c r="X62" i="16"/>
  <c r="W62" i="16"/>
  <c r="V62" i="16"/>
  <c r="U62" i="16"/>
  <c r="T62" i="16"/>
  <c r="S62" i="16"/>
  <c r="R62" i="16"/>
  <c r="Y61" i="16"/>
  <c r="X61" i="16"/>
  <c r="W61" i="16"/>
  <c r="V61" i="16"/>
  <c r="U61" i="16"/>
  <c r="T61" i="16"/>
  <c r="S61" i="16"/>
  <c r="R61" i="16"/>
  <c r="Y60" i="16"/>
  <c r="X60" i="16"/>
  <c r="W60" i="16"/>
  <c r="V60" i="16"/>
  <c r="U60" i="16"/>
  <c r="AC60" i="16" s="1"/>
  <c r="T60" i="16"/>
  <c r="S60" i="16"/>
  <c r="R60" i="16"/>
  <c r="Z60" i="16" s="1"/>
  <c r="Y59" i="16"/>
  <c r="X59" i="16"/>
  <c r="W59" i="16"/>
  <c r="V59" i="16"/>
  <c r="U59" i="16"/>
  <c r="T59" i="16"/>
  <c r="S59" i="16"/>
  <c r="R59" i="16"/>
  <c r="Y58" i="16"/>
  <c r="X58" i="16"/>
  <c r="W58" i="16"/>
  <c r="V58" i="16"/>
  <c r="U58" i="16"/>
  <c r="T58" i="16"/>
  <c r="S58" i="16"/>
  <c r="R58" i="16"/>
  <c r="Y53" i="16"/>
  <c r="X53" i="16"/>
  <c r="W53" i="16"/>
  <c r="V53" i="16"/>
  <c r="U53" i="16"/>
  <c r="T53" i="16"/>
  <c r="S53" i="16"/>
  <c r="R53" i="16"/>
  <c r="Y52" i="16"/>
  <c r="X52" i="16"/>
  <c r="W52" i="16"/>
  <c r="V52" i="16"/>
  <c r="U52" i="16"/>
  <c r="T52" i="16"/>
  <c r="S52" i="16"/>
  <c r="R52" i="16"/>
  <c r="Y50" i="16"/>
  <c r="X50" i="16"/>
  <c r="W50" i="16"/>
  <c r="V50" i="16"/>
  <c r="U50" i="16"/>
  <c r="T50" i="16"/>
  <c r="S50" i="16"/>
  <c r="R50" i="16"/>
  <c r="Y49" i="16"/>
  <c r="X49" i="16"/>
  <c r="W49" i="16"/>
  <c r="V49" i="16"/>
  <c r="U49" i="16"/>
  <c r="T49" i="16"/>
  <c r="S49" i="16"/>
  <c r="R49" i="16"/>
  <c r="Y48" i="16"/>
  <c r="X48" i="16"/>
  <c r="W48" i="16"/>
  <c r="V48" i="16"/>
  <c r="U48" i="16"/>
  <c r="T48" i="16"/>
  <c r="S48" i="16"/>
  <c r="R48" i="16"/>
  <c r="Y47" i="16"/>
  <c r="X47" i="16"/>
  <c r="W47" i="16"/>
  <c r="V47" i="16"/>
  <c r="U47" i="16"/>
  <c r="T47" i="16"/>
  <c r="S47" i="16"/>
  <c r="R47" i="16"/>
  <c r="Y46" i="16"/>
  <c r="X46" i="16"/>
  <c r="W46" i="16"/>
  <c r="V46" i="16"/>
  <c r="U46" i="16"/>
  <c r="T46" i="16"/>
  <c r="S46" i="16"/>
  <c r="R46" i="16"/>
  <c r="Z366" i="16" l="1"/>
  <c r="AC87" i="16"/>
  <c r="Z48" i="16"/>
  <c r="Z86" i="16"/>
  <c r="Z142" i="16"/>
  <c r="Z155" i="16"/>
  <c r="Z377" i="16"/>
  <c r="Z384" i="16"/>
  <c r="Z397" i="16"/>
  <c r="AA349" i="16"/>
  <c r="AA361" i="16"/>
  <c r="AA367" i="16"/>
  <c r="AA374" i="16"/>
  <c r="AA381" i="16"/>
  <c r="AA394" i="16"/>
  <c r="AA400" i="16"/>
  <c r="AB48" i="16"/>
  <c r="AB59" i="16"/>
  <c r="AB86" i="16"/>
  <c r="AB142" i="16"/>
  <c r="AB352" i="16"/>
  <c r="AC62" i="16"/>
  <c r="AC142" i="16"/>
  <c r="AC148" i="16"/>
  <c r="AC342" i="16"/>
  <c r="AC349" i="16"/>
  <c r="AC387" i="16"/>
  <c r="AC394" i="16"/>
  <c r="AC400" i="16"/>
  <c r="AB50" i="16"/>
  <c r="AB380" i="16"/>
  <c r="AB83" i="16"/>
  <c r="AB386" i="16"/>
  <c r="Z83" i="16"/>
  <c r="Z390" i="16"/>
  <c r="AA387" i="16"/>
  <c r="Z566" i="16"/>
  <c r="Z568" i="16"/>
  <c r="AB155" i="16"/>
  <c r="AB115" i="16"/>
  <c r="AB148" i="16"/>
  <c r="Z352" i="16"/>
  <c r="Z371" i="16"/>
  <c r="Z358" i="16"/>
  <c r="Z393" i="16"/>
  <c r="AB46" i="16"/>
  <c r="AB66" i="16"/>
  <c r="AC48" i="16"/>
  <c r="Z589" i="16"/>
  <c r="Z556" i="16"/>
  <c r="Z53" i="16"/>
  <c r="Z73" i="16"/>
  <c r="Z586" i="16"/>
  <c r="Z590" i="16"/>
  <c r="Z608" i="16"/>
  <c r="Z610" i="16"/>
  <c r="Z593" i="16"/>
  <c r="Z595" i="16"/>
  <c r="Z597" i="16"/>
  <c r="AB122" i="16"/>
  <c r="AB136" i="16"/>
  <c r="Z539" i="16"/>
  <c r="AC46" i="16"/>
  <c r="Z547" i="16"/>
  <c r="Z604" i="16"/>
  <c r="Z606" i="16"/>
  <c r="Z580" i="16"/>
  <c r="Z600" i="16"/>
  <c r="Z603" i="16"/>
  <c r="Z605" i="16"/>
  <c r="Z607" i="16"/>
  <c r="Z611" i="16"/>
  <c r="Z613" i="16"/>
  <c r="Z97" i="16"/>
  <c r="AB143" i="16"/>
  <c r="AB144" i="16"/>
  <c r="AB343" i="16"/>
  <c r="AB348" i="16"/>
  <c r="AB360" i="16"/>
  <c r="AB364" i="16"/>
  <c r="AB373" i="16"/>
  <c r="Z526" i="16"/>
  <c r="Z532" i="16"/>
  <c r="Z548" i="16"/>
  <c r="Z559" i="16"/>
  <c r="Z573" i="16"/>
  <c r="Z575" i="16"/>
  <c r="Z582" i="16"/>
  <c r="AC351" i="16"/>
  <c r="Z591" i="16"/>
  <c r="AB70" i="16"/>
  <c r="AC50" i="16"/>
  <c r="Z572" i="16"/>
  <c r="AA47" i="16"/>
  <c r="AA50" i="16"/>
  <c r="Z58" i="16"/>
  <c r="Z66" i="16"/>
  <c r="Z68" i="16"/>
  <c r="Z70" i="16"/>
  <c r="Z71" i="16"/>
  <c r="Z112" i="16"/>
  <c r="Z113" i="16"/>
  <c r="Z114" i="16"/>
  <c r="AB49" i="16"/>
  <c r="AA53" i="16"/>
  <c r="AA60" i="16"/>
  <c r="AA64" i="16"/>
  <c r="AA67" i="16"/>
  <c r="AA70" i="16"/>
  <c r="AA71" i="16"/>
  <c r="AA74" i="16"/>
  <c r="AA76" i="16"/>
  <c r="AA83" i="16"/>
  <c r="AA86" i="16"/>
  <c r="AA87" i="16"/>
  <c r="AA88" i="16"/>
  <c r="AA94" i="16"/>
  <c r="AA97" i="16"/>
  <c r="AA98" i="16"/>
  <c r="AA105" i="16"/>
  <c r="AA107" i="16"/>
  <c r="AA108" i="16"/>
  <c r="AA111" i="16"/>
  <c r="AA112" i="16"/>
  <c r="AA114" i="16"/>
  <c r="AA115" i="16"/>
  <c r="AA122" i="16"/>
  <c r="Z123" i="16"/>
  <c r="Z127" i="16"/>
  <c r="Z133" i="16"/>
  <c r="AC141" i="16"/>
  <c r="AC143" i="16"/>
  <c r="Z46" i="16"/>
  <c r="AB60" i="16"/>
  <c r="AB73" i="16"/>
  <c r="AB84" i="16"/>
  <c r="AB89" i="16"/>
  <c r="AB94" i="16"/>
  <c r="AB95" i="16"/>
  <c r="AB97" i="16"/>
  <c r="AB100" i="16"/>
  <c r="AB110" i="16"/>
  <c r="AB117" i="16"/>
  <c r="AA124" i="16"/>
  <c r="Z145" i="16"/>
  <c r="Z147" i="16"/>
  <c r="Z152" i="16"/>
  <c r="Z158" i="16"/>
  <c r="Z87" i="16"/>
  <c r="Z93" i="16"/>
  <c r="Z95" i="16"/>
  <c r="Z98" i="16"/>
  <c r="AC47" i="16"/>
  <c r="AC49" i="16"/>
  <c r="AB58" i="16"/>
  <c r="AB65" i="16"/>
  <c r="AB67" i="16"/>
  <c r="AB68" i="16"/>
  <c r="AA46" i="16"/>
  <c r="AC61" i="16"/>
  <c r="AC68" i="16"/>
  <c r="AC70" i="16"/>
  <c r="AC75" i="16"/>
  <c r="AC86" i="16"/>
  <c r="AC95" i="16"/>
  <c r="AC97" i="16"/>
  <c r="AC106" i="16"/>
  <c r="AC111" i="16"/>
  <c r="AC113" i="16"/>
  <c r="AC117" i="16"/>
  <c r="AC122" i="16"/>
  <c r="AB124" i="16"/>
  <c r="AB125" i="16"/>
  <c r="AB126" i="16"/>
  <c r="AB127" i="16"/>
  <c r="AB133" i="16"/>
  <c r="AA141" i="16"/>
  <c r="AA142" i="16"/>
  <c r="AA144" i="16"/>
  <c r="AA146" i="16"/>
  <c r="AA149" i="16"/>
  <c r="AA153" i="16"/>
  <c r="AA154" i="16"/>
  <c r="AA158" i="16"/>
  <c r="AA164" i="16"/>
  <c r="AB342" i="16"/>
  <c r="AC354" i="16"/>
  <c r="AC359" i="16"/>
  <c r="AB361" i="16"/>
  <c r="AA366" i="16"/>
  <c r="AA369" i="16"/>
  <c r="Z378" i="16"/>
  <c r="Z385" i="16"/>
  <c r="Z392" i="16"/>
  <c r="Z398" i="16"/>
  <c r="Z533" i="16"/>
  <c r="Z535" i="16"/>
  <c r="Z540" i="16"/>
  <c r="Z545" i="16"/>
  <c r="Z555" i="16"/>
  <c r="AB147" i="16"/>
  <c r="AB149" i="16"/>
  <c r="AB153" i="16"/>
  <c r="AB154" i="16"/>
  <c r="AB163" i="16"/>
  <c r="AB164" i="16"/>
  <c r="Z340" i="16"/>
  <c r="AC341" i="16"/>
  <c r="AC343" i="16"/>
  <c r="AB344" i="16"/>
  <c r="AB345" i="16"/>
  <c r="AB346" i="16"/>
  <c r="AA350" i="16"/>
  <c r="Z353" i="16"/>
  <c r="Z357" i="16"/>
  <c r="AC361" i="16"/>
  <c r="AC362" i="16"/>
  <c r="AC363" i="16"/>
  <c r="AB365" i="16"/>
  <c r="AB372" i="16"/>
  <c r="AA375" i="16"/>
  <c r="AA380" i="16"/>
  <c r="AA382" i="16"/>
  <c r="AA386" i="16"/>
  <c r="AA388" i="16"/>
  <c r="AA393" i="16"/>
  <c r="AA395" i="16"/>
  <c r="AA399" i="16"/>
  <c r="AA401" i="16"/>
  <c r="AA125" i="16"/>
  <c r="AA136" i="16"/>
  <c r="Z143" i="16"/>
  <c r="AC147" i="16"/>
  <c r="AC158" i="16"/>
  <c r="AC163" i="16"/>
  <c r="AC165" i="16"/>
  <c r="Z342" i="16"/>
  <c r="AC346" i="16"/>
  <c r="AC348" i="16"/>
  <c r="AB349" i="16"/>
  <c r="AB351" i="16"/>
  <c r="AA352" i="16"/>
  <c r="AA360" i="16"/>
  <c r="Z361" i="16"/>
  <c r="AC369" i="16"/>
  <c r="AC372" i="16"/>
  <c r="AB374" i="16"/>
  <c r="AB381" i="16"/>
  <c r="AB387" i="16"/>
  <c r="AB394" i="16"/>
  <c r="AB400" i="16"/>
  <c r="Z534" i="16"/>
  <c r="Z538" i="16"/>
  <c r="Z551" i="16"/>
  <c r="Z553" i="16"/>
  <c r="Z581" i="16"/>
  <c r="AB339" i="16"/>
  <c r="Z346" i="16"/>
  <c r="AB356" i="16"/>
  <c r="AB357" i="16"/>
  <c r="AA364" i="16"/>
  <c r="Z365" i="16"/>
  <c r="Z367" i="16"/>
  <c r="Z370" i="16"/>
  <c r="Z372" i="16"/>
  <c r="AC377" i="16"/>
  <c r="AC380" i="16"/>
  <c r="AC384" i="16"/>
  <c r="AC386" i="16"/>
  <c r="AC393" i="16"/>
  <c r="AC399" i="16"/>
  <c r="Z523" i="16"/>
  <c r="Z525" i="16"/>
  <c r="Z527" i="16"/>
  <c r="Z544" i="16"/>
  <c r="Z552" i="16"/>
  <c r="Z558" i="16"/>
  <c r="Z563" i="16"/>
  <c r="Z565" i="16"/>
  <c r="Z567" i="16"/>
  <c r="Z594" i="16"/>
  <c r="Z596" i="16"/>
  <c r="Z598" i="16"/>
  <c r="Z601" i="16"/>
  <c r="AA133" i="16"/>
  <c r="AC149" i="16"/>
  <c r="AC53" i="16"/>
  <c r="AC64" i="16"/>
  <c r="AC88" i="16"/>
  <c r="AC124" i="16"/>
  <c r="AA48" i="16"/>
  <c r="Z52" i="16"/>
  <c r="Z61" i="16"/>
  <c r="Z65" i="16"/>
  <c r="AC69" i="16"/>
  <c r="Z89" i="16"/>
  <c r="AC96" i="16"/>
  <c r="AC126" i="16"/>
  <c r="Z150" i="16"/>
  <c r="AC155" i="16"/>
  <c r="AB371" i="16"/>
  <c r="Z574" i="16"/>
  <c r="Z105" i="16"/>
  <c r="Z115" i="16"/>
  <c r="AA127" i="16"/>
  <c r="AB362" i="16"/>
  <c r="AA52" i="16"/>
  <c r="AA59" i="16"/>
  <c r="AA62" i="16"/>
  <c r="AA66" i="16"/>
  <c r="Z69" i="16"/>
  <c r="AB74" i="16"/>
  <c r="AB87" i="16"/>
  <c r="AA93" i="16"/>
  <c r="Z96" i="16"/>
  <c r="AB105" i="16"/>
  <c r="AB112" i="16"/>
  <c r="AA123" i="16"/>
  <c r="AC127" i="16"/>
  <c r="AC133" i="16"/>
  <c r="AA145" i="16"/>
  <c r="AA148" i="16"/>
  <c r="AA152" i="16"/>
  <c r="AC345" i="16"/>
  <c r="Z74" i="16"/>
  <c r="Z349" i="16"/>
  <c r="AB52" i="16"/>
  <c r="AB61" i="16"/>
  <c r="AB62" i="16"/>
  <c r="AA69" i="16"/>
  <c r="AC76" i="16"/>
  <c r="AC83" i="16"/>
  <c r="AA96" i="16"/>
  <c r="AC107" i="16"/>
  <c r="AC108" i="16"/>
  <c r="AC114" i="16"/>
  <c r="AC115" i="16"/>
  <c r="AB123" i="16"/>
  <c r="AA126" i="16"/>
  <c r="Z136" i="16"/>
  <c r="AC144" i="16"/>
  <c r="AB145" i="16"/>
  <c r="AB150" i="16"/>
  <c r="AB152" i="16"/>
  <c r="AA155" i="16"/>
  <c r="AA163" i="16"/>
  <c r="AA341" i="16"/>
  <c r="Z344" i="16"/>
  <c r="AA363" i="16"/>
  <c r="Z47" i="16"/>
  <c r="Z49" i="16"/>
  <c r="Z50" i="16"/>
  <c r="AC52" i="16"/>
  <c r="AC58" i="16"/>
  <c r="AC59" i="16"/>
  <c r="AC65" i="16"/>
  <c r="AC66" i="16"/>
  <c r="AB69" i="16"/>
  <c r="AA73" i="16"/>
  <c r="Z75" i="16"/>
  <c r="Z76" i="16"/>
  <c r="Z84" i="16"/>
  <c r="AC89" i="16"/>
  <c r="AC93" i="16"/>
  <c r="AB96" i="16"/>
  <c r="AA100" i="16"/>
  <c r="Z106" i="16"/>
  <c r="Z107" i="16"/>
  <c r="Z110" i="16"/>
  <c r="Z117" i="16"/>
  <c r="Z122" i="16"/>
  <c r="AC123" i="16"/>
  <c r="Z141" i="16"/>
  <c r="AC145" i="16"/>
  <c r="AC150" i="16"/>
  <c r="AC152" i="16"/>
  <c r="AC355" i="16"/>
  <c r="Z374" i="16"/>
  <c r="Z381" i="16"/>
  <c r="Z387" i="16"/>
  <c r="Z394" i="16"/>
  <c r="Z400" i="16"/>
  <c r="AB47" i="16"/>
  <c r="AA58" i="16"/>
  <c r="AA61" i="16"/>
  <c r="AA65" i="16"/>
  <c r="AA68" i="16"/>
  <c r="AC71" i="16"/>
  <c r="AC73" i="16"/>
  <c r="AB75" i="16"/>
  <c r="AB76" i="16"/>
  <c r="AA89" i="16"/>
  <c r="AA95" i="16"/>
  <c r="AC98" i="16"/>
  <c r="AC100" i="16"/>
  <c r="AB106" i="16"/>
  <c r="AB107" i="16"/>
  <c r="AB113" i="16"/>
  <c r="AB114" i="16"/>
  <c r="Z125" i="16"/>
  <c r="AC136" i="16"/>
  <c r="AB141" i="16"/>
  <c r="AA147" i="16"/>
  <c r="AA150" i="16"/>
  <c r="AA359" i="16"/>
  <c r="AC367" i="16"/>
  <c r="AB53" i="16"/>
  <c r="AB64" i="16"/>
  <c r="AC84" i="16"/>
  <c r="AB88" i="16"/>
  <c r="AC110" i="16"/>
  <c r="AB146" i="16"/>
  <c r="AA49" i="16"/>
  <c r="Z59" i="16"/>
  <c r="Z62" i="16"/>
  <c r="Z64" i="16"/>
  <c r="AB71" i="16"/>
  <c r="AA75" i="16"/>
  <c r="AA84" i="16"/>
  <c r="Z88" i="16"/>
  <c r="AB98" i="16"/>
  <c r="AA106" i="16"/>
  <c r="AA110" i="16"/>
  <c r="AA113" i="16"/>
  <c r="AA117" i="16"/>
  <c r="Z124" i="16"/>
  <c r="AC125" i="16"/>
  <c r="AA143" i="16"/>
  <c r="Z148" i="16"/>
  <c r="Z149" i="16"/>
  <c r="AB158" i="16"/>
  <c r="Z588" i="16"/>
  <c r="AA345" i="16"/>
  <c r="AA355" i="16"/>
  <c r="Z362" i="16"/>
  <c r="AB377" i="16"/>
  <c r="AB378" i="16"/>
  <c r="AB384" i="16"/>
  <c r="AB385" i="16"/>
  <c r="AB390" i="16"/>
  <c r="AB392" i="16"/>
  <c r="AB397" i="16"/>
  <c r="AB398" i="16"/>
  <c r="Z542" i="16"/>
  <c r="Z570" i="16"/>
  <c r="Z577" i="16"/>
  <c r="Z584" i="16"/>
  <c r="Z163" i="16"/>
  <c r="AC350" i="16"/>
  <c r="AB353" i="16"/>
  <c r="AA356" i="16"/>
  <c r="Z359" i="16"/>
  <c r="AC360" i="16"/>
  <c r="Z363" i="16"/>
  <c r="AC364" i="16"/>
  <c r="AB367" i="16"/>
  <c r="AA371" i="16"/>
  <c r="Z373" i="16"/>
  <c r="AC374" i="16"/>
  <c r="AC375" i="16"/>
  <c r="AC381" i="16"/>
  <c r="AC382" i="16"/>
  <c r="AC388" i="16"/>
  <c r="AC395" i="16"/>
  <c r="AC401" i="16"/>
  <c r="Z524" i="16"/>
  <c r="Z529" i="16"/>
  <c r="Z550" i="16"/>
  <c r="Z579" i="16"/>
  <c r="AA351" i="16"/>
  <c r="Z354" i="16"/>
  <c r="Z355" i="16"/>
  <c r="AC356" i="16"/>
  <c r="AB358" i="16"/>
  <c r="AB359" i="16"/>
  <c r="AB363" i="16"/>
  <c r="AC370" i="16"/>
  <c r="AC371" i="16"/>
  <c r="AA376" i="16"/>
  <c r="AA377" i="16"/>
  <c r="AA383" i="16"/>
  <c r="AA384" i="16"/>
  <c r="AA389" i="16"/>
  <c r="AA390" i="16"/>
  <c r="AA396" i="16"/>
  <c r="AA397" i="16"/>
  <c r="Z369" i="16"/>
  <c r="Z562" i="16"/>
  <c r="Z583" i="16"/>
  <c r="Z154" i="16"/>
  <c r="Z164" i="16"/>
  <c r="AA346" i="16"/>
  <c r="AB354" i="16"/>
  <c r="AB355" i="16"/>
  <c r="AA362" i="16"/>
  <c r="AA372" i="16"/>
  <c r="AC376" i="16"/>
  <c r="AC383" i="16"/>
  <c r="AC389" i="16"/>
  <c r="AC390" i="16"/>
  <c r="AC396" i="16"/>
  <c r="AC397" i="16"/>
  <c r="Z528" i="16"/>
  <c r="Z541" i="16"/>
  <c r="Z569" i="16"/>
  <c r="Z576" i="16"/>
  <c r="Z602" i="16"/>
  <c r="AA159" i="16"/>
  <c r="Z165" i="16"/>
  <c r="AB340" i="16"/>
  <c r="AA342" i="16"/>
  <c r="AA343" i="16"/>
  <c r="AA348" i="16"/>
  <c r="Z350" i="16"/>
  <c r="Z351" i="16"/>
  <c r="AC352" i="16"/>
  <c r="AA357" i="16"/>
  <c r="AA358" i="16"/>
  <c r="Z360" i="16"/>
  <c r="Z364" i="16"/>
  <c r="AC365" i="16"/>
  <c r="AC366" i="16"/>
  <c r="AB369" i="16"/>
  <c r="AB370" i="16"/>
  <c r="AA373" i="16"/>
  <c r="Z375" i="16"/>
  <c r="Z376" i="16"/>
  <c r="Z382" i="16"/>
  <c r="Z383" i="16"/>
  <c r="Z388" i="16"/>
  <c r="Z389" i="16"/>
  <c r="Z395" i="16"/>
  <c r="Z396" i="16"/>
  <c r="Z401" i="16"/>
  <c r="Z543" i="16"/>
  <c r="Z549" i="16"/>
  <c r="Z557" i="16"/>
  <c r="Z571" i="16"/>
  <c r="Z599" i="16"/>
  <c r="Z609" i="16"/>
  <c r="AA165" i="16"/>
  <c r="Z345" i="16"/>
  <c r="AA378" i="16"/>
  <c r="AA385" i="16"/>
  <c r="AA392" i="16"/>
  <c r="AA398" i="16"/>
  <c r="Z578" i="16"/>
  <c r="Z585" i="16"/>
  <c r="Z592" i="16"/>
  <c r="AC154" i="16"/>
  <c r="AB165" i="16"/>
  <c r="AA354" i="16"/>
  <c r="AC358" i="16"/>
  <c r="AC373" i="16"/>
  <c r="AB376" i="16"/>
  <c r="AB383" i="16"/>
  <c r="AB389" i="16"/>
  <c r="AB396" i="16"/>
  <c r="Z531" i="16"/>
  <c r="Z587" i="16"/>
  <c r="Z564" i="16"/>
  <c r="AA339" i="16"/>
  <c r="AC339" i="16"/>
  <c r="Z339" i="16"/>
  <c r="Z612" i="16"/>
  <c r="Y138" i="10" l="1"/>
  <c r="X138" i="10"/>
  <c r="W138" i="10"/>
  <c r="V138" i="10"/>
  <c r="U138" i="10"/>
  <c r="T138" i="10"/>
  <c r="S138" i="10"/>
  <c r="R138" i="10"/>
  <c r="Z138" i="10" s="1"/>
  <c r="Y126" i="10"/>
  <c r="X126" i="10"/>
  <c r="W126" i="10"/>
  <c r="V126" i="10"/>
  <c r="U126" i="10"/>
  <c r="T126" i="10"/>
  <c r="S126" i="10"/>
  <c r="R126" i="10"/>
  <c r="Y105" i="10"/>
  <c r="X105" i="10"/>
  <c r="W105" i="10"/>
  <c r="V105" i="10"/>
  <c r="U105" i="10"/>
  <c r="T105" i="10"/>
  <c r="S105" i="10"/>
  <c r="R105" i="10"/>
  <c r="Y104" i="10"/>
  <c r="X104" i="10"/>
  <c r="W104" i="10"/>
  <c r="V104" i="10"/>
  <c r="U104" i="10"/>
  <c r="T104" i="10"/>
  <c r="S104" i="10"/>
  <c r="R104" i="10"/>
  <c r="Y103" i="10"/>
  <c r="X103" i="10"/>
  <c r="W103" i="10"/>
  <c r="V103" i="10"/>
  <c r="U103" i="10"/>
  <c r="T103" i="10"/>
  <c r="S103" i="10"/>
  <c r="R103" i="10"/>
  <c r="Y102" i="10"/>
  <c r="X102" i="10"/>
  <c r="W102" i="10"/>
  <c r="V102" i="10"/>
  <c r="U102" i="10"/>
  <c r="T102" i="10"/>
  <c r="S102" i="10"/>
  <c r="R102" i="10"/>
  <c r="Y101" i="10"/>
  <c r="X101" i="10"/>
  <c r="W101" i="10"/>
  <c r="V101" i="10"/>
  <c r="U101" i="10"/>
  <c r="T101" i="10"/>
  <c r="S101" i="10"/>
  <c r="R101" i="10"/>
  <c r="Z101" i="10" s="1"/>
  <c r="Y100" i="10"/>
  <c r="X100" i="10"/>
  <c r="W100" i="10"/>
  <c r="V100" i="10"/>
  <c r="U100" i="10"/>
  <c r="T100" i="10"/>
  <c r="S100" i="10"/>
  <c r="R100" i="10"/>
  <c r="Y99" i="10"/>
  <c r="X99" i="10"/>
  <c r="W99" i="10"/>
  <c r="V99" i="10"/>
  <c r="U99" i="10"/>
  <c r="T99" i="10"/>
  <c r="S99" i="10"/>
  <c r="R99" i="10"/>
  <c r="Y60" i="10"/>
  <c r="X60" i="10"/>
  <c r="W60" i="10"/>
  <c r="V60" i="10"/>
  <c r="U60" i="10"/>
  <c r="AC60" i="10" s="1"/>
  <c r="T60" i="10"/>
  <c r="S60" i="10"/>
  <c r="AA60" i="10" s="1"/>
  <c r="R60" i="10"/>
  <c r="Y47" i="10"/>
  <c r="X47" i="10"/>
  <c r="W47" i="10"/>
  <c r="V47" i="10"/>
  <c r="U47" i="10"/>
  <c r="T47" i="10"/>
  <c r="S47" i="10"/>
  <c r="R47" i="10"/>
  <c r="Y45" i="10"/>
  <c r="X45" i="10"/>
  <c r="W45" i="10"/>
  <c r="V45" i="10"/>
  <c r="U45" i="10"/>
  <c r="AC45" i="10" s="1"/>
  <c r="T45" i="10"/>
  <c r="AB45" i="10" s="1"/>
  <c r="S45" i="10"/>
  <c r="R45" i="10"/>
  <c r="Y44" i="10"/>
  <c r="X44" i="10"/>
  <c r="W44" i="10"/>
  <c r="V44" i="10"/>
  <c r="U44" i="10"/>
  <c r="T44" i="10"/>
  <c r="S44" i="10"/>
  <c r="R44" i="10"/>
  <c r="Z44" i="10" s="1"/>
  <c r="Y43" i="10"/>
  <c r="X43" i="10"/>
  <c r="W43" i="10"/>
  <c r="V43" i="10"/>
  <c r="U43" i="10"/>
  <c r="T43" i="10"/>
  <c r="S43" i="10"/>
  <c r="R43" i="10"/>
  <c r="Y42" i="10"/>
  <c r="X42" i="10"/>
  <c r="W42" i="10"/>
  <c r="V42" i="10"/>
  <c r="U42" i="10"/>
  <c r="T42" i="10"/>
  <c r="S42" i="10"/>
  <c r="R42" i="10"/>
  <c r="Y41" i="10"/>
  <c r="X41" i="10"/>
  <c r="W41" i="10"/>
  <c r="V41" i="10"/>
  <c r="U41" i="10"/>
  <c r="AC41" i="10" s="1"/>
  <c r="T41" i="10"/>
  <c r="AB41" i="10" s="1"/>
  <c r="S41" i="10"/>
  <c r="R41" i="10"/>
  <c r="Y40" i="10"/>
  <c r="X40" i="10"/>
  <c r="W40" i="10"/>
  <c r="V40" i="10"/>
  <c r="U40" i="10"/>
  <c r="T40" i="10"/>
  <c r="S40" i="10"/>
  <c r="R40" i="10"/>
  <c r="Y39" i="10"/>
  <c r="X39" i="10"/>
  <c r="W39" i="10"/>
  <c r="V39" i="10"/>
  <c r="U39" i="10"/>
  <c r="AC39" i="10" s="1"/>
  <c r="T39" i="10"/>
  <c r="AB39" i="10" s="1"/>
  <c r="S39" i="10"/>
  <c r="R39" i="10"/>
  <c r="Y38" i="10"/>
  <c r="X38" i="10"/>
  <c r="W38" i="10"/>
  <c r="V38" i="10"/>
  <c r="U38" i="10"/>
  <c r="T38" i="10"/>
  <c r="S38" i="10"/>
  <c r="AA38" i="10" s="1"/>
  <c r="R38" i="10"/>
  <c r="Z38" i="10" s="1"/>
  <c r="Y37" i="10"/>
  <c r="X37" i="10"/>
  <c r="W37" i="10"/>
  <c r="V37" i="10"/>
  <c r="U37" i="10"/>
  <c r="T37" i="10"/>
  <c r="S37" i="10"/>
  <c r="R37" i="10"/>
  <c r="Y36" i="10"/>
  <c r="X36" i="10"/>
  <c r="W36" i="10"/>
  <c r="V36" i="10"/>
  <c r="U36" i="10"/>
  <c r="T36" i="10"/>
  <c r="S36" i="10"/>
  <c r="R36" i="10"/>
  <c r="Y35" i="10"/>
  <c r="X35" i="10"/>
  <c r="W35" i="10"/>
  <c r="V35" i="10"/>
  <c r="U35" i="10"/>
  <c r="AC35" i="10" s="1"/>
  <c r="T35" i="10"/>
  <c r="AB35" i="10" s="1"/>
  <c r="S35" i="10"/>
  <c r="R35" i="10"/>
  <c r="Y34" i="10"/>
  <c r="X34" i="10"/>
  <c r="W34" i="10"/>
  <c r="V34" i="10"/>
  <c r="U34" i="10"/>
  <c r="T34" i="10"/>
  <c r="S34" i="10"/>
  <c r="R34" i="10"/>
  <c r="Y33" i="10"/>
  <c r="X33" i="10"/>
  <c r="W33" i="10"/>
  <c r="V33" i="10"/>
  <c r="U33" i="10"/>
  <c r="AC33" i="10" s="1"/>
  <c r="T33" i="10"/>
  <c r="AB33" i="10" s="1"/>
  <c r="S33" i="10"/>
  <c r="R33" i="10"/>
  <c r="Y32" i="10"/>
  <c r="X32" i="10"/>
  <c r="W32" i="10"/>
  <c r="V32" i="10"/>
  <c r="U32" i="10"/>
  <c r="T32" i="10"/>
  <c r="S32" i="10"/>
  <c r="AA32" i="10" s="1"/>
  <c r="R32" i="10"/>
  <c r="Z32" i="10" s="1"/>
  <c r="Y30" i="10"/>
  <c r="X30" i="10"/>
  <c r="W30" i="10"/>
  <c r="V30" i="10"/>
  <c r="U30" i="10"/>
  <c r="T30" i="10"/>
  <c r="S30" i="10"/>
  <c r="R30" i="10"/>
  <c r="Y29" i="10"/>
  <c r="X29" i="10"/>
  <c r="W29" i="10"/>
  <c r="V29" i="10"/>
  <c r="U29" i="10"/>
  <c r="T29" i="10"/>
  <c r="S29" i="10"/>
  <c r="R29" i="10"/>
  <c r="Y28" i="10"/>
  <c r="X28" i="10"/>
  <c r="W28" i="10"/>
  <c r="V28" i="10"/>
  <c r="U28" i="10"/>
  <c r="AC28" i="10" s="1"/>
  <c r="T28" i="10"/>
  <c r="AB28" i="10" s="1"/>
  <c r="S28" i="10"/>
  <c r="R28" i="10"/>
  <c r="Y27" i="10"/>
  <c r="X27" i="10"/>
  <c r="W27" i="10"/>
  <c r="V27" i="10"/>
  <c r="U27" i="10"/>
  <c r="T27" i="10"/>
  <c r="S27" i="10"/>
  <c r="R27" i="10"/>
  <c r="Y26" i="10"/>
  <c r="X26" i="10"/>
  <c r="W26" i="10"/>
  <c r="V26" i="10"/>
  <c r="U26" i="10"/>
  <c r="AC26" i="10" s="1"/>
  <c r="T26" i="10"/>
  <c r="S26" i="10"/>
  <c r="R26" i="10"/>
  <c r="Y25" i="10"/>
  <c r="X25" i="10"/>
  <c r="W25" i="10"/>
  <c r="V25" i="10"/>
  <c r="U25" i="10"/>
  <c r="T25" i="10"/>
  <c r="S25" i="10"/>
  <c r="AA25" i="10" s="1"/>
  <c r="R25" i="10"/>
  <c r="Z25" i="10" s="1"/>
  <c r="Y24" i="10"/>
  <c r="X24" i="10"/>
  <c r="W24" i="10"/>
  <c r="V24" i="10"/>
  <c r="U24" i="10"/>
  <c r="T24" i="10"/>
  <c r="S24" i="10"/>
  <c r="R24" i="10"/>
  <c r="Y23" i="10"/>
  <c r="X23" i="10"/>
  <c r="W23" i="10"/>
  <c r="V23" i="10"/>
  <c r="U23" i="10"/>
  <c r="T23" i="10"/>
  <c r="S23" i="10"/>
  <c r="R23" i="10"/>
  <c r="Y22" i="10"/>
  <c r="X22" i="10"/>
  <c r="W22" i="10"/>
  <c r="V22" i="10"/>
  <c r="U22" i="10"/>
  <c r="AC22" i="10" s="1"/>
  <c r="T22" i="10"/>
  <c r="AB22" i="10" s="1"/>
  <c r="S22" i="10"/>
  <c r="R22" i="10"/>
  <c r="Y21" i="10"/>
  <c r="X21" i="10"/>
  <c r="W21" i="10"/>
  <c r="V21" i="10"/>
  <c r="U21" i="10"/>
  <c r="T21" i="10"/>
  <c r="S21" i="10"/>
  <c r="R21" i="10"/>
  <c r="Y20" i="10"/>
  <c r="X20" i="10"/>
  <c r="W20" i="10"/>
  <c r="V20" i="10"/>
  <c r="U20" i="10"/>
  <c r="AC20" i="10" s="1"/>
  <c r="T20" i="10"/>
  <c r="S20" i="10"/>
  <c r="R20" i="10"/>
  <c r="Y19" i="10"/>
  <c r="X19" i="10"/>
  <c r="W19" i="10"/>
  <c r="V19" i="10"/>
  <c r="U19" i="10"/>
  <c r="T19" i="10"/>
  <c r="S19" i="10"/>
  <c r="AA19" i="10" s="1"/>
  <c r="R19" i="10"/>
  <c r="Z19" i="10" s="1"/>
  <c r="Y18" i="10"/>
  <c r="X18" i="10"/>
  <c r="W18" i="10"/>
  <c r="V18" i="10"/>
  <c r="U18" i="10"/>
  <c r="T18" i="10"/>
  <c r="S18" i="10"/>
  <c r="R18" i="10"/>
  <c r="Y17" i="10"/>
  <c r="X17" i="10"/>
  <c r="W17" i="10"/>
  <c r="V17" i="10"/>
  <c r="U17" i="10"/>
  <c r="T17" i="10"/>
  <c r="S17" i="10"/>
  <c r="R17" i="10"/>
  <c r="Y16" i="10"/>
  <c r="X16" i="10"/>
  <c r="W16" i="10"/>
  <c r="V16" i="10"/>
  <c r="U16" i="10"/>
  <c r="AC16" i="10" s="1"/>
  <c r="T16" i="10"/>
  <c r="AB16" i="10" s="1"/>
  <c r="S16" i="10"/>
  <c r="R16" i="10"/>
  <c r="Y15" i="10"/>
  <c r="X15" i="10"/>
  <c r="W15" i="10"/>
  <c r="V15" i="10"/>
  <c r="U15" i="10"/>
  <c r="T15" i="10"/>
  <c r="S15" i="10"/>
  <c r="R15" i="10"/>
  <c r="Y14" i="10"/>
  <c r="X14" i="10"/>
  <c r="W14" i="10"/>
  <c r="V14" i="10"/>
  <c r="U14" i="10"/>
  <c r="T14" i="10"/>
  <c r="S14" i="10"/>
  <c r="R14" i="10"/>
  <c r="Y13" i="10"/>
  <c r="X13" i="10"/>
  <c r="W13" i="10"/>
  <c r="V13" i="10"/>
  <c r="U13" i="10"/>
  <c r="T13" i="10"/>
  <c r="S13" i="10"/>
  <c r="AA13" i="10" s="1"/>
  <c r="R13" i="10"/>
  <c r="Y12" i="10"/>
  <c r="X12" i="10"/>
  <c r="W12" i="10"/>
  <c r="V12" i="10"/>
  <c r="U12" i="10"/>
  <c r="T12" i="10"/>
  <c r="S12" i="10"/>
  <c r="R12" i="10"/>
  <c r="Y11" i="10"/>
  <c r="X11" i="10"/>
  <c r="W11" i="10"/>
  <c r="V11" i="10"/>
  <c r="U11" i="10"/>
  <c r="T11" i="10"/>
  <c r="S11" i="10"/>
  <c r="R11" i="10"/>
  <c r="Y10" i="10"/>
  <c r="X10" i="10"/>
  <c r="W10" i="10"/>
  <c r="V10" i="10"/>
  <c r="U10" i="10"/>
  <c r="AC10" i="10" s="1"/>
  <c r="T10" i="10"/>
  <c r="AB10" i="10" s="1"/>
  <c r="S10" i="10"/>
  <c r="R10" i="10"/>
  <c r="Z10" i="10" s="1"/>
  <c r="Y9" i="10"/>
  <c r="X9" i="10"/>
  <c r="W9" i="10"/>
  <c r="V9" i="10"/>
  <c r="U9" i="10"/>
  <c r="T9" i="10"/>
  <c r="S9" i="10"/>
  <c r="R9" i="10"/>
  <c r="Y8" i="10"/>
  <c r="X8" i="10"/>
  <c r="W8" i="10"/>
  <c r="V8" i="10"/>
  <c r="U8" i="10"/>
  <c r="T8" i="10"/>
  <c r="S8" i="10"/>
  <c r="R8" i="10"/>
  <c r="Y7" i="10"/>
  <c r="X7" i="10"/>
  <c r="W7" i="10"/>
  <c r="V7" i="10"/>
  <c r="U7" i="10"/>
  <c r="T7" i="10"/>
  <c r="S7" i="10"/>
  <c r="AA7" i="10" s="1"/>
  <c r="R7" i="10"/>
  <c r="Z26" i="10" l="1"/>
  <c r="R200" i="10"/>
  <c r="Z15" i="10"/>
  <c r="Z21" i="10"/>
  <c r="Z27" i="10"/>
  <c r="Z34" i="10"/>
  <c r="Z40" i="10"/>
  <c r="Z47" i="10"/>
  <c r="Z103" i="10"/>
  <c r="AA9" i="10"/>
  <c r="AA15" i="10"/>
  <c r="AA21" i="10"/>
  <c r="AA27" i="10"/>
  <c r="AA34" i="10"/>
  <c r="AA43" i="10"/>
  <c r="AB12" i="10"/>
  <c r="AB18" i="10"/>
  <c r="AB24" i="10"/>
  <c r="AC12" i="10"/>
  <c r="Z14" i="10"/>
  <c r="Z33" i="10"/>
  <c r="Z39" i="10"/>
  <c r="AA14" i="10"/>
  <c r="AA26" i="10"/>
  <c r="AA33" i="10"/>
  <c r="AA103" i="10"/>
  <c r="AB11" i="10"/>
  <c r="AB17" i="10"/>
  <c r="AB23" i="10"/>
  <c r="AB26" i="10"/>
  <c r="AB27" i="10"/>
  <c r="AB34" i="10"/>
  <c r="AB40" i="10"/>
  <c r="AB47" i="10"/>
  <c r="AB60" i="10"/>
  <c r="AB103" i="10"/>
  <c r="Z11" i="10"/>
  <c r="Z20" i="10"/>
  <c r="Z45" i="10"/>
  <c r="AA8" i="10"/>
  <c r="AA20" i="10"/>
  <c r="AA39" i="10"/>
  <c r="AA42" i="10"/>
  <c r="AC9" i="10"/>
  <c r="AC11" i="10"/>
  <c r="AC14" i="10"/>
  <c r="AC15" i="10"/>
  <c r="AC21" i="10"/>
  <c r="AC27" i="10"/>
  <c r="AC34" i="10"/>
  <c r="AC40" i="10"/>
  <c r="AC47" i="10"/>
  <c r="AC103" i="10"/>
  <c r="AC126" i="10"/>
  <c r="Z13" i="10"/>
  <c r="AC23" i="10"/>
  <c r="AB29" i="10"/>
  <c r="AB36" i="10"/>
  <c r="AB42" i="10"/>
  <c r="AA99" i="10"/>
  <c r="AA105" i="10"/>
  <c r="AC17" i="10"/>
  <c r="AC36" i="10"/>
  <c r="AC42" i="10"/>
  <c r="AB99" i="10"/>
  <c r="AB105" i="10"/>
  <c r="AB13" i="10"/>
  <c r="AA16" i="10"/>
  <c r="AA22" i="10"/>
  <c r="Z28" i="10"/>
  <c r="Z35" i="10"/>
  <c r="Z41" i="10"/>
  <c r="Z60" i="10"/>
  <c r="AC99" i="10"/>
  <c r="AC105" i="10"/>
  <c r="AC13" i="10"/>
  <c r="AB19" i="10"/>
  <c r="AB25" i="10"/>
  <c r="AA28" i="10"/>
  <c r="AA35" i="10"/>
  <c r="AA41" i="10"/>
  <c r="AA44" i="10"/>
  <c r="V200" i="10"/>
  <c r="Z8" i="10"/>
  <c r="Z9" i="10"/>
  <c r="Z12" i="10"/>
  <c r="AC18" i="10"/>
  <c r="AC19" i="10"/>
  <c r="AC24" i="10"/>
  <c r="AC25" i="10"/>
  <c r="AB30" i="10"/>
  <c r="AB32" i="10"/>
  <c r="AB37" i="10"/>
  <c r="AB38" i="10"/>
  <c r="AB43" i="10"/>
  <c r="AB44" i="10"/>
  <c r="AA101" i="10"/>
  <c r="AA126" i="10"/>
  <c r="Z16" i="10"/>
  <c r="AA11" i="10"/>
  <c r="AA12" i="10"/>
  <c r="Z17" i="10"/>
  <c r="Z18" i="10"/>
  <c r="Z23" i="10"/>
  <c r="Z24" i="10"/>
  <c r="AC30" i="10"/>
  <c r="AC32" i="10"/>
  <c r="AC37" i="10"/>
  <c r="AC38" i="10"/>
  <c r="AC43" i="10"/>
  <c r="AC44" i="10"/>
  <c r="AB101" i="10"/>
  <c r="AB126" i="10"/>
  <c r="AA138" i="10"/>
  <c r="AA10" i="10"/>
  <c r="Z22" i="10"/>
  <c r="T200" i="10"/>
  <c r="AB9" i="10"/>
  <c r="AB14" i="10"/>
  <c r="AA17" i="10"/>
  <c r="AA18" i="10"/>
  <c r="AA23" i="10"/>
  <c r="AA24" i="10"/>
  <c r="Z29" i="10"/>
  <c r="Z30" i="10"/>
  <c r="Z36" i="10"/>
  <c r="Z37" i="10"/>
  <c r="Z42" i="10"/>
  <c r="Z43" i="10"/>
  <c r="AC101" i="10"/>
  <c r="AB138" i="10"/>
  <c r="AC29" i="10"/>
  <c r="AC8" i="10"/>
  <c r="AB15" i="10"/>
  <c r="AB20" i="10"/>
  <c r="AB21" i="10"/>
  <c r="AA29" i="10"/>
  <c r="AA30" i="10"/>
  <c r="AA36" i="10"/>
  <c r="AA37" i="10"/>
  <c r="AA40" i="10"/>
  <c r="AA45" i="10"/>
  <c r="AA47" i="10"/>
  <c r="Z99" i="10"/>
  <c r="Z105" i="10"/>
  <c r="Z126" i="10"/>
  <c r="AC138" i="10"/>
  <c r="AA100" i="10"/>
  <c r="AB102" i="10"/>
  <c r="AB104" i="10"/>
  <c r="AA102" i="10"/>
  <c r="W200" i="10"/>
  <c r="X200" i="10"/>
  <c r="AC100" i="10"/>
  <c r="AC102" i="10"/>
  <c r="AC104" i="10"/>
  <c r="AA104" i="10"/>
  <c r="AB100" i="10"/>
  <c r="Y200" i="10"/>
  <c r="Z100" i="10"/>
  <c r="Z102" i="10"/>
  <c r="Z104" i="10"/>
  <c r="S200" i="10"/>
  <c r="U200" i="10"/>
  <c r="AB8" i="10"/>
  <c r="Z7" i="10"/>
  <c r="AB7" i="10"/>
  <c r="AC7" i="10"/>
  <c r="U23" i="1" l="1"/>
  <c r="V23" i="1"/>
  <c r="W23" i="1"/>
  <c r="X23" i="1"/>
  <c r="Y23" i="1"/>
  <c r="Z23" i="1"/>
  <c r="AD23" i="1" s="1"/>
  <c r="AA23" i="1"/>
  <c r="AB23" i="1"/>
  <c r="AF23" i="1" s="1"/>
  <c r="AC23" i="1" l="1"/>
  <c r="AE23" i="1"/>
  <c r="AB34" i="1"/>
  <c r="AA34" i="1"/>
  <c r="Z34" i="1"/>
  <c r="Y34" i="1"/>
  <c r="X34" i="1"/>
  <c r="W34" i="1"/>
  <c r="V34" i="1"/>
  <c r="U34" i="1"/>
  <c r="AB33" i="1"/>
  <c r="AA33" i="1"/>
  <c r="Z33" i="1"/>
  <c r="Y33" i="1"/>
  <c r="X33" i="1"/>
  <c r="W33" i="1"/>
  <c r="V33" i="1"/>
  <c r="U33" i="1"/>
  <c r="AB32" i="1"/>
  <c r="AA32" i="1"/>
  <c r="Z32" i="1"/>
  <c r="Y32" i="1"/>
  <c r="X32" i="1"/>
  <c r="W32" i="1"/>
  <c r="V32" i="1"/>
  <c r="U32" i="1"/>
  <c r="AB31" i="1"/>
  <c r="AA31" i="1"/>
  <c r="Z31" i="1"/>
  <c r="Y31" i="1"/>
  <c r="X31" i="1"/>
  <c r="W31" i="1"/>
  <c r="V31" i="1"/>
  <c r="U31" i="1"/>
  <c r="AE31" i="1" l="1"/>
  <c r="AF31" i="1"/>
  <c r="AE32" i="1"/>
  <c r="AF34" i="1"/>
  <c r="AE33" i="1"/>
  <c r="AF33" i="1"/>
  <c r="AF32" i="1"/>
  <c r="AE34" i="1"/>
  <c r="N2" i="18" l="1"/>
  <c r="L3" i="18"/>
  <c r="J3" i="18"/>
  <c r="G3" i="18"/>
  <c r="E3" i="18"/>
  <c r="M3" i="18"/>
  <c r="K3" i="18"/>
  <c r="I3" i="18"/>
  <c r="H3" i="18"/>
  <c r="F3" i="18"/>
  <c r="D3" i="18"/>
  <c r="C3" i="18"/>
  <c r="B3" i="18"/>
  <c r="I11" i="7" l="1"/>
  <c r="F11" i="7"/>
  <c r="H11" i="7"/>
  <c r="E11" i="7"/>
  <c r="G11" i="7"/>
  <c r="F8" i="7" l="1"/>
  <c r="G8" i="7"/>
  <c r="H8" i="7"/>
  <c r="I8" i="7"/>
  <c r="E8" i="7"/>
  <c r="I4" i="7" l="1"/>
  <c r="F4" i="7"/>
  <c r="H4" i="7"/>
  <c r="G4" i="7"/>
  <c r="E4" i="7"/>
  <c r="E12" i="7" s="1"/>
  <c r="G10" i="7" l="1"/>
  <c r="H10" i="7"/>
  <c r="I10" i="7"/>
  <c r="E10" i="7"/>
  <c r="F10" i="7"/>
  <c r="E7" i="7" l="1"/>
  <c r="E9" i="7"/>
  <c r="E6" i="7"/>
  <c r="H9" i="7" l="1"/>
  <c r="G9" i="7"/>
  <c r="F9" i="7"/>
  <c r="I9" i="7" l="1"/>
  <c r="H7" i="7" l="1"/>
  <c r="I7" i="7"/>
  <c r="G7" i="7"/>
  <c r="F7" i="7"/>
  <c r="G6" i="7" l="1"/>
  <c r="H6" i="7" l="1"/>
  <c r="I6" i="7"/>
  <c r="AB54" i="1" l="1"/>
  <c r="AA54" i="1"/>
  <c r="Z54" i="1"/>
  <c r="Y54" i="1"/>
  <c r="AB53" i="1"/>
  <c r="AA53" i="1"/>
  <c r="Z53" i="1"/>
  <c r="Y53" i="1"/>
  <c r="AB52" i="1"/>
  <c r="AA52" i="1"/>
  <c r="Z52" i="1"/>
  <c r="Y52" i="1"/>
  <c r="AB50" i="1"/>
  <c r="AA50" i="1"/>
  <c r="Z50" i="1"/>
  <c r="Y50" i="1"/>
  <c r="AB48" i="1"/>
  <c r="AA48" i="1"/>
  <c r="Z48" i="1"/>
  <c r="Y48" i="1"/>
  <c r="AB47" i="1"/>
  <c r="AA47" i="1"/>
  <c r="Z47" i="1"/>
  <c r="Y47" i="1"/>
  <c r="AB46" i="1"/>
  <c r="AA46" i="1"/>
  <c r="Z46" i="1"/>
  <c r="Y46" i="1"/>
  <c r="AB45" i="1"/>
  <c r="AA45" i="1"/>
  <c r="Z45" i="1"/>
  <c r="Y45" i="1"/>
  <c r="AB44" i="1"/>
  <c r="AA44" i="1"/>
  <c r="Z44" i="1"/>
  <c r="Y44" i="1"/>
  <c r="AB42" i="1"/>
  <c r="AA42" i="1"/>
  <c r="Z42" i="1"/>
  <c r="Y42" i="1"/>
  <c r="AB41" i="1"/>
  <c r="AA41" i="1"/>
  <c r="Z41" i="1"/>
  <c r="Y41" i="1"/>
  <c r="AB40" i="1"/>
  <c r="AA40" i="1"/>
  <c r="Z40" i="1"/>
  <c r="Y40" i="1"/>
  <c r="AB39" i="1"/>
  <c r="AA39" i="1"/>
  <c r="Z39" i="1"/>
  <c r="Y39" i="1"/>
  <c r="AB38" i="1"/>
  <c r="AA38" i="1"/>
  <c r="Z38" i="1"/>
  <c r="Y38" i="1"/>
  <c r="AB37" i="1"/>
  <c r="AA37" i="1"/>
  <c r="Z37" i="1"/>
  <c r="Y37" i="1"/>
  <c r="AB36" i="1"/>
  <c r="AA36" i="1"/>
  <c r="Z36" i="1"/>
  <c r="Y36" i="1"/>
  <c r="AB29" i="1"/>
  <c r="AA29" i="1"/>
  <c r="Z29" i="1"/>
  <c r="Y29" i="1"/>
  <c r="AB28" i="1"/>
  <c r="AA28" i="1"/>
  <c r="Z28" i="1"/>
  <c r="Y28" i="1"/>
  <c r="AB27" i="1"/>
  <c r="AA27" i="1"/>
  <c r="Z27" i="1"/>
  <c r="Y27" i="1"/>
  <c r="AB26" i="1"/>
  <c r="AA26" i="1"/>
  <c r="Z26" i="1"/>
  <c r="Y26" i="1"/>
  <c r="AB25" i="1"/>
  <c r="AA25" i="1"/>
  <c r="Z25" i="1"/>
  <c r="Y25" i="1"/>
  <c r="AB22" i="1"/>
  <c r="AA22" i="1"/>
  <c r="Z22" i="1"/>
  <c r="Y22" i="1"/>
  <c r="AB21" i="1"/>
  <c r="AA21" i="1"/>
  <c r="Z21" i="1"/>
  <c r="Y21" i="1"/>
  <c r="AB20" i="1"/>
  <c r="AA20" i="1"/>
  <c r="Z20" i="1"/>
  <c r="Y20" i="1"/>
  <c r="AB19" i="1"/>
  <c r="AA19" i="1"/>
  <c r="Z19" i="1"/>
  <c r="Y19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Z7" i="1"/>
  <c r="AB7" i="1"/>
  <c r="X54" i="1"/>
  <c r="W54" i="1"/>
  <c r="V54" i="1"/>
  <c r="U54" i="1"/>
  <c r="X53" i="1"/>
  <c r="W53" i="1"/>
  <c r="V53" i="1"/>
  <c r="U53" i="1"/>
  <c r="X52" i="1"/>
  <c r="W52" i="1"/>
  <c r="V52" i="1"/>
  <c r="U52" i="1"/>
  <c r="X50" i="1"/>
  <c r="W50" i="1"/>
  <c r="V50" i="1"/>
  <c r="U50" i="1"/>
  <c r="X48" i="1"/>
  <c r="W48" i="1"/>
  <c r="V48" i="1"/>
  <c r="U48" i="1"/>
  <c r="X47" i="1"/>
  <c r="W47" i="1"/>
  <c r="V47" i="1"/>
  <c r="U47" i="1"/>
  <c r="X46" i="1"/>
  <c r="W46" i="1"/>
  <c r="V46" i="1"/>
  <c r="U46" i="1"/>
  <c r="X45" i="1"/>
  <c r="W45" i="1"/>
  <c r="V45" i="1"/>
  <c r="U45" i="1"/>
  <c r="X44" i="1"/>
  <c r="W44" i="1"/>
  <c r="V44" i="1"/>
  <c r="U44" i="1"/>
  <c r="X42" i="1"/>
  <c r="W42" i="1"/>
  <c r="V42" i="1"/>
  <c r="U42" i="1"/>
  <c r="X41" i="1"/>
  <c r="W41" i="1"/>
  <c r="V41" i="1"/>
  <c r="U41" i="1"/>
  <c r="X40" i="1"/>
  <c r="W40" i="1"/>
  <c r="V40" i="1"/>
  <c r="U40" i="1"/>
  <c r="X39" i="1"/>
  <c r="W39" i="1"/>
  <c r="V39" i="1"/>
  <c r="U39" i="1"/>
  <c r="X38" i="1"/>
  <c r="W38" i="1"/>
  <c r="V38" i="1"/>
  <c r="U38" i="1"/>
  <c r="X37" i="1"/>
  <c r="W37" i="1"/>
  <c r="V37" i="1"/>
  <c r="U37" i="1"/>
  <c r="X36" i="1"/>
  <c r="W36" i="1"/>
  <c r="V36" i="1"/>
  <c r="U36" i="1"/>
  <c r="X29" i="1"/>
  <c r="W29" i="1"/>
  <c r="V29" i="1"/>
  <c r="U29" i="1"/>
  <c r="X28" i="1"/>
  <c r="W28" i="1"/>
  <c r="V28" i="1"/>
  <c r="U28" i="1"/>
  <c r="X27" i="1"/>
  <c r="W27" i="1"/>
  <c r="V27" i="1"/>
  <c r="U27" i="1"/>
  <c r="X26" i="1"/>
  <c r="W26" i="1"/>
  <c r="V26" i="1"/>
  <c r="U26" i="1"/>
  <c r="X25" i="1"/>
  <c r="W25" i="1"/>
  <c r="V25" i="1"/>
  <c r="U25" i="1"/>
  <c r="X22" i="1"/>
  <c r="W22" i="1"/>
  <c r="V22" i="1"/>
  <c r="U22" i="1"/>
  <c r="X21" i="1"/>
  <c r="W21" i="1"/>
  <c r="V21" i="1"/>
  <c r="U21" i="1"/>
  <c r="X20" i="1"/>
  <c r="W20" i="1"/>
  <c r="V20" i="1"/>
  <c r="U20" i="1"/>
  <c r="X19" i="1"/>
  <c r="W19" i="1"/>
  <c r="V19" i="1"/>
  <c r="U19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X7" i="1"/>
  <c r="AE15" i="1" l="1"/>
  <c r="AB55" i="1"/>
  <c r="I5" i="7" s="1"/>
  <c r="I12" i="7" s="1"/>
  <c r="AD15" i="1"/>
  <c r="AC15" i="1"/>
  <c r="E5" i="7" l="1"/>
  <c r="V73" i="13"/>
  <c r="U73" i="13"/>
  <c r="T73" i="13"/>
  <c r="S73" i="13"/>
  <c r="R73" i="13"/>
  <c r="Q73" i="13"/>
  <c r="V72" i="13"/>
  <c r="U72" i="13"/>
  <c r="T72" i="13"/>
  <c r="S72" i="13"/>
  <c r="R72" i="13"/>
  <c r="Q72" i="13"/>
  <c r="V71" i="13"/>
  <c r="U71" i="13"/>
  <c r="T71" i="13"/>
  <c r="S71" i="13"/>
  <c r="R71" i="13"/>
  <c r="Q71" i="13"/>
  <c r="V70" i="13"/>
  <c r="U70" i="13"/>
  <c r="T70" i="13"/>
  <c r="S70" i="13"/>
  <c r="R70" i="13"/>
  <c r="Q70" i="13"/>
  <c r="V69" i="13"/>
  <c r="U69" i="13"/>
  <c r="T69" i="13"/>
  <c r="S69" i="13"/>
  <c r="R69" i="13"/>
  <c r="Q69" i="13"/>
  <c r="V68" i="13"/>
  <c r="U68" i="13"/>
  <c r="T68" i="13"/>
  <c r="S68" i="13"/>
  <c r="R68" i="13"/>
  <c r="Q68" i="13"/>
  <c r="V67" i="13"/>
  <c r="U67" i="13"/>
  <c r="T67" i="13"/>
  <c r="S67" i="13"/>
  <c r="R67" i="13"/>
  <c r="Q67" i="13"/>
  <c r="V66" i="13"/>
  <c r="U66" i="13"/>
  <c r="T66" i="13"/>
  <c r="S66" i="13"/>
  <c r="R66" i="13"/>
  <c r="Q66" i="13"/>
  <c r="V65" i="13"/>
  <c r="U65" i="13"/>
  <c r="T65" i="13"/>
  <c r="S65" i="13"/>
  <c r="R65" i="13"/>
  <c r="Q65" i="13"/>
  <c r="V64" i="13"/>
  <c r="U64" i="13"/>
  <c r="T64" i="13"/>
  <c r="S64" i="13"/>
  <c r="R64" i="13"/>
  <c r="Q64" i="13"/>
  <c r="V63" i="13"/>
  <c r="U63" i="13"/>
  <c r="T63" i="13"/>
  <c r="S63" i="13"/>
  <c r="R63" i="13"/>
  <c r="Q63" i="13"/>
  <c r="V62" i="13"/>
  <c r="U62" i="13"/>
  <c r="T62" i="13"/>
  <c r="S62" i="13"/>
  <c r="R62" i="13"/>
  <c r="Q62" i="13"/>
  <c r="V61" i="13"/>
  <c r="U61" i="13"/>
  <c r="T61" i="13"/>
  <c r="S61" i="13"/>
  <c r="R61" i="13"/>
  <c r="Q61" i="13"/>
  <c r="V60" i="13"/>
  <c r="U60" i="13"/>
  <c r="T60" i="13"/>
  <c r="S60" i="13"/>
  <c r="R60" i="13"/>
  <c r="Q60" i="13"/>
  <c r="V59" i="13"/>
  <c r="U59" i="13"/>
  <c r="T59" i="13"/>
  <c r="S59" i="13"/>
  <c r="Y59" i="13" s="1"/>
  <c r="R59" i="13"/>
  <c r="Q59" i="13"/>
  <c r="V58" i="13"/>
  <c r="U58" i="13"/>
  <c r="T58" i="13"/>
  <c r="S58" i="13"/>
  <c r="R58" i="13"/>
  <c r="Q58" i="13"/>
  <c r="V57" i="13"/>
  <c r="U57" i="13"/>
  <c r="T57" i="13"/>
  <c r="S57" i="13"/>
  <c r="R57" i="13"/>
  <c r="Q57" i="13"/>
  <c r="V56" i="13"/>
  <c r="U56" i="13"/>
  <c r="T56" i="13"/>
  <c r="S56" i="13"/>
  <c r="R56" i="13"/>
  <c r="Q56" i="13"/>
  <c r="V55" i="13"/>
  <c r="U55" i="13"/>
  <c r="T55" i="13"/>
  <c r="S55" i="13"/>
  <c r="R55" i="13"/>
  <c r="Q55" i="13"/>
  <c r="V54" i="13"/>
  <c r="U54" i="13"/>
  <c r="T54" i="13"/>
  <c r="W54" i="13" s="1"/>
  <c r="S54" i="13"/>
  <c r="R54" i="13"/>
  <c r="Q54" i="13"/>
  <c r="V53" i="13"/>
  <c r="U53" i="13"/>
  <c r="T53" i="13"/>
  <c r="S53" i="13"/>
  <c r="R53" i="13"/>
  <c r="Q53" i="13"/>
  <c r="V52" i="13"/>
  <c r="U52" i="13"/>
  <c r="T52" i="13"/>
  <c r="S52" i="13"/>
  <c r="R52" i="13"/>
  <c r="Q52" i="13"/>
  <c r="V51" i="13"/>
  <c r="U51" i="13"/>
  <c r="T51" i="13"/>
  <c r="S51" i="13"/>
  <c r="R51" i="13"/>
  <c r="X51" i="13" s="1"/>
  <c r="Q51" i="13"/>
  <c r="V50" i="13"/>
  <c r="U50" i="13"/>
  <c r="T50" i="13"/>
  <c r="S50" i="13"/>
  <c r="R50" i="13"/>
  <c r="Q50" i="13"/>
  <c r="V49" i="13"/>
  <c r="U49" i="13"/>
  <c r="T49" i="13"/>
  <c r="S49" i="13"/>
  <c r="R49" i="13"/>
  <c r="Q49" i="13"/>
  <c r="V48" i="13"/>
  <c r="U48" i="13"/>
  <c r="T48" i="13"/>
  <c r="S48" i="13"/>
  <c r="R48" i="13"/>
  <c r="Q48" i="13"/>
  <c r="V47" i="13"/>
  <c r="U47" i="13"/>
  <c r="T47" i="13"/>
  <c r="S47" i="13"/>
  <c r="R47" i="13"/>
  <c r="Q47" i="13"/>
  <c r="V46" i="13"/>
  <c r="U46" i="13"/>
  <c r="T46" i="13"/>
  <c r="S46" i="13"/>
  <c r="R46" i="13"/>
  <c r="Q46" i="13"/>
  <c r="V45" i="13"/>
  <c r="U45" i="13"/>
  <c r="T45" i="13"/>
  <c r="S45" i="13"/>
  <c r="R45" i="13"/>
  <c r="Q45" i="13"/>
  <c r="V44" i="13"/>
  <c r="U44" i="13"/>
  <c r="T44" i="13"/>
  <c r="S44" i="13"/>
  <c r="R44" i="13"/>
  <c r="X44" i="13" s="1"/>
  <c r="Q44" i="13"/>
  <c r="V43" i="13"/>
  <c r="U43" i="13"/>
  <c r="T43" i="13"/>
  <c r="S43" i="13"/>
  <c r="R43" i="13"/>
  <c r="X43" i="13" s="1"/>
  <c r="Q43" i="13"/>
  <c r="V42" i="13"/>
  <c r="U42" i="13"/>
  <c r="T42" i="13"/>
  <c r="S42" i="13"/>
  <c r="R42" i="13"/>
  <c r="Q42" i="13"/>
  <c r="V41" i="13"/>
  <c r="U41" i="13"/>
  <c r="T41" i="13"/>
  <c r="S41" i="13"/>
  <c r="R41" i="13"/>
  <c r="Q41" i="13"/>
  <c r="V40" i="13"/>
  <c r="U40" i="13"/>
  <c r="T40" i="13"/>
  <c r="S40" i="13"/>
  <c r="R40" i="13"/>
  <c r="Q40" i="13"/>
  <c r="V39" i="13"/>
  <c r="U39" i="13"/>
  <c r="T39" i="13"/>
  <c r="S39" i="13"/>
  <c r="R39" i="13"/>
  <c r="Q39" i="13"/>
  <c r="V38" i="13"/>
  <c r="U38" i="13"/>
  <c r="T38" i="13"/>
  <c r="W38" i="13" s="1"/>
  <c r="S38" i="13"/>
  <c r="R38" i="13"/>
  <c r="Q38" i="13"/>
  <c r="V37" i="13"/>
  <c r="U37" i="13"/>
  <c r="T37" i="13"/>
  <c r="S37" i="13"/>
  <c r="R37" i="13"/>
  <c r="Q37" i="13"/>
  <c r="V36" i="13"/>
  <c r="U36" i="13"/>
  <c r="T36" i="13"/>
  <c r="S36" i="13"/>
  <c r="R36" i="13"/>
  <c r="Q36" i="13"/>
  <c r="V35" i="13"/>
  <c r="U35" i="13"/>
  <c r="T35" i="13"/>
  <c r="S35" i="13"/>
  <c r="R35" i="13"/>
  <c r="Q35" i="13"/>
  <c r="V34" i="13"/>
  <c r="U34" i="13"/>
  <c r="T34" i="13"/>
  <c r="S34" i="13"/>
  <c r="R34" i="13"/>
  <c r="Q34" i="13"/>
  <c r="V33" i="13"/>
  <c r="U33" i="13"/>
  <c r="T33" i="13"/>
  <c r="S33" i="13"/>
  <c r="R33" i="13"/>
  <c r="Q33" i="13"/>
  <c r="V32" i="13"/>
  <c r="U32" i="13"/>
  <c r="T32" i="13"/>
  <c r="S32" i="13"/>
  <c r="R32" i="13"/>
  <c r="Q32" i="13"/>
  <c r="V31" i="13"/>
  <c r="U31" i="13"/>
  <c r="T31" i="13"/>
  <c r="S31" i="13"/>
  <c r="R31" i="13"/>
  <c r="Q31" i="13"/>
  <c r="V30" i="13"/>
  <c r="U30" i="13"/>
  <c r="T30" i="13"/>
  <c r="S30" i="13"/>
  <c r="R30" i="13"/>
  <c r="Q30" i="13"/>
  <c r="V29" i="13"/>
  <c r="U29" i="13"/>
  <c r="T29" i="13"/>
  <c r="S29" i="13"/>
  <c r="R29" i="13"/>
  <c r="X29" i="13" s="1"/>
  <c r="Q29" i="13"/>
  <c r="V28" i="13"/>
  <c r="U28" i="13"/>
  <c r="T28" i="13"/>
  <c r="S28" i="13"/>
  <c r="R28" i="13"/>
  <c r="X28" i="13" s="1"/>
  <c r="Q28" i="13"/>
  <c r="V27" i="13"/>
  <c r="U27" i="13"/>
  <c r="T27" i="13"/>
  <c r="S27" i="13"/>
  <c r="R27" i="13"/>
  <c r="X27" i="13" s="1"/>
  <c r="Q27" i="13"/>
  <c r="V26" i="13"/>
  <c r="U26" i="13"/>
  <c r="T26" i="13"/>
  <c r="S26" i="13"/>
  <c r="R26" i="13"/>
  <c r="Q26" i="13"/>
  <c r="V25" i="13"/>
  <c r="U25" i="13"/>
  <c r="T25" i="13"/>
  <c r="S25" i="13"/>
  <c r="R25" i="13"/>
  <c r="Q25" i="13"/>
  <c r="V24" i="13"/>
  <c r="U24" i="13"/>
  <c r="T24" i="13"/>
  <c r="S24" i="13"/>
  <c r="R24" i="13"/>
  <c r="Q24" i="13"/>
  <c r="V23" i="13"/>
  <c r="U23" i="13"/>
  <c r="T23" i="13"/>
  <c r="S23" i="13"/>
  <c r="R23" i="13"/>
  <c r="Q23" i="13"/>
  <c r="V22" i="13"/>
  <c r="U22" i="13"/>
  <c r="T22" i="13"/>
  <c r="W22" i="13" s="1"/>
  <c r="S22" i="13"/>
  <c r="R22" i="13"/>
  <c r="Q22" i="13"/>
  <c r="V21" i="13"/>
  <c r="U21" i="13"/>
  <c r="T21" i="13"/>
  <c r="S21" i="13"/>
  <c r="R21" i="13"/>
  <c r="Q21" i="13"/>
  <c r="V20" i="13"/>
  <c r="U20" i="13"/>
  <c r="T20" i="13"/>
  <c r="S20" i="13"/>
  <c r="R20" i="13"/>
  <c r="Q20" i="13"/>
  <c r="V19" i="13"/>
  <c r="U19" i="13"/>
  <c r="T19" i="13"/>
  <c r="S19" i="13"/>
  <c r="R19" i="13"/>
  <c r="Q19" i="13"/>
  <c r="V18" i="13"/>
  <c r="U18" i="13"/>
  <c r="T18" i="13"/>
  <c r="S18" i="13"/>
  <c r="R18" i="13"/>
  <c r="Q18" i="13"/>
  <c r="V17" i="13"/>
  <c r="U17" i="13"/>
  <c r="T17" i="13"/>
  <c r="S17" i="13"/>
  <c r="R17" i="13"/>
  <c r="Q17" i="13"/>
  <c r="V16" i="13"/>
  <c r="U16" i="13"/>
  <c r="T16" i="13"/>
  <c r="S16" i="13"/>
  <c r="R16" i="13"/>
  <c r="Q16" i="13"/>
  <c r="V15" i="13"/>
  <c r="U15" i="13"/>
  <c r="T15" i="13"/>
  <c r="S15" i="13"/>
  <c r="R15" i="13"/>
  <c r="Q15" i="13"/>
  <c r="V14" i="13"/>
  <c r="U14" i="13"/>
  <c r="T14" i="13"/>
  <c r="S14" i="13"/>
  <c r="R14" i="13"/>
  <c r="Q14" i="13"/>
  <c r="V13" i="13"/>
  <c r="U13" i="13"/>
  <c r="T13" i="13"/>
  <c r="S13" i="13"/>
  <c r="R13" i="13"/>
  <c r="Q13" i="13"/>
  <c r="V12" i="13"/>
  <c r="U12" i="13"/>
  <c r="T12" i="13"/>
  <c r="S12" i="13"/>
  <c r="R12" i="13"/>
  <c r="X12" i="13" s="1"/>
  <c r="Q12" i="13"/>
  <c r="V11" i="13"/>
  <c r="U11" i="13"/>
  <c r="T11" i="13"/>
  <c r="S11" i="13"/>
  <c r="R11" i="13"/>
  <c r="X11" i="13" s="1"/>
  <c r="Q11" i="13"/>
  <c r="V10" i="13"/>
  <c r="U10" i="13"/>
  <c r="T10" i="13"/>
  <c r="S10" i="13"/>
  <c r="R10" i="13"/>
  <c r="Q10" i="13"/>
  <c r="V9" i="13"/>
  <c r="U9" i="13"/>
  <c r="T9" i="13"/>
  <c r="S9" i="13"/>
  <c r="R9" i="13"/>
  <c r="Q9" i="13"/>
  <c r="V8" i="13"/>
  <c r="U8" i="13"/>
  <c r="T8" i="13"/>
  <c r="S8" i="13"/>
  <c r="R8" i="13"/>
  <c r="Q8" i="13"/>
  <c r="V48" i="12"/>
  <c r="U48" i="12"/>
  <c r="T48" i="12"/>
  <c r="S48" i="12"/>
  <c r="R48" i="12"/>
  <c r="Q48" i="12"/>
  <c r="V47" i="12"/>
  <c r="U47" i="12"/>
  <c r="T47" i="12"/>
  <c r="S47" i="12"/>
  <c r="R47" i="12"/>
  <c r="Q47" i="12"/>
  <c r="V46" i="12"/>
  <c r="U46" i="12"/>
  <c r="T46" i="12"/>
  <c r="S46" i="12"/>
  <c r="R46" i="12"/>
  <c r="X46" i="12" s="1"/>
  <c r="Q46" i="12"/>
  <c r="V45" i="12"/>
  <c r="U45" i="12"/>
  <c r="T45" i="12"/>
  <c r="W45" i="12" s="1"/>
  <c r="S45" i="12"/>
  <c r="R45" i="12"/>
  <c r="X45" i="12" s="1"/>
  <c r="Q45" i="12"/>
  <c r="V44" i="12"/>
  <c r="U44" i="12"/>
  <c r="T44" i="12"/>
  <c r="S44" i="12"/>
  <c r="R44" i="12"/>
  <c r="Q44" i="12"/>
  <c r="V43" i="12"/>
  <c r="U43" i="12"/>
  <c r="T43" i="12"/>
  <c r="W43" i="12" s="1"/>
  <c r="S43" i="12"/>
  <c r="R43" i="12"/>
  <c r="Q43" i="12"/>
  <c r="V42" i="12"/>
  <c r="U42" i="12"/>
  <c r="T42" i="12"/>
  <c r="S42" i="12"/>
  <c r="R42" i="12"/>
  <c r="Q42" i="12"/>
  <c r="V41" i="12"/>
  <c r="U41" i="12"/>
  <c r="T41" i="12"/>
  <c r="S41" i="12"/>
  <c r="R41" i="12"/>
  <c r="Q41" i="12"/>
  <c r="V40" i="12"/>
  <c r="U40" i="12"/>
  <c r="T40" i="12"/>
  <c r="S40" i="12"/>
  <c r="R40" i="12"/>
  <c r="Q40" i="12"/>
  <c r="V39" i="12"/>
  <c r="U39" i="12"/>
  <c r="T39" i="12"/>
  <c r="S39" i="12"/>
  <c r="R39" i="12"/>
  <c r="Q39" i="12"/>
  <c r="V38" i="12"/>
  <c r="U38" i="12"/>
  <c r="T38" i="12"/>
  <c r="S38" i="12"/>
  <c r="R38" i="12"/>
  <c r="Q38" i="12"/>
  <c r="V37" i="12"/>
  <c r="U37" i="12"/>
  <c r="T37" i="12"/>
  <c r="S37" i="12"/>
  <c r="R37" i="12"/>
  <c r="X37" i="12" s="1"/>
  <c r="Q37" i="12"/>
  <c r="V36" i="12"/>
  <c r="U36" i="12"/>
  <c r="T36" i="12"/>
  <c r="S36" i="12"/>
  <c r="R36" i="12"/>
  <c r="Q36" i="12"/>
  <c r="V35" i="12"/>
  <c r="U35" i="12"/>
  <c r="T35" i="12"/>
  <c r="S35" i="12"/>
  <c r="R35" i="12"/>
  <c r="Q35" i="12"/>
  <c r="V34" i="12"/>
  <c r="U34" i="12"/>
  <c r="T34" i="12"/>
  <c r="S34" i="12"/>
  <c r="R34" i="12"/>
  <c r="Q34" i="12"/>
  <c r="V33" i="12"/>
  <c r="U33" i="12"/>
  <c r="T33" i="12"/>
  <c r="W33" i="12" s="1"/>
  <c r="S33" i="12"/>
  <c r="R33" i="12"/>
  <c r="Q33" i="12"/>
  <c r="V32" i="12"/>
  <c r="U32" i="12"/>
  <c r="T32" i="12"/>
  <c r="S32" i="12"/>
  <c r="R32" i="12"/>
  <c r="X32" i="12" s="1"/>
  <c r="Q32" i="12"/>
  <c r="V31" i="12"/>
  <c r="U31" i="12"/>
  <c r="T31" i="12"/>
  <c r="S31" i="12"/>
  <c r="R31" i="12"/>
  <c r="Q31" i="12"/>
  <c r="V30" i="12"/>
  <c r="U30" i="12"/>
  <c r="T30" i="12"/>
  <c r="S30" i="12"/>
  <c r="R30" i="12"/>
  <c r="X30" i="12" s="1"/>
  <c r="Q30" i="12"/>
  <c r="V29" i="12"/>
  <c r="U29" i="12"/>
  <c r="T29" i="12"/>
  <c r="W29" i="12" s="1"/>
  <c r="S29" i="12"/>
  <c r="R29" i="12"/>
  <c r="Q29" i="12"/>
  <c r="V28" i="12"/>
  <c r="U28" i="12"/>
  <c r="T28" i="12"/>
  <c r="S28" i="12"/>
  <c r="R28" i="12"/>
  <c r="Q28" i="12"/>
  <c r="V27" i="12"/>
  <c r="U27" i="12"/>
  <c r="T27" i="12"/>
  <c r="W27" i="12" s="1"/>
  <c r="S27" i="12"/>
  <c r="R27" i="12"/>
  <c r="Q27" i="12"/>
  <c r="V26" i="12"/>
  <c r="U26" i="12"/>
  <c r="T26" i="12"/>
  <c r="S26" i="12"/>
  <c r="R26" i="12"/>
  <c r="Q26" i="12"/>
  <c r="V25" i="12"/>
  <c r="U25" i="12"/>
  <c r="T25" i="12"/>
  <c r="W25" i="12" s="1"/>
  <c r="S25" i="12"/>
  <c r="R25" i="12"/>
  <c r="Q25" i="12"/>
  <c r="V24" i="12"/>
  <c r="U24" i="12"/>
  <c r="T24" i="12"/>
  <c r="S24" i="12"/>
  <c r="R24" i="12"/>
  <c r="Q24" i="12"/>
  <c r="V23" i="12"/>
  <c r="U23" i="12"/>
  <c r="T23" i="12"/>
  <c r="S23" i="12"/>
  <c r="R23" i="12"/>
  <c r="Q23" i="12"/>
  <c r="V22" i="12"/>
  <c r="U22" i="12"/>
  <c r="T22" i="12"/>
  <c r="S22" i="12"/>
  <c r="R22" i="12"/>
  <c r="Q22" i="12"/>
  <c r="V21" i="12"/>
  <c r="U21" i="12"/>
  <c r="T21" i="12"/>
  <c r="S21" i="12"/>
  <c r="R21" i="12"/>
  <c r="Q21" i="12"/>
  <c r="V20" i="12"/>
  <c r="U20" i="12"/>
  <c r="T20" i="12"/>
  <c r="S20" i="12"/>
  <c r="R20" i="12"/>
  <c r="Q20" i="12"/>
  <c r="V19" i="12"/>
  <c r="U19" i="12"/>
  <c r="T19" i="12"/>
  <c r="S19" i="12"/>
  <c r="R19" i="12"/>
  <c r="Q19" i="12"/>
  <c r="V18" i="12"/>
  <c r="U18" i="12"/>
  <c r="T18" i="12"/>
  <c r="S18" i="12"/>
  <c r="R18" i="12"/>
  <c r="Q18" i="12"/>
  <c r="V17" i="12"/>
  <c r="U17" i="12"/>
  <c r="T17" i="12"/>
  <c r="W17" i="12" s="1"/>
  <c r="S17" i="12"/>
  <c r="R17" i="12"/>
  <c r="Q17" i="12"/>
  <c r="V16" i="12"/>
  <c r="U16" i="12"/>
  <c r="T16" i="12"/>
  <c r="S16" i="12"/>
  <c r="R16" i="12"/>
  <c r="X16" i="12" s="1"/>
  <c r="Q16" i="12"/>
  <c r="V15" i="12"/>
  <c r="U15" i="12"/>
  <c r="T15" i="12"/>
  <c r="W15" i="12" s="1"/>
  <c r="S15" i="12"/>
  <c r="R15" i="12"/>
  <c r="Q15" i="12"/>
  <c r="V14" i="12"/>
  <c r="U14" i="12"/>
  <c r="T14" i="12"/>
  <c r="S14" i="12"/>
  <c r="R14" i="12"/>
  <c r="Q14" i="12"/>
  <c r="V13" i="12"/>
  <c r="U13" i="12"/>
  <c r="T13" i="12"/>
  <c r="W13" i="12" s="1"/>
  <c r="S13" i="12"/>
  <c r="R13" i="12"/>
  <c r="Q13" i="12"/>
  <c r="V12" i="12"/>
  <c r="U12" i="12"/>
  <c r="T12" i="12"/>
  <c r="S12" i="12"/>
  <c r="R12" i="12"/>
  <c r="Q12" i="12"/>
  <c r="V11" i="12"/>
  <c r="U11" i="12"/>
  <c r="T11" i="12"/>
  <c r="W11" i="12" s="1"/>
  <c r="S11" i="12"/>
  <c r="R11" i="12"/>
  <c r="Q11" i="12"/>
  <c r="V10" i="12"/>
  <c r="U10" i="12"/>
  <c r="T10" i="12"/>
  <c r="S10" i="12"/>
  <c r="R10" i="12"/>
  <c r="Q10" i="12"/>
  <c r="V9" i="12"/>
  <c r="U9" i="12"/>
  <c r="T9" i="12"/>
  <c r="S9" i="12"/>
  <c r="R9" i="12"/>
  <c r="Q9" i="12"/>
  <c r="V8" i="12"/>
  <c r="U8" i="12"/>
  <c r="T8" i="12"/>
  <c r="S8" i="12"/>
  <c r="R8" i="12"/>
  <c r="Q8" i="12"/>
  <c r="V52" i="11"/>
  <c r="U52" i="11"/>
  <c r="T52" i="11"/>
  <c r="S52" i="11"/>
  <c r="R52" i="11"/>
  <c r="Q52" i="11"/>
  <c r="V51" i="11"/>
  <c r="U51" i="11"/>
  <c r="T51" i="11"/>
  <c r="S51" i="11"/>
  <c r="R51" i="11"/>
  <c r="Q51" i="11"/>
  <c r="V50" i="11"/>
  <c r="U50" i="11"/>
  <c r="T50" i="11"/>
  <c r="S50" i="11"/>
  <c r="R50" i="11"/>
  <c r="Q50" i="11"/>
  <c r="V49" i="11"/>
  <c r="U49" i="11"/>
  <c r="T49" i="11"/>
  <c r="S49" i="11"/>
  <c r="R49" i="11"/>
  <c r="Q49" i="11"/>
  <c r="V48" i="11"/>
  <c r="U48" i="11"/>
  <c r="T48" i="11"/>
  <c r="S48" i="11"/>
  <c r="R48" i="11"/>
  <c r="Q48" i="11"/>
  <c r="V47" i="11"/>
  <c r="U47" i="11"/>
  <c r="T47" i="11"/>
  <c r="S47" i="11"/>
  <c r="R47" i="11"/>
  <c r="Q47" i="11"/>
  <c r="V46" i="11"/>
  <c r="U46" i="11"/>
  <c r="T46" i="11"/>
  <c r="W46" i="11" s="1"/>
  <c r="S46" i="11"/>
  <c r="R46" i="11"/>
  <c r="Q46" i="11"/>
  <c r="V45" i="11"/>
  <c r="U45" i="11"/>
  <c r="T45" i="11"/>
  <c r="S45" i="11"/>
  <c r="R45" i="11"/>
  <c r="Q45" i="11"/>
  <c r="V44" i="11"/>
  <c r="U44" i="11"/>
  <c r="T44" i="11"/>
  <c r="S44" i="11"/>
  <c r="R44" i="11"/>
  <c r="Q44" i="11"/>
  <c r="V43" i="11"/>
  <c r="U43" i="11"/>
  <c r="T43" i="11"/>
  <c r="S43" i="11"/>
  <c r="R43" i="11"/>
  <c r="Q43" i="11"/>
  <c r="V42" i="11"/>
  <c r="U42" i="11"/>
  <c r="T42" i="11"/>
  <c r="S42" i="11"/>
  <c r="R42" i="11"/>
  <c r="Q42" i="11"/>
  <c r="V41" i="11"/>
  <c r="U41" i="11"/>
  <c r="T41" i="11"/>
  <c r="S41" i="11"/>
  <c r="Y41" i="11" s="1"/>
  <c r="R41" i="11"/>
  <c r="Q41" i="11"/>
  <c r="V40" i="11"/>
  <c r="U40" i="11"/>
  <c r="T40" i="11"/>
  <c r="S40" i="11"/>
  <c r="R40" i="11"/>
  <c r="Q40" i="11"/>
  <c r="V39" i="11"/>
  <c r="U39" i="11"/>
  <c r="T39" i="11"/>
  <c r="S39" i="11"/>
  <c r="R39" i="11"/>
  <c r="Q39" i="11"/>
  <c r="V38" i="11"/>
  <c r="U38" i="11"/>
  <c r="T38" i="11"/>
  <c r="S38" i="11"/>
  <c r="R38" i="11"/>
  <c r="Q38" i="11"/>
  <c r="V37" i="11"/>
  <c r="U37" i="11"/>
  <c r="T37" i="11"/>
  <c r="S37" i="11"/>
  <c r="R37" i="11"/>
  <c r="Q37" i="11"/>
  <c r="V36" i="11"/>
  <c r="U36" i="11"/>
  <c r="T36" i="11"/>
  <c r="S36" i="11"/>
  <c r="R36" i="11"/>
  <c r="Q36" i="11"/>
  <c r="V35" i="11"/>
  <c r="U35" i="11"/>
  <c r="T35" i="11"/>
  <c r="S35" i="11"/>
  <c r="Y35" i="11" s="1"/>
  <c r="R35" i="11"/>
  <c r="Q35" i="11"/>
  <c r="V34" i="11"/>
  <c r="U34" i="11"/>
  <c r="T34" i="11"/>
  <c r="S34" i="11"/>
  <c r="R34" i="11"/>
  <c r="Q34" i="11"/>
  <c r="V33" i="11"/>
  <c r="U33" i="11"/>
  <c r="T33" i="11"/>
  <c r="S33" i="11"/>
  <c r="R33" i="11"/>
  <c r="Q33" i="11"/>
  <c r="V32" i="11"/>
  <c r="U32" i="11"/>
  <c r="T32" i="11"/>
  <c r="S32" i="11"/>
  <c r="R32" i="11"/>
  <c r="Q32" i="11"/>
  <c r="V31" i="11"/>
  <c r="U31" i="11"/>
  <c r="T31" i="11"/>
  <c r="S31" i="11"/>
  <c r="R31" i="11"/>
  <c r="Q31" i="11"/>
  <c r="V30" i="11"/>
  <c r="U30" i="11"/>
  <c r="T30" i="11"/>
  <c r="S30" i="11"/>
  <c r="R30" i="11"/>
  <c r="Q30" i="11"/>
  <c r="V29" i="11"/>
  <c r="U29" i="11"/>
  <c r="T29" i="11"/>
  <c r="S29" i="11"/>
  <c r="R29" i="11"/>
  <c r="Q29" i="11"/>
  <c r="V28" i="11"/>
  <c r="U28" i="11"/>
  <c r="T28" i="11"/>
  <c r="S28" i="11"/>
  <c r="R28" i="11"/>
  <c r="Q28" i="11"/>
  <c r="V27" i="11"/>
  <c r="U27" i="11"/>
  <c r="T27" i="11"/>
  <c r="S27" i="11"/>
  <c r="R27" i="11"/>
  <c r="Q27" i="11"/>
  <c r="V26" i="11"/>
  <c r="U26" i="11"/>
  <c r="T26" i="11"/>
  <c r="S26" i="11"/>
  <c r="R26" i="11"/>
  <c r="Q26" i="11"/>
  <c r="V25" i="11"/>
  <c r="U25" i="11"/>
  <c r="T25" i="11"/>
  <c r="S25" i="11"/>
  <c r="R25" i="11"/>
  <c r="Q25" i="11"/>
  <c r="V24" i="11"/>
  <c r="U24" i="11"/>
  <c r="T24" i="11"/>
  <c r="W24" i="11" s="1"/>
  <c r="S24" i="11"/>
  <c r="R24" i="11"/>
  <c r="Q24" i="11"/>
  <c r="V23" i="11"/>
  <c r="U23" i="11"/>
  <c r="T23" i="11"/>
  <c r="S23" i="11"/>
  <c r="R23" i="11"/>
  <c r="Q23" i="11"/>
  <c r="V22" i="11"/>
  <c r="U22" i="11"/>
  <c r="T22" i="11"/>
  <c r="W22" i="11" s="1"/>
  <c r="S22" i="11"/>
  <c r="R22" i="11"/>
  <c r="Q22" i="11"/>
  <c r="V21" i="11"/>
  <c r="U21" i="11"/>
  <c r="T21" i="11"/>
  <c r="S21" i="11"/>
  <c r="R21" i="11"/>
  <c r="Q21" i="11"/>
  <c r="V20" i="11"/>
  <c r="U20" i="11"/>
  <c r="T20" i="11"/>
  <c r="S20" i="11"/>
  <c r="R20" i="11"/>
  <c r="Q20" i="11"/>
  <c r="V19" i="11"/>
  <c r="U19" i="11"/>
  <c r="T19" i="11"/>
  <c r="S19" i="11"/>
  <c r="R19" i="11"/>
  <c r="Q19" i="11"/>
  <c r="V18" i="11"/>
  <c r="U18" i="11"/>
  <c r="T18" i="11"/>
  <c r="S18" i="11"/>
  <c r="R18" i="11"/>
  <c r="Q18" i="11"/>
  <c r="V17" i="11"/>
  <c r="U17" i="11"/>
  <c r="T17" i="11"/>
  <c r="S17" i="11"/>
  <c r="R17" i="11"/>
  <c r="Q17" i="11"/>
  <c r="V16" i="11"/>
  <c r="U16" i="11"/>
  <c r="T16" i="11"/>
  <c r="S16" i="11"/>
  <c r="R16" i="11"/>
  <c r="Q16" i="11"/>
  <c r="V15" i="11"/>
  <c r="U15" i="11"/>
  <c r="T15" i="11"/>
  <c r="S15" i="11"/>
  <c r="R15" i="11"/>
  <c r="Q15" i="11"/>
  <c r="V14" i="11"/>
  <c r="U14" i="11"/>
  <c r="T14" i="11"/>
  <c r="W14" i="11" s="1"/>
  <c r="S14" i="11"/>
  <c r="R14" i="11"/>
  <c r="Q14" i="11"/>
  <c r="V13" i="11"/>
  <c r="U13" i="11"/>
  <c r="T13" i="11"/>
  <c r="S13" i="11"/>
  <c r="R13" i="11"/>
  <c r="X13" i="11" s="1"/>
  <c r="Q13" i="11"/>
  <c r="V12" i="11"/>
  <c r="Y12" i="11" s="1"/>
  <c r="U12" i="11"/>
  <c r="T12" i="11"/>
  <c r="W12" i="11" s="1"/>
  <c r="S12" i="11"/>
  <c r="R12" i="11"/>
  <c r="Q12" i="11"/>
  <c r="V11" i="11"/>
  <c r="U11" i="11"/>
  <c r="T11" i="11"/>
  <c r="S11" i="11"/>
  <c r="R11" i="11"/>
  <c r="Q11" i="11"/>
  <c r="V10" i="11"/>
  <c r="Y10" i="11" s="1"/>
  <c r="U10" i="11"/>
  <c r="T10" i="11"/>
  <c r="S10" i="11"/>
  <c r="R10" i="11"/>
  <c r="Q10" i="11"/>
  <c r="V9" i="11"/>
  <c r="U9" i="11"/>
  <c r="T9" i="11"/>
  <c r="S9" i="11"/>
  <c r="R9" i="11"/>
  <c r="Q9" i="11"/>
  <c r="V8" i="11"/>
  <c r="Y8" i="11" s="1"/>
  <c r="U8" i="11"/>
  <c r="T8" i="11"/>
  <c r="W8" i="11" s="1"/>
  <c r="S8" i="11"/>
  <c r="R8" i="11"/>
  <c r="Q8" i="11"/>
  <c r="AF54" i="1"/>
  <c r="AF53" i="1"/>
  <c r="AF52" i="1"/>
  <c r="AE50" i="1"/>
  <c r="AF50" i="1"/>
  <c r="AF48" i="1"/>
  <c r="AF47" i="1"/>
  <c r="AF46" i="1"/>
  <c r="AE44" i="1"/>
  <c r="AF44" i="1"/>
  <c r="AF42" i="1"/>
  <c r="AF41" i="1"/>
  <c r="AF40" i="1"/>
  <c r="AF39" i="1"/>
  <c r="AE38" i="1"/>
  <c r="AF38" i="1"/>
  <c r="AF37" i="1"/>
  <c r="AF36" i="1"/>
  <c r="AD29" i="1"/>
  <c r="AF29" i="1"/>
  <c r="AF28" i="1"/>
  <c r="AF27" i="1"/>
  <c r="AF26" i="1"/>
  <c r="AF25" i="1"/>
  <c r="AF22" i="1"/>
  <c r="AC20" i="1"/>
  <c r="AE20" i="1"/>
  <c r="AF20" i="1"/>
  <c r="AC19" i="1"/>
  <c r="AF19" i="1"/>
  <c r="AD19" i="1"/>
  <c r="AF17" i="1"/>
  <c r="AF16" i="1"/>
  <c r="AF14" i="1"/>
  <c r="AF13" i="1"/>
  <c r="AF12" i="1"/>
  <c r="AF11" i="1"/>
  <c r="AF10" i="1"/>
  <c r="AF9" i="1"/>
  <c r="AF8" i="1"/>
  <c r="AA7" i="1"/>
  <c r="Y7" i="1"/>
  <c r="W7" i="1"/>
  <c r="V7" i="1"/>
  <c r="U7" i="1"/>
  <c r="X55" i="1" s="1"/>
  <c r="AF55" i="1" s="1"/>
  <c r="W43" i="11" l="1"/>
  <c r="W45" i="11"/>
  <c r="Y52" i="11"/>
  <c r="Y23" i="12"/>
  <c r="Y39" i="12"/>
  <c r="Y18" i="13"/>
  <c r="Y20" i="13"/>
  <c r="Y34" i="13"/>
  <c r="Y36" i="13"/>
  <c r="Y58" i="13"/>
  <c r="W61" i="13"/>
  <c r="W26" i="11"/>
  <c r="W28" i="11"/>
  <c r="W38" i="11"/>
  <c r="W62" i="13"/>
  <c r="X20" i="11"/>
  <c r="X22" i="11"/>
  <c r="X40" i="11"/>
  <c r="X44" i="11"/>
  <c r="X52" i="11"/>
  <c r="X9" i="12"/>
  <c r="X23" i="12"/>
  <c r="X25" i="12"/>
  <c r="Y19" i="13"/>
  <c r="Y35" i="13"/>
  <c r="Y11" i="12"/>
  <c r="Y13" i="12"/>
  <c r="Y15" i="12"/>
  <c r="X39" i="12"/>
  <c r="X41" i="12"/>
  <c r="X14" i="13"/>
  <c r="X30" i="13"/>
  <c r="X46" i="13"/>
  <c r="X62" i="13"/>
  <c r="X70" i="13"/>
  <c r="Y38" i="11"/>
  <c r="Y27" i="12"/>
  <c r="Y29" i="12"/>
  <c r="Y31" i="12"/>
  <c r="Y43" i="12"/>
  <c r="Y47" i="12"/>
  <c r="Y22" i="13"/>
  <c r="Y38" i="13"/>
  <c r="Y52" i="13"/>
  <c r="Y54" i="13"/>
  <c r="Y68" i="13"/>
  <c r="Y70" i="13"/>
  <c r="Y26" i="11"/>
  <c r="W17" i="11"/>
  <c r="S49" i="12"/>
  <c r="W15" i="11"/>
  <c r="X21" i="11"/>
  <c r="W37" i="11"/>
  <c r="W47" i="11"/>
  <c r="W49" i="11"/>
  <c r="W18" i="12"/>
  <c r="W20" i="12"/>
  <c r="Y24" i="11"/>
  <c r="Y11" i="11"/>
  <c r="Y15" i="11"/>
  <c r="Y19" i="11"/>
  <c r="X29" i="11"/>
  <c r="X31" i="11"/>
  <c r="X33" i="11"/>
  <c r="X35" i="11"/>
  <c r="X45" i="11"/>
  <c r="X24" i="12"/>
  <c r="W34" i="12"/>
  <c r="W36" i="12"/>
  <c r="W48" i="12"/>
  <c r="W23" i="13"/>
  <c r="W39" i="13"/>
  <c r="W55" i="13"/>
  <c r="W63" i="13"/>
  <c r="Y28" i="11"/>
  <c r="Y27" i="11"/>
  <c r="Y47" i="11"/>
  <c r="Y51" i="11"/>
  <c r="Y14" i="12"/>
  <c r="Y18" i="12"/>
  <c r="Y22" i="12"/>
  <c r="X40" i="12"/>
  <c r="X13" i="13"/>
  <c r="X45" i="13"/>
  <c r="X47" i="13"/>
  <c r="X61" i="13"/>
  <c r="X63" i="13"/>
  <c r="X71" i="13"/>
  <c r="X18" i="11"/>
  <c r="W9" i="12"/>
  <c r="W23" i="12"/>
  <c r="Y30" i="12"/>
  <c r="Y34" i="12"/>
  <c r="Y38" i="12"/>
  <c r="Y46" i="12"/>
  <c r="Y9" i="13"/>
  <c r="Y13" i="13"/>
  <c r="Y21" i="13"/>
  <c r="Y29" i="13"/>
  <c r="Y37" i="13"/>
  <c r="Y45" i="13"/>
  <c r="Y53" i="13"/>
  <c r="Y55" i="13"/>
  <c r="X50" i="11"/>
  <c r="X21" i="12"/>
  <c r="W39" i="12"/>
  <c r="W41" i="12"/>
  <c r="W20" i="13"/>
  <c r="W36" i="13"/>
  <c r="W48" i="13"/>
  <c r="W60" i="13"/>
  <c r="W68" i="13"/>
  <c r="X8" i="11"/>
  <c r="Y9" i="11"/>
  <c r="X12" i="11"/>
  <c r="W27" i="11"/>
  <c r="W29" i="11"/>
  <c r="W31" i="11"/>
  <c r="W33" i="11"/>
  <c r="X34" i="11"/>
  <c r="X36" i="11"/>
  <c r="X38" i="11"/>
  <c r="W40" i="11"/>
  <c r="W42" i="11"/>
  <c r="Y43" i="11"/>
  <c r="W44" i="11"/>
  <c r="X47" i="11"/>
  <c r="X49" i="11"/>
  <c r="X51" i="11"/>
  <c r="W8" i="12"/>
  <c r="Y9" i="12"/>
  <c r="X11" i="12"/>
  <c r="Y12" i="12"/>
  <c r="X15" i="12"/>
  <c r="W30" i="12"/>
  <c r="W32" i="12"/>
  <c r="X34" i="12"/>
  <c r="X36" i="12"/>
  <c r="Y37" i="12"/>
  <c r="W40" i="12"/>
  <c r="Y44" i="12"/>
  <c r="W47" i="12"/>
  <c r="X47" i="12"/>
  <c r="W12" i="13"/>
  <c r="W14" i="13"/>
  <c r="X19" i="13"/>
  <c r="W21" i="13"/>
  <c r="X21" i="13"/>
  <c r="Y26" i="13"/>
  <c r="Y28" i="13"/>
  <c r="W29" i="13"/>
  <c r="W31" i="13"/>
  <c r="X36" i="13"/>
  <c r="X38" i="13"/>
  <c r="Y43" i="13"/>
  <c r="W44" i="13"/>
  <c r="W46" i="13"/>
  <c r="W53" i="13"/>
  <c r="X53" i="13"/>
  <c r="X55" i="13"/>
  <c r="W57" i="13"/>
  <c r="W59" i="13"/>
  <c r="X60" i="13"/>
  <c r="Y60" i="13"/>
  <c r="Y62" i="13"/>
  <c r="W64" i="13"/>
  <c r="Y65" i="13"/>
  <c r="Y69" i="13"/>
  <c r="W70" i="13"/>
  <c r="W71" i="13"/>
  <c r="U49" i="12"/>
  <c r="W11" i="11"/>
  <c r="W13" i="11"/>
  <c r="X15" i="11"/>
  <c r="X17" i="11"/>
  <c r="X19" i="11"/>
  <c r="Y20" i="11"/>
  <c r="W21" i="11"/>
  <c r="Y22" i="11"/>
  <c r="X24" i="11"/>
  <c r="Y25" i="11"/>
  <c r="X28" i="11"/>
  <c r="W30" i="11"/>
  <c r="Y31" i="11"/>
  <c r="Y36" i="11"/>
  <c r="X37" i="11"/>
  <c r="Y40" i="11"/>
  <c r="Y42" i="11"/>
  <c r="Y44" i="11"/>
  <c r="W14" i="12"/>
  <c r="W16" i="12"/>
  <c r="X18" i="12"/>
  <c r="X20" i="12"/>
  <c r="W24" i="12"/>
  <c r="Y25" i="12"/>
  <c r="X27" i="12"/>
  <c r="Y28" i="12"/>
  <c r="X31" i="12"/>
  <c r="W46" i="12"/>
  <c r="X48" i="12"/>
  <c r="Y10" i="13"/>
  <c r="Y12" i="13"/>
  <c r="W13" i="13"/>
  <c r="W15" i="13"/>
  <c r="Y16" i="13"/>
  <c r="X20" i="13"/>
  <c r="X22" i="13"/>
  <c r="Y27" i="13"/>
  <c r="W28" i="13"/>
  <c r="W30" i="13"/>
  <c r="X35" i="13"/>
  <c r="W37" i="13"/>
  <c r="X37" i="13"/>
  <c r="Y42" i="13"/>
  <c r="Y44" i="13"/>
  <c r="W45" i="13"/>
  <c r="W47" i="13"/>
  <c r="Y48" i="13"/>
  <c r="X50" i="13"/>
  <c r="Y51" i="13"/>
  <c r="W52" i="13"/>
  <c r="X54" i="13"/>
  <c r="W56" i="13"/>
  <c r="X59" i="13"/>
  <c r="Y61" i="13"/>
  <c r="X68" i="13"/>
  <c r="W72" i="13"/>
  <c r="X65" i="13"/>
  <c r="Y66" i="13"/>
  <c r="X69" i="13"/>
  <c r="X72" i="13"/>
  <c r="Q74" i="13"/>
  <c r="S74" i="13"/>
  <c r="Y21" i="11"/>
  <c r="Y37" i="11"/>
  <c r="V49" i="12"/>
  <c r="Y49" i="12" s="1"/>
  <c r="Y24" i="12"/>
  <c r="Y40" i="12"/>
  <c r="W8" i="13"/>
  <c r="W10" i="13"/>
  <c r="X15" i="13"/>
  <c r="W17" i="13"/>
  <c r="W19" i="13"/>
  <c r="W24" i="13"/>
  <c r="W26" i="13"/>
  <c r="X31" i="13"/>
  <c r="W33" i="13"/>
  <c r="W35" i="13"/>
  <c r="W40" i="13"/>
  <c r="W42" i="13"/>
  <c r="X57" i="13"/>
  <c r="Y72" i="13"/>
  <c r="X14" i="11"/>
  <c r="W16" i="11"/>
  <c r="W18" i="11"/>
  <c r="W23" i="11"/>
  <c r="W25" i="11"/>
  <c r="X30" i="11"/>
  <c r="W32" i="11"/>
  <c r="W34" i="11"/>
  <c r="W39" i="11"/>
  <c r="W41" i="11"/>
  <c r="X46" i="11"/>
  <c r="W48" i="11"/>
  <c r="W50" i="11"/>
  <c r="W10" i="12"/>
  <c r="W12" i="12"/>
  <c r="X17" i="12"/>
  <c r="W19" i="12"/>
  <c r="W21" i="12"/>
  <c r="W26" i="12"/>
  <c r="W28" i="12"/>
  <c r="X33" i="12"/>
  <c r="W35" i="12"/>
  <c r="W37" i="12"/>
  <c r="W42" i="12"/>
  <c r="W44" i="12"/>
  <c r="X8" i="13"/>
  <c r="X10" i="13"/>
  <c r="Y15" i="13"/>
  <c r="X17" i="13"/>
  <c r="X24" i="13"/>
  <c r="X26" i="13"/>
  <c r="Y31" i="13"/>
  <c r="X33" i="13"/>
  <c r="X40" i="13"/>
  <c r="X42" i="13"/>
  <c r="Y47" i="13"/>
  <c r="Y57" i="13"/>
  <c r="Y14" i="11"/>
  <c r="X16" i="11"/>
  <c r="W20" i="11"/>
  <c r="X23" i="11"/>
  <c r="X25" i="11"/>
  <c r="X27" i="11"/>
  <c r="Y30" i="11"/>
  <c r="X32" i="11"/>
  <c r="W36" i="11"/>
  <c r="X39" i="11"/>
  <c r="X41" i="11"/>
  <c r="X43" i="11"/>
  <c r="Y46" i="11"/>
  <c r="X48" i="11"/>
  <c r="W52" i="11"/>
  <c r="X8" i="12"/>
  <c r="X10" i="12"/>
  <c r="X12" i="12"/>
  <c r="X14" i="12"/>
  <c r="Y17" i="12"/>
  <c r="X19" i="12"/>
  <c r="X26" i="12"/>
  <c r="X28" i="12"/>
  <c r="Y33" i="12"/>
  <c r="X35" i="12"/>
  <c r="X42" i="12"/>
  <c r="X44" i="12"/>
  <c r="Y8" i="13"/>
  <c r="Y17" i="13"/>
  <c r="Y24" i="13"/>
  <c r="Y33" i="13"/>
  <c r="Y40" i="13"/>
  <c r="W49" i="13"/>
  <c r="W51" i="13"/>
  <c r="X64" i="13"/>
  <c r="W66" i="13"/>
  <c r="W9" i="11"/>
  <c r="Y16" i="11"/>
  <c r="Y18" i="11"/>
  <c r="Y23" i="11"/>
  <c r="Y32" i="11"/>
  <c r="Y34" i="11"/>
  <c r="Y39" i="11"/>
  <c r="Y48" i="11"/>
  <c r="Y50" i="11"/>
  <c r="Y10" i="12"/>
  <c r="Y19" i="12"/>
  <c r="Y21" i="12"/>
  <c r="Y26" i="12"/>
  <c r="Y35" i="12"/>
  <c r="Y42" i="12"/>
  <c r="X49" i="13"/>
  <c r="Y64" i="13"/>
  <c r="X66" i="13"/>
  <c r="R74" i="13"/>
  <c r="X9" i="11"/>
  <c r="W10" i="11"/>
  <c r="W19" i="11"/>
  <c r="W35" i="11"/>
  <c r="W51" i="11"/>
  <c r="W22" i="12"/>
  <c r="W38" i="12"/>
  <c r="Y49" i="13"/>
  <c r="Y71" i="13"/>
  <c r="X10" i="11"/>
  <c r="X26" i="11"/>
  <c r="X42" i="11"/>
  <c r="X13" i="12"/>
  <c r="X22" i="12"/>
  <c r="X29" i="12"/>
  <c r="W31" i="12"/>
  <c r="X38" i="12"/>
  <c r="Y11" i="13"/>
  <c r="Y14" i="13"/>
  <c r="Y30" i="13"/>
  <c r="Y46" i="13"/>
  <c r="X56" i="13"/>
  <c r="W58" i="13"/>
  <c r="W73" i="13"/>
  <c r="X11" i="11"/>
  <c r="Y13" i="11"/>
  <c r="Y17" i="11"/>
  <c r="Y29" i="11"/>
  <c r="Y33" i="11"/>
  <c r="Y45" i="11"/>
  <c r="Y49" i="11"/>
  <c r="T49" i="12"/>
  <c r="W49" i="12" s="1"/>
  <c r="Y16" i="12"/>
  <c r="Y20" i="12"/>
  <c r="Y32" i="12"/>
  <c r="Y36" i="12"/>
  <c r="Y45" i="12"/>
  <c r="Y48" i="12"/>
  <c r="W9" i="13"/>
  <c r="W11" i="13"/>
  <c r="W16" i="13"/>
  <c r="W18" i="13"/>
  <c r="X23" i="13"/>
  <c r="W25" i="13"/>
  <c r="W27" i="13"/>
  <c r="W32" i="13"/>
  <c r="W34" i="13"/>
  <c r="X39" i="13"/>
  <c r="W41" i="13"/>
  <c r="W43" i="13"/>
  <c r="X52" i="13"/>
  <c r="Y56" i="13"/>
  <c r="X58" i="13"/>
  <c r="X67" i="13"/>
  <c r="W69" i="13"/>
  <c r="X73" i="13"/>
  <c r="Q49" i="12"/>
  <c r="X9" i="13"/>
  <c r="X16" i="13"/>
  <c r="X18" i="13"/>
  <c r="Y23" i="13"/>
  <c r="X25" i="13"/>
  <c r="X32" i="13"/>
  <c r="X34" i="13"/>
  <c r="Y39" i="13"/>
  <c r="X41" i="13"/>
  <c r="Y50" i="13"/>
  <c r="Y63" i="13"/>
  <c r="Y67" i="13"/>
  <c r="Y73" i="13"/>
  <c r="R49" i="12"/>
  <c r="X49" i="12" s="1"/>
  <c r="Y41" i="12"/>
  <c r="X43" i="12"/>
  <c r="Y25" i="13"/>
  <c r="Y32" i="13"/>
  <c r="Y41" i="13"/>
  <c r="X48" i="13"/>
  <c r="W50" i="13"/>
  <c r="W65" i="13"/>
  <c r="W67" i="13"/>
  <c r="T74" i="13"/>
  <c r="Y8" i="12"/>
  <c r="U74" i="13"/>
  <c r="X74" i="13" s="1"/>
  <c r="V74" i="13"/>
  <c r="Y74" i="13" s="1"/>
  <c r="AD21" i="1"/>
  <c r="AD9" i="1"/>
  <c r="AC45" i="1"/>
  <c r="AE11" i="1"/>
  <c r="AC50" i="1"/>
  <c r="AD52" i="1"/>
  <c r="AD50" i="1"/>
  <c r="AD39" i="1"/>
  <c r="AD54" i="1"/>
  <c r="AE45" i="1"/>
  <c r="AD37" i="1"/>
  <c r="AE12" i="1"/>
  <c r="AC36" i="1"/>
  <c r="AE37" i="1"/>
  <c r="AC48" i="1"/>
  <c r="AE53" i="1"/>
  <c r="AC21" i="1"/>
  <c r="AD36" i="1"/>
  <c r="AE41" i="1"/>
  <c r="AF45" i="1"/>
  <c r="AE52" i="1"/>
  <c r="AC9" i="1"/>
  <c r="AD13" i="1"/>
  <c r="AE7" i="1"/>
  <c r="AE9" i="1"/>
  <c r="AC12" i="1"/>
  <c r="AE13" i="1"/>
  <c r="AD16" i="1"/>
  <c r="AE36" i="1"/>
  <c r="AD40" i="1"/>
  <c r="AD42" i="1"/>
  <c r="AC44" i="1"/>
  <c r="AC46" i="1"/>
  <c r="AD47" i="1"/>
  <c r="AE10" i="1"/>
  <c r="AC29" i="1"/>
  <c r="AE40" i="1"/>
  <c r="AD41" i="1"/>
  <c r="AD44" i="1"/>
  <c r="AD45" i="1"/>
  <c r="AD53" i="1"/>
  <c r="AE17" i="1"/>
  <c r="AD17" i="1"/>
  <c r="AD20" i="1"/>
  <c r="AF21" i="1"/>
  <c r="AE19" i="1"/>
  <c r="AD12" i="1"/>
  <c r="AE16" i="1"/>
  <c r="AE28" i="1"/>
  <c r="AE39" i="1"/>
  <c r="AC41" i="1"/>
  <c r="AC42" i="1"/>
  <c r="AC47" i="1"/>
  <c r="AD48" i="1"/>
  <c r="AD46" i="1"/>
  <c r="AC7" i="1"/>
  <c r="AE14" i="1"/>
  <c r="AA55" i="1"/>
  <c r="H5" i="7" s="1"/>
  <c r="H12" i="7" s="1"/>
  <c r="AC22" i="1"/>
  <c r="AC38" i="1"/>
  <c r="AC39" i="1"/>
  <c r="AC52" i="1"/>
  <c r="AC53" i="1"/>
  <c r="V55" i="1"/>
  <c r="AE8" i="1"/>
  <c r="AD11" i="1"/>
  <c r="AD22" i="1"/>
  <c r="AC37" i="1"/>
  <c r="AD38" i="1"/>
  <c r="AC54" i="1"/>
  <c r="AD10" i="1"/>
  <c r="AD14" i="1"/>
  <c r="Z55" i="1"/>
  <c r="G5" i="7" s="1"/>
  <c r="G12" i="7" s="1"/>
  <c r="Y55" i="1"/>
  <c r="F5" i="7" s="1"/>
  <c r="AC11" i="1"/>
  <c r="AC14" i="1"/>
  <c r="AC10" i="1"/>
  <c r="AC16" i="1"/>
  <c r="AF7" i="1"/>
  <c r="AC8" i="1"/>
  <c r="AE22" i="1"/>
  <c r="AE25" i="1"/>
  <c r="AE47" i="1"/>
  <c r="AD8" i="1"/>
  <c r="AE48" i="1"/>
  <c r="AE21" i="1"/>
  <c r="AE27" i="1"/>
  <c r="AE42" i="1"/>
  <c r="AE54" i="1"/>
  <c r="U55" i="1"/>
  <c r="AD7" i="1"/>
  <c r="AE26" i="1"/>
  <c r="AE29" i="1"/>
  <c r="AE46" i="1"/>
  <c r="AC17" i="1"/>
  <c r="AC13" i="1"/>
  <c r="AC40" i="1"/>
  <c r="W55" i="1"/>
  <c r="W74" i="13" l="1"/>
  <c r="AE55" i="1"/>
  <c r="AD55" i="1"/>
  <c r="AC55" i="1"/>
  <c r="F6" i="7" l="1"/>
  <c r="F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7" authorId="0" shapeId="0" xr:uid="{6A743371-A4C3-4337-86FA-11DA70E9263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" authorId="0" shapeId="0" xr:uid="{58CBD9D3-4C91-4FF1-BC11-004E60540F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" authorId="0" shapeId="0" xr:uid="{1E0CA582-A4DA-43A6-A44A-C94AEB465C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" authorId="0" shapeId="0" xr:uid="{2AE1E34D-3DDA-4218-853A-8528E93295E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" authorId="0" shapeId="0" xr:uid="{C1F6FF9B-9B2A-4C24-BE4E-82B8290CE6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" authorId="0" shapeId="0" xr:uid="{D59F587E-5484-4064-A182-159430A21A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" authorId="0" shapeId="0" xr:uid="{3552B20F-734D-430B-8E08-C3F631ECDD4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4" authorId="0" shapeId="0" xr:uid="{C51490ED-CA3E-418C-97C7-80664CA87E7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" authorId="0" shapeId="0" xr:uid="{46AD9403-ACBA-47DF-86DA-EEB380CAC9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6" authorId="0" shapeId="0" xr:uid="{8899669E-30F6-4E02-819E-47FADFE945D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7" authorId="0" shapeId="0" xr:uid="{CFC10CB1-3B69-4370-AE5A-3BAA1DBB06F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8" authorId="0" shapeId="0" xr:uid="{6E5C8BBA-8EFF-49DA-85E1-0EFC97A0A92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9" authorId="0" shapeId="0" xr:uid="{E4623A9E-B7EB-46AB-9536-84A1CF4B87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0" authorId="0" shapeId="0" xr:uid="{3716722E-D84A-4AE7-B5D1-EE1E9C5DA3C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1" authorId="0" shapeId="0" xr:uid="{BCDCD9B2-F59A-402B-828F-CE02628B027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2" authorId="0" shapeId="0" xr:uid="{28703A89-C18D-4066-A8CE-D7F10669D99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3" authorId="0" shapeId="0" xr:uid="{571B25EE-5E91-4FDA-BE32-7D5CA3BA0C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4" authorId="0" shapeId="0" xr:uid="{3DA78582-D657-4A7F-9B2D-72F1290BDB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5" authorId="0" shapeId="0" xr:uid="{B007FF42-68E0-4B4D-99ED-823FDBED966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6" authorId="0" shapeId="0" xr:uid="{A0525C46-9330-4AF2-A612-4CFCC90B92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7" authorId="0" shapeId="0" xr:uid="{26DAD62E-767B-4652-8523-720529592F5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8" authorId="0" shapeId="0" xr:uid="{DF75221A-C408-4456-85EA-5A2E21A577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29" authorId="0" shapeId="0" xr:uid="{B56D693F-E25B-41AF-B78E-81A7A2E5E12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0" authorId="0" shapeId="0" xr:uid="{BB9413EB-C054-49A4-BD9A-671EEB5374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1" authorId="0" shapeId="0" xr:uid="{9D3DCBC9-9F90-4244-B772-E0F4CA346DF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2" authorId="0" shapeId="0" xr:uid="{48D86D1B-2B6D-4491-8F6C-B328AD10BD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3" authorId="0" shapeId="0" xr:uid="{765F6AA7-B5D0-47E1-B7D1-6B50B9D8D6A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4" authorId="0" shapeId="0" xr:uid="{415AA930-5476-41AF-8C0E-7705674FB6F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5" authorId="0" shapeId="0" xr:uid="{5100EE11-1C53-4550-AE88-8BDDCC109AF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6" authorId="0" shapeId="0" xr:uid="{3DD055FE-8779-4CB0-8AC7-9375ECEE58F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7" authorId="0" shapeId="0" xr:uid="{67096B92-4FF1-4DC6-B5FD-4B3CA6907DC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8" authorId="0" shapeId="0" xr:uid="{BB19461B-5BBA-4CB1-8287-1D1847DEB6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39" authorId="0" shapeId="0" xr:uid="{36905DF1-080D-4514-AD3C-91D8A3C249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0" authorId="0" shapeId="0" xr:uid="{554F6418-2FAC-477D-8200-0EA63FCECB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1" authorId="0" shapeId="0" xr:uid="{935DEDDC-1FA4-4179-9C2C-E179E58149C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2" authorId="0" shapeId="0" xr:uid="{7CAE1EFF-EBAF-447D-9EC2-F9D7F42930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3" authorId="0" shapeId="0" xr:uid="{1C95A3B8-CD67-477D-8833-0FBC979B009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4" authorId="0" shapeId="0" xr:uid="{23F66044-5633-4899-84EF-ED5BE6B276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5" authorId="0" shapeId="0" xr:uid="{2996352B-BD1F-4703-B130-9D14CCA2B62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6" authorId="0" shapeId="0" xr:uid="{397B1D36-FAB3-4864-B7B0-2218002E50B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7" authorId="0" shapeId="0" xr:uid="{EA6E98F3-D2EF-49CF-ADE4-2335A6442CE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8" authorId="0" shapeId="0" xr:uid="{28CF9D79-6160-45DC-8F5E-3314261E4D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49" authorId="0" shapeId="0" xr:uid="{05FC65DD-B8A9-4E24-B6D4-753C578D1C1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0" authorId="0" shapeId="0" xr:uid="{64A10908-1C65-4F8C-A6DD-3240709030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1" authorId="0" shapeId="0" xr:uid="{018B9D93-AA1A-4C90-A52A-8C20CB7E3F4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2" authorId="0" shapeId="0" xr:uid="{C8119B4E-1DC9-4DD1-9183-256EB3D88C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3" authorId="0" shapeId="0" xr:uid="{457D3B5E-D89B-46A7-B950-6E1EB34FCAB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4" authorId="0" shapeId="0" xr:uid="{5E3C3CA4-D6CE-4844-AA3B-B8DABAFDF4C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5" authorId="0" shapeId="0" xr:uid="{F434DF06-1647-4D4B-A471-D57A759ED7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6" authorId="0" shapeId="0" xr:uid="{D05E4EF7-7720-4C90-A33C-805472D7A1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7" authorId="0" shapeId="0" xr:uid="{EA77FFEC-56D4-4351-BC97-CB31C39121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8" authorId="0" shapeId="0" xr:uid="{68F8AE29-CEB3-4207-9ABF-5A457B10B55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59" authorId="0" shapeId="0" xr:uid="{9B84A524-904D-4CA2-A2BA-E314FBCFA76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0" authorId="0" shapeId="0" xr:uid="{7DDFE3DD-9F74-461B-85DA-205F3FFE3B9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1" authorId="0" shapeId="0" xr:uid="{589A8F70-398E-4737-921A-F7A8A2DD17D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2" authorId="0" shapeId="0" xr:uid="{CC7DB8FE-8744-4E35-BC0A-034F1B9FA2A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3" authorId="0" shapeId="0" xr:uid="{61ECD833-7176-43CD-AF36-BFA8313E8B4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4" authorId="0" shapeId="0" xr:uid="{59646F5A-5AD3-4935-8703-11682C11F2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5" authorId="0" shapeId="0" xr:uid="{DF08CEFB-F5DF-4421-8B1C-FADF740ACB7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6" authorId="0" shapeId="0" xr:uid="{EA0901A8-8268-4F3A-87C6-721122A7DAB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7" authorId="0" shapeId="0" xr:uid="{A470A40D-FD8D-4F72-AF4C-5DD1D7534A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8" authorId="0" shapeId="0" xr:uid="{6714601D-EE47-4AA1-AA39-86F7584FE46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69" authorId="0" shapeId="0" xr:uid="{E1646AE5-7DF1-450E-BDAD-DB38A031C3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0" authorId="0" shapeId="0" xr:uid="{086C4BF6-EA85-474E-B3EC-8E996F84F74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1" authorId="0" shapeId="0" xr:uid="{E56F5A56-A334-4195-B086-B674405BF4E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2" authorId="0" shapeId="0" xr:uid="{D9DFDC50-23D0-4A76-AFA6-542B5FED682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3" authorId="0" shapeId="0" xr:uid="{EAC09B98-992D-4D17-9B25-3AE590AE54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4" authorId="0" shapeId="0" xr:uid="{158C26E0-2EC8-41EF-8269-66075936A48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5" authorId="0" shapeId="0" xr:uid="{038E8681-A465-429A-B8BE-1525C8D12BF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6" authorId="0" shapeId="0" xr:uid="{A2A9082B-87FF-44C4-B009-F8305AF0F9C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7" authorId="0" shapeId="0" xr:uid="{F4E23849-62B8-47F5-B8FD-68A2C75EA5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8" authorId="0" shapeId="0" xr:uid="{817A4BB7-D8B4-4413-A2B2-B32904A457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79" authorId="0" shapeId="0" xr:uid="{4FF29D41-367B-4D80-ADD0-885743EB21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0" authorId="0" shapeId="0" xr:uid="{8487118C-2A32-4E91-A8E0-8CEF114B4FE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1" authorId="0" shapeId="0" xr:uid="{7D40D6FE-CB72-4194-9156-D1B49177AFB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2" authorId="0" shapeId="0" xr:uid="{0567A81E-821E-4340-95E2-DD228E3556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3" authorId="0" shapeId="0" xr:uid="{7207F5CC-2642-4DF3-A85B-B575454F80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4" authorId="0" shapeId="0" xr:uid="{A16B8AF0-C099-4F58-8D0E-5C9333F7DDD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5" authorId="0" shapeId="0" xr:uid="{3D958C86-3FB9-411C-9085-A76CB43B0D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6" authorId="0" shapeId="0" xr:uid="{BD25A55B-9026-4D44-96F8-17380C313FD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7" authorId="0" shapeId="0" xr:uid="{9EDC735A-729C-4969-9D51-FD6A313126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8" authorId="0" shapeId="0" xr:uid="{B36AD8E3-FC66-4D80-AEBB-8B18B9FFE82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89" authorId="0" shapeId="0" xr:uid="{F72C28CC-FEDD-46CE-BF3E-45896324060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0" authorId="0" shapeId="0" xr:uid="{A2BFAB06-F2F6-40B3-9A7F-D5FD92C889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1" authorId="0" shapeId="0" xr:uid="{29A64791-7338-4A2B-B5E9-D1DCC8DB23B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2" authorId="0" shapeId="0" xr:uid="{5144985C-F6B8-4765-B56E-30C298D3DD5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3" authorId="0" shapeId="0" xr:uid="{F143E0DB-198D-43F5-B2CD-B820C9078C6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4" authorId="0" shapeId="0" xr:uid="{C7572966-9992-4151-A30F-E74D07CFF72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5" authorId="0" shapeId="0" xr:uid="{D7C5ABE6-13CC-4A09-AF54-0056A13EF67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6" authorId="0" shapeId="0" xr:uid="{6058DF8F-8366-4489-8A40-5381E0DF071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7" authorId="0" shapeId="0" xr:uid="{C24F535D-4DF7-4D09-80A1-B518884E9B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8" authorId="0" shapeId="0" xr:uid="{0044E8E4-460A-4059-BCA1-5838DDD0A4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99" authorId="0" shapeId="0" xr:uid="{4A1FF438-50A8-416D-9B10-EC8F4936B05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0" authorId="0" shapeId="0" xr:uid="{1A33F567-F63E-4CDA-84FC-0F9B629B9FE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1" authorId="0" shapeId="0" xr:uid="{C3AA00AA-399C-4DC1-AA1A-5B20B5CE9F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2" authorId="0" shapeId="0" xr:uid="{109A4C9C-E01D-4D48-BEE2-23EFBC86BB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3" authorId="0" shapeId="0" xr:uid="{68047D6C-4E4D-44D7-B392-A0D71EA34F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4" authorId="0" shapeId="0" xr:uid="{8C70F52B-FFDC-4007-A427-34157A815A3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5" authorId="0" shapeId="0" xr:uid="{3298AF89-61B2-4AF5-BB80-4397FE76CE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6" authorId="0" shapeId="0" xr:uid="{E4ACBA04-F43A-4EDB-A16E-407E1DA3D2C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7" authorId="0" shapeId="0" xr:uid="{437D2E9F-9844-40B2-8E2D-AD4719FD2F6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8" authorId="0" shapeId="0" xr:uid="{43447D31-40D7-4B8D-A6E1-75F3ACDED22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09" authorId="0" shapeId="0" xr:uid="{CFC220CC-80A3-4462-9D18-6E61DCCE71A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0" authorId="0" shapeId="0" xr:uid="{0A1FBA92-D24C-471D-B372-1AD1E419D11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1" authorId="0" shapeId="0" xr:uid="{0778134D-DC23-4C47-AA9D-3B2D0863F25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2" authorId="0" shapeId="0" xr:uid="{91F500BE-9C3C-45B2-9A57-D84E8CEF872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3" authorId="0" shapeId="0" xr:uid="{8EE48849-C869-44C1-BEAF-E76AEF6A2A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4" authorId="0" shapeId="0" xr:uid="{25685CED-1978-4FEE-94E9-8D82985BF96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5" authorId="0" shapeId="0" xr:uid="{D5EFEB7C-F835-4AAC-B0BF-C461C7BC79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6" authorId="0" shapeId="0" xr:uid="{59B87EA3-43EB-47D4-B358-715F35469F8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7" authorId="0" shapeId="0" xr:uid="{3B99804D-C282-4698-97AE-041BEDF39F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8" authorId="0" shapeId="0" xr:uid="{366D20C9-0877-4599-9014-B4659DC236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19" authorId="0" shapeId="0" xr:uid="{ABE45754-5680-40C1-AF86-D15B00DB44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0" authorId="0" shapeId="0" xr:uid="{F919303A-6832-4125-89F4-1F5C787083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1" authorId="0" shapeId="0" xr:uid="{086F7435-D0C3-4633-ABB5-50E1C2D3AB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2" authorId="0" shapeId="0" xr:uid="{3BA75C29-9181-4B1B-B6EA-C8B0AC4E8D3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3" authorId="0" shapeId="0" xr:uid="{4F87AC47-1668-4E78-BA78-8E059357FF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4" authorId="0" shapeId="0" xr:uid="{47D248F6-4B67-4E67-A0FB-42C464EE8FA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5" authorId="0" shapeId="0" xr:uid="{B625E1B8-71AB-4392-A855-3278246EF87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6" authorId="0" shapeId="0" xr:uid="{BF87F659-B652-43A8-95F9-78168D1DF61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7" authorId="0" shapeId="0" xr:uid="{D21E78DA-302E-4433-8E6B-664000037A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8" authorId="0" shapeId="0" xr:uid="{E87B278D-1024-429C-BC1E-2CE76828CD1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29" authorId="0" shapeId="0" xr:uid="{D97AF62B-5F76-45CC-A967-9A07E1FF631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0" authorId="0" shapeId="0" xr:uid="{1C7B60D6-C5E8-4DF4-9626-A6890FFDC60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1" authorId="0" shapeId="0" xr:uid="{8377F5ED-8A02-4881-9891-0027C6304CD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2" authorId="0" shapeId="0" xr:uid="{D7196E42-D6D2-4EE6-A349-13083A48EFE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3" authorId="0" shapeId="0" xr:uid="{E0FE40A1-BBB4-46BE-BD30-2580F3CDC4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4" authorId="0" shapeId="0" xr:uid="{90BA6AB9-12C1-4760-A2E4-23E8C8B49A4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5" authorId="0" shapeId="0" xr:uid="{90FB685E-A563-453E-8A2F-5CB4A7B1F2A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6" authorId="0" shapeId="0" xr:uid="{ED1614E3-96A0-4656-909D-09EFADF1C1A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7" authorId="0" shapeId="0" xr:uid="{5C030DFE-3554-4DF9-9F04-1F12841930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38" authorId="0" shapeId="0" xr:uid="{704448FD-2876-4814-91B6-79341B8F1D0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40" authorId="0" shapeId="0" xr:uid="{EB85B946-DABB-4DBF-A169-202B59A318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49" authorId="0" shapeId="0" xr:uid="{C6E78609-3108-42A8-A412-2F20E920180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0" authorId="0" shapeId="0" xr:uid="{9678479C-4B65-447E-9A85-05CC6F7954C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3" authorId="0" shapeId="0" xr:uid="{2E6F4D79-B362-457D-A31A-C9863E7E9E1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4" authorId="0" shapeId="0" xr:uid="{985680F7-DA38-49AA-A1BB-EF61E07831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5" authorId="0" shapeId="0" xr:uid="{65D3E116-ADDA-40EF-9C68-ACE1F6A7525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6" authorId="0" shapeId="0" xr:uid="{E1EACCEA-A961-43E3-9215-F18A679BA91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7" authorId="0" shapeId="0" xr:uid="{AA0037A4-A321-4835-832C-0A6EA4F8995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8" authorId="0" shapeId="0" xr:uid="{EC518A51-F4E1-4395-8012-E20EAFE124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59" authorId="0" shapeId="0" xr:uid="{E84131D1-48A8-4FD8-A699-C966D27764B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60" authorId="0" shapeId="0" xr:uid="{66C05CAB-D764-4362-A806-591EA151DB5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  <comment ref="C161" authorId="0" shapeId="0" xr:uid="{522CD49A-F78D-4F87-AA00-7F7639F7D5D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KIỂM TRA LẠI SỐ LƯỢNG THIẾT BỊ, CÔNG SUẤT SỬ DỤNG THỰC TẾ?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xem lại
</t>
        </r>
      </text>
    </comment>
  </commentList>
</comments>
</file>

<file path=xl/sharedStrings.xml><?xml version="1.0" encoding="utf-8"?>
<sst xmlns="http://schemas.openxmlformats.org/spreadsheetml/2006/main" count="18015" uniqueCount="1915">
  <si>
    <t>BẢNG KÊ CÔNG SUẤT CÁC THIẾT BỊ SỬ DỤNG ĐIỆN - BÀ NÀ</t>
  </si>
  <si>
    <t>TT</t>
  </si>
  <si>
    <t>Tên thiết bị dùng điện</t>
  </si>
  <si>
    <t>Số lượng 
(cái)</t>
  </si>
  <si>
    <t>Thời gian sử dụng (giờ / ngày) (h)</t>
  </si>
  <si>
    <t>Số ngày sử dụng/ tháng (ngày)</t>
  </si>
  <si>
    <t>I</t>
  </si>
  <si>
    <t>Tổng cộng</t>
  </si>
  <si>
    <t>Công suất định mức thiết bị (kW)</t>
  </si>
  <si>
    <t>Trạm xử lý nước cấp Miếu Bà</t>
  </si>
  <si>
    <t>Bơm nước  ( Miếu Bà lên Gia Long )</t>
  </si>
  <si>
    <t>Bơm nước sinh hoạt ( Bơm lọc 7.5 kW)</t>
  </si>
  <si>
    <t>Bơm nước sinh hoạt ( Bơm lọc 5.5 kW)</t>
  </si>
  <si>
    <t>Bơm nước sinh hoạt ( bơm lên đỉnh 18.5 kW)</t>
  </si>
  <si>
    <t>Bơm nước sinh hoạt ( bơm sang Ga10 11 kW)</t>
  </si>
  <si>
    <t>Bơm nước sinh hoạt ( bơm xuống Trạm Trộn 1.5 kW)</t>
  </si>
  <si>
    <t>Máy sấy 4.5 kW</t>
  </si>
  <si>
    <t xml:space="preserve">Bơm định lượng + khuấy + hóa chất </t>
  </si>
  <si>
    <t>II</t>
  </si>
  <si>
    <t>Trạm xử lý nước cấp Gia Long</t>
  </si>
  <si>
    <t>Bơm nước  ( Bơm đập )</t>
  </si>
  <si>
    <t>Bơm nước ( Trung gian đập )</t>
  </si>
  <si>
    <t>Bơm nước sinh hoạt ( Bơm lọc )</t>
  </si>
  <si>
    <t>Bơm nước sinh hoạt ( bơm 37kw ) Chạy biến tần</t>
  </si>
  <si>
    <t>III</t>
  </si>
  <si>
    <t>Bơm Đập Mới</t>
  </si>
  <si>
    <t>Bơm Trung Gian 1 Đập Mới</t>
  </si>
  <si>
    <t>Bơm Trung Gian 2 Đập Mới</t>
  </si>
  <si>
    <t>Bơm Trung Gian 3 Đập Mới</t>
  </si>
  <si>
    <t>Bơm Đập Vọng Nguyệt</t>
  </si>
  <si>
    <t>IV</t>
  </si>
  <si>
    <t>Hệ thống xử lý nước thải 600m3 Hoàng Lan và các trạm bơm trung gian</t>
  </si>
  <si>
    <t>Trạm bơm nước thải Ga3 xuống hệ 600m3</t>
  </si>
  <si>
    <t>Trạm bơm nước thải Hoàng Lan 1 xuống hệ 600m3</t>
  </si>
  <si>
    <t>Trạm bơm nước thải Hoàng Lan 2 xuống hệ 600m3</t>
  </si>
  <si>
    <t>Máy thổi khí hệ 600m3</t>
  </si>
  <si>
    <t>Bơm lọc hệ 600m3</t>
  </si>
  <si>
    <t>Bơm điều hòa hệ 600m3</t>
  </si>
  <si>
    <t>Bơm bùn hệ 600m3</t>
  </si>
  <si>
    <t>V</t>
  </si>
  <si>
    <t xml:space="preserve">Bơm điều hòa </t>
  </si>
  <si>
    <t xml:space="preserve">Bơm bùn </t>
  </si>
  <si>
    <t>Bơm lọc</t>
  </si>
  <si>
    <t>Bơm nước thải</t>
  </si>
  <si>
    <t>VI</t>
  </si>
  <si>
    <t>Hệ thống xử lý nước thải 250m3 nhà điều hành cũ</t>
  </si>
  <si>
    <t xml:space="preserve">Máy thổi khí </t>
  </si>
  <si>
    <t>VII</t>
  </si>
  <si>
    <t>Hệ thống xử lý nước thải 250m3 Sunhome</t>
  </si>
  <si>
    <t>VIII</t>
  </si>
  <si>
    <t>Trạm xử lý nước cấp Ga 5 khu vực chân núi</t>
  </si>
  <si>
    <t>Bơm nước từ bể ga5 lên bể chứa 500m3</t>
  </si>
  <si>
    <t>Máng trượt 01</t>
  </si>
  <si>
    <t>Máng trượt 02</t>
  </si>
  <si>
    <t>Phi Công Skiver</t>
  </si>
  <si>
    <t>Đường đua lửa </t>
  </si>
  <si>
    <t xml:space="preserve">Cối xay gió </t>
  </si>
  <si>
    <t>Rạp phim 4D</t>
  </si>
  <si>
    <t>Rạp phim 5D</t>
  </si>
  <si>
    <t>Rạp phim 3D 360</t>
  </si>
  <si>
    <t>Thám hiểm lòng đất</t>
  </si>
  <si>
    <t>Tháp rơi tự do</t>
  </si>
  <si>
    <t>After burner</t>
  </si>
  <si>
    <t>Battle Gear 3 Twin No.1</t>
  </si>
  <si>
    <t>Battle Gear 3 Twin No.2</t>
  </si>
  <si>
    <t xml:space="preserve">Daytona USA 2 Twin </t>
  </si>
  <si>
    <t xml:space="preserve">Ferrari F355 1 DX </t>
  </si>
  <si>
    <t>Hummer DX đỏ</t>
  </si>
  <si>
    <t>Let's go Jungle B1</t>
  </si>
  <si>
    <t>Monster Eye</t>
  </si>
  <si>
    <t>Need for speed</t>
  </si>
  <si>
    <t xml:space="preserve">Out Run 2 SSP </t>
  </si>
  <si>
    <t>Overtake DX</t>
  </si>
  <si>
    <t>Race On SD-Twin</t>
  </si>
  <si>
    <t>Star War Battle Pod</t>
  </si>
  <si>
    <t>Storm racer G</t>
  </si>
  <si>
    <t>Storm Rider</t>
  </si>
  <si>
    <t>Thrill Drive 3 Twin</t>
  </si>
  <si>
    <t>Transformer</t>
  </si>
  <si>
    <t>Walking dead</t>
  </si>
  <si>
    <t>Buzzy Bee</t>
  </si>
  <si>
    <t>Capriccio Cyclone</t>
  </si>
  <si>
    <t>Capriccio Lift</t>
  </si>
  <si>
    <t>Chicken Farm</t>
  </si>
  <si>
    <t>Classic Wagon</t>
  </si>
  <si>
    <t>Cowboy Up</t>
  </si>
  <si>
    <t>Crazzy Clownz</t>
  </si>
  <si>
    <t>Cubix Up</t>
  </si>
  <si>
    <t>Cyclone Racing</t>
  </si>
  <si>
    <t>Drum Party</t>
  </si>
  <si>
    <t>F1 KR</t>
  </si>
  <si>
    <t>Feeding Frenzy IV</t>
  </si>
  <si>
    <t>Fish Catcher</t>
  </si>
  <si>
    <t>Fisher Man</t>
  </si>
  <si>
    <t>Fishing Fun</t>
  </si>
  <si>
    <t>Flying Fun</t>
  </si>
  <si>
    <t>Frog N Ball</t>
  </si>
  <si>
    <t>Froggie Pickin</t>
  </si>
  <si>
    <t>Ghost Bowling</t>
  </si>
  <si>
    <t>Go Go Bicycle</t>
  </si>
  <si>
    <t>Jungle Mix</t>
  </si>
  <si>
    <t>Key Master</t>
  </si>
  <si>
    <t>Kid Car</t>
  </si>
  <si>
    <t>Kid Copter</t>
  </si>
  <si>
    <t>Kid Cruiser</t>
  </si>
  <si>
    <t>Kid Rider</t>
  </si>
  <si>
    <t>Kid Loco</t>
  </si>
  <si>
    <t>Kid Truck</t>
  </si>
  <si>
    <t>Kiddie Sub</t>
  </si>
  <si>
    <t>Lay an Egg</t>
  </si>
  <si>
    <t>Little Speedy</t>
  </si>
  <si>
    <t>Magic Bowling</t>
  </si>
  <si>
    <t xml:space="preserve">Magic Dome </t>
  </si>
  <si>
    <t>Magnet Catcher</t>
  </si>
  <si>
    <t>Mini Hoop</t>
  </si>
  <si>
    <t>Snap It</t>
  </si>
  <si>
    <t>Ocean Panic</t>
  </si>
  <si>
    <t>Pirate Fall</t>
  </si>
  <si>
    <t>Poros Catcher Twin</t>
  </si>
  <si>
    <t>Rainy Days</t>
  </si>
  <si>
    <t>Round Carnival</t>
  </si>
  <si>
    <t>Rush Time</t>
  </si>
  <si>
    <t>School Kids</t>
  </si>
  <si>
    <t>Shining Crane</t>
  </si>
  <si>
    <t>Simson Soccer</t>
  </si>
  <si>
    <t>Space Hockey - large</t>
  </si>
  <si>
    <t>Space Hockey - small</t>
  </si>
  <si>
    <t>Spider Stompin</t>
  </si>
  <si>
    <t>Sport run 1.5 DX</t>
  </si>
  <si>
    <t xml:space="preserve">Sweet Land 4 </t>
  </si>
  <si>
    <t>Sweet Land 4 Bright Ver. (Pink / Blue)</t>
  </si>
  <si>
    <t>Taito Crane</t>
  </si>
  <si>
    <t>Time 2 Win</t>
  </si>
  <si>
    <t>Toy Soldier</t>
  </si>
  <si>
    <t>UFO Bowling</t>
  </si>
  <si>
    <t>UFO Catcher 7</t>
  </si>
  <si>
    <t>UFO Catcher 7 Max Edition</t>
  </si>
  <si>
    <t>UFO Catcher 800</t>
  </si>
  <si>
    <t>UFO Colon</t>
  </si>
  <si>
    <t>UFO Japan</t>
  </si>
  <si>
    <t>Water Blast</t>
  </si>
  <si>
    <t>Willie Wheels</t>
  </si>
  <si>
    <t>Wipe wipe Clipper</t>
  </si>
  <si>
    <t>62" MOTO GP TWIN DX B1</t>
  </si>
  <si>
    <t>Aliens B3</t>
  </si>
  <si>
    <t>Balloon Games B3</t>
  </si>
  <si>
    <t>Beat Saber</t>
  </si>
  <si>
    <t>Break Out</t>
  </si>
  <si>
    <t>Cobra The Acrade</t>
  </si>
  <si>
    <t>Danz Base</t>
  </si>
  <si>
    <t>Dead Storm Pirates</t>
  </si>
  <si>
    <t>Đua ngựa</t>
  </si>
  <si>
    <t>Final Furlong 2 Twin</t>
  </si>
  <si>
    <t>Frog Around</t>
  </si>
  <si>
    <t>G'Spirit Tenis</t>
  </si>
  <si>
    <t>Ghost Town</t>
  </si>
  <si>
    <t>ManX TT SuperBike</t>
  </si>
  <si>
    <t>Overtake VR</t>
  </si>
  <si>
    <t>Pacman B3</t>
  </si>
  <si>
    <t>Pop`n Music 16</t>
  </si>
  <si>
    <t>Shooting Hoop No.1</t>
  </si>
  <si>
    <t>Silent Hill the Arcade</t>
  </si>
  <si>
    <t>Smash Fun</t>
  </si>
  <si>
    <t>Speed of light</t>
  </si>
  <si>
    <t>Storm racer</t>
  </si>
  <si>
    <t>Subway Surfers</t>
  </si>
  <si>
    <t>Super Hot Sking DX</t>
  </si>
  <si>
    <t>Super Street Fighter</t>
  </si>
  <si>
    <t>Tank Adventure II</t>
  </si>
  <si>
    <t>Temple Run</t>
  </si>
  <si>
    <t>Time Crisis 3 SD-Twin</t>
  </si>
  <si>
    <t>World Kicks SD</t>
  </si>
  <si>
    <t>Aliens Extermination</t>
  </si>
  <si>
    <t xml:space="preserve">Balloon Games </t>
  </si>
  <si>
    <t>Kid Train</t>
  </si>
  <si>
    <t>The lost world</t>
  </si>
  <si>
    <t xml:space="preserve">Nhà điều hành </t>
  </si>
  <si>
    <t xml:space="preserve">Điều hòa trung tâm </t>
  </si>
  <si>
    <t xml:space="preserve">Chiếu  sáng nhà điều hành </t>
  </si>
  <si>
    <t xml:space="preserve">Bơm nước thải nhà điều hành </t>
  </si>
  <si>
    <t xml:space="preserve">Bơm nước cấp nhà điều hành </t>
  </si>
  <si>
    <t xml:space="preserve">Sân bóng </t>
  </si>
  <si>
    <t xml:space="preserve">Chiếu sáng </t>
  </si>
  <si>
    <t>Điều Hòa 2 mảnh</t>
  </si>
  <si>
    <t>Quạt đảo trần</t>
  </si>
  <si>
    <t>Bình Nóng lạnh</t>
  </si>
  <si>
    <t>Tivi SHARP 32 in</t>
  </si>
  <si>
    <t>Máy Giặt</t>
  </si>
  <si>
    <t xml:space="preserve">Máy sấy CANDY </t>
  </si>
  <si>
    <t>Điều hòa cây</t>
  </si>
  <si>
    <t>Máy bơm  nước</t>
  </si>
  <si>
    <t>Bơm  bù áp</t>
  </si>
  <si>
    <t>Tủ đông đá</t>
  </si>
  <si>
    <t>Máy lọc nước</t>
  </si>
  <si>
    <t>Thang máy</t>
  </si>
  <si>
    <t>Bóng đèn tuýp 1.2m</t>
  </si>
  <si>
    <t>Bóng đèn tuýp 0.6m</t>
  </si>
  <si>
    <t>Bóng đèn âm trần</t>
  </si>
  <si>
    <t>Bóng đèn tròn Rạng đông</t>
  </si>
  <si>
    <t xml:space="preserve">Bóng đèn cao áp </t>
  </si>
  <si>
    <t>Hồ Cá  Koi</t>
  </si>
  <si>
    <t>Bơm  nước 2.2kw</t>
  </si>
  <si>
    <t>Bơm  nước 3kw</t>
  </si>
  <si>
    <t>Bơm  nước 1.1kw</t>
  </si>
  <si>
    <t xml:space="preserve">Bơm  nước  30kw </t>
  </si>
  <si>
    <t>Bơm  nước 5.5kw</t>
  </si>
  <si>
    <t xml:space="preserve">FEC 2 - TAIGA </t>
  </si>
  <si>
    <t>MÁY LẠNH VRV TRANE</t>
  </si>
  <si>
    <t>ON</t>
  </si>
  <si>
    <t xml:space="preserve">DÀN LẠNH - FCU </t>
  </si>
  <si>
    <t>OFF</t>
  </si>
  <si>
    <t>LA LAVANDER - B12</t>
  </si>
  <si>
    <t>CHILLER</t>
  </si>
  <si>
    <t>Hỏng</t>
  </si>
  <si>
    <t>BEER PLAZA</t>
  </si>
  <si>
    <t>MÁY LẠNH VRV MISUBISHI</t>
  </si>
  <si>
    <t>LOUVER</t>
  </si>
  <si>
    <t>MÁY LẠNH VRV DAIKIN</t>
  </si>
  <si>
    <t>ARAPANG</t>
  </si>
  <si>
    <t>ĐIỀU HÒA ĐỨNG</t>
  </si>
  <si>
    <t>ĐIỀU HÒA TREO TƯỜNG</t>
  </si>
  <si>
    <t>BEER MỞ RỘNG</t>
  </si>
  <si>
    <t>FEC 2 - TAIGA</t>
  </si>
  <si>
    <t>KHO XÚC XÍCH</t>
  </si>
  <si>
    <t>Máy hút ẩm HD 150</t>
  </si>
  <si>
    <t>Máy hút ẩm HD 192</t>
  </si>
  <si>
    <t xml:space="preserve">MORIN </t>
  </si>
  <si>
    <t>CLUB</t>
  </si>
  <si>
    <t>COOFFE LA PATRIN</t>
  </si>
  <si>
    <t>BACHUS B10</t>
  </si>
  <si>
    <t>Kho mát Hải Sản</t>
  </si>
  <si>
    <t>Kho đông Hải Sản</t>
  </si>
  <si>
    <t>Kho mát thịt</t>
  </si>
  <si>
    <t>Kho đông thịt</t>
  </si>
  <si>
    <t xml:space="preserve">Kho mát Gia Cầm </t>
  </si>
  <si>
    <t>Kho đông Gia Cầm</t>
  </si>
  <si>
    <t>Kho mát rau TSC</t>
  </si>
  <si>
    <t>Kho mát Gia Cầm TSC</t>
  </si>
  <si>
    <t>Kho đông Gia Cầm TSC</t>
  </si>
  <si>
    <t>Kho mát thịt trước SC</t>
  </si>
  <si>
    <t>Kho Đông thịt trước SC</t>
  </si>
  <si>
    <t>Kho mát Hải Sản TSC</t>
  </si>
  <si>
    <t>Kho đông Hải Sản TSC</t>
  </si>
  <si>
    <t>Kho mát rau Sau SC</t>
  </si>
  <si>
    <t>Kho mát Gia Cầm sau SC</t>
  </si>
  <si>
    <t>Kho mát thịt sau SC</t>
  </si>
  <si>
    <t>Kho mát Hải Sản sau SC</t>
  </si>
  <si>
    <t>Kho mát trữ Bơ - Sữa</t>
  </si>
  <si>
    <t>Kho mát trữ Rác ướt</t>
  </si>
  <si>
    <t>Kho mát Thành phẩm</t>
  </si>
  <si>
    <t>Kho mát rau quả</t>
  </si>
  <si>
    <t>Kho làm lạnh Beer</t>
  </si>
  <si>
    <t>KHO TỔNG B32FV</t>
  </si>
  <si>
    <t xml:space="preserve">Kho Đông thịt </t>
  </si>
  <si>
    <t>Kho đông Thịt</t>
  </si>
  <si>
    <t xml:space="preserve">Kho Mát trữ Sữa </t>
  </si>
  <si>
    <t>Kho đông chứa kem</t>
  </si>
  <si>
    <t xml:space="preserve">Kho mát </t>
  </si>
  <si>
    <t xml:space="preserve">Kho Đông </t>
  </si>
  <si>
    <t>Kho mát trữ R ượu - Sữa</t>
  </si>
  <si>
    <t>FEC 1 - FANTASY</t>
  </si>
  <si>
    <t>BẾP BÁNH B10</t>
  </si>
  <si>
    <t>Kho mát trữ Bánh</t>
  </si>
  <si>
    <t>Kho mát trữ Bánh Lanh</t>
  </si>
  <si>
    <t>KHO TỔNG GA 5</t>
  </si>
  <si>
    <t>Kho mát chứa thịt</t>
  </si>
  <si>
    <t>Kho mát chứa Bơ - Sữa</t>
  </si>
  <si>
    <t>Bộ Phận</t>
  </si>
  <si>
    <t>Cáp treo</t>
  </si>
  <si>
    <t>Bảo trì</t>
  </si>
  <si>
    <t>Kiểm tra theo quy định</t>
  </si>
  <si>
    <t>Vận hành duy trì</t>
  </si>
  <si>
    <t>Vận hành đón khách</t>
  </si>
  <si>
    <t xml:space="preserve">Thang cuốn cổng thành </t>
  </si>
  <si>
    <t>Thang cuốn Ga 9</t>
  </si>
  <si>
    <t>Thang cuốn Ga 10</t>
  </si>
  <si>
    <t>Thang cuốn Ga 11</t>
  </si>
  <si>
    <t>Thang cuốn FEC 1</t>
  </si>
  <si>
    <t>Thang thùng FEC1</t>
  </si>
  <si>
    <t>Thang cuốn Beer PLAZA</t>
  </si>
  <si>
    <t>Thang thùng Beer PLAZA</t>
  </si>
  <si>
    <t xml:space="preserve">Hệ âm  thanh cầu vàng </t>
  </si>
  <si>
    <t xml:space="preserve">Hệ âm  thanh quảng trường </t>
  </si>
  <si>
    <t>Hệ âm  thanh ga 9</t>
  </si>
  <si>
    <t>Hệ âm  thanh ga 10, 11</t>
  </si>
  <si>
    <t xml:space="preserve">Hệ âm  thanh hầm rượu </t>
  </si>
  <si>
    <t>Hệ âm  thanh ga 12</t>
  </si>
  <si>
    <t xml:space="preserve">Hệ âm  thanh Vườn hoa </t>
  </si>
  <si>
    <t>Hầm Rượu</t>
  </si>
  <si>
    <t xml:space="preserve">ĐIỀU HÒA ĐỨNG </t>
  </si>
  <si>
    <t>PAU01</t>
  </si>
  <si>
    <t>PAU02</t>
  </si>
  <si>
    <t>Máy xay thịt,TS-102,xám</t>
  </si>
  <si>
    <t>Tủ đông sanaky,VH1399HY3,308x84,6x90,màu trắng</t>
  </si>
  <si>
    <t>Tủ Inox 1 cửa kèm 1 ngăn đựng khay,SHO-66,105x70x75,105x70x75</t>
  </si>
  <si>
    <t>Tủ nóng inox 2 cửa True,170x85x215,màu xám trắng</t>
  </si>
  <si>
    <t>Máy xay thịt Berjaya BM10,xám</t>
  </si>
  <si>
    <t>Lò quay vịt</t>
  </si>
  <si>
    <t>Lò vi sóng electrolux,đen</t>
  </si>
  <si>
    <t>Máy nướng bánh mì băng chuyền Berjaya</t>
  </si>
  <si>
    <t>Máy slice sirman</t>
  </si>
  <si>
    <t>Bếp điện từ Arber,màu đen</t>
  </si>
  <si>
    <t>Bếp từ 1 họng nấu chảo,mặt đen</t>
  </si>
  <si>
    <t>Bếp từ 2 họng nấu chảo,130x70x100,mặt đen</t>
  </si>
  <si>
    <t>Bếp từ công nghiệp đôi lõm kính VH15KLKx2-IH52, KT:  1300x700x700mm(1 cái)</t>
  </si>
  <si>
    <t>Bếp từ công nghiệp đơn Inox 304 dày 1.1mm, VH15KB-IH52, KT: 700x750x500mm(2 cái)</t>
  </si>
  <si>
    <t>Bộ lò lotus: 2 bếp nướng thanh+ 2 hộc chiên dầu+ nướng mặt phẳng+ 4 lò bếp điện+ 1 lò nướng treo</t>
  </si>
  <si>
    <t>Lò hấp cơm 3 ngăn,MC26K,xám trắng</t>
  </si>
  <si>
    <t>Lò nướng đa năng PIRON,đen</t>
  </si>
  <si>
    <t>Lò nướng đa năng UNOX,75x73x65,xám</t>
  </si>
  <si>
    <t>Lò nướng đa năng UNOX,85x90x185,xám</t>
  </si>
  <si>
    <t>Lò Tephandine tròn,xám trắng</t>
  </si>
  <si>
    <t>Máy làm đá MVScotsman</t>
  </si>
  <si>
    <t xml:space="preserve">Máy rửa chén băng tải Ecomax và bộ bàn inox </t>
  </si>
  <si>
    <t>Tủ đông 4 cửa FIRSTCOOL,135x80x185,xám trắng</t>
  </si>
  <si>
    <t>Tủ mát 1 cánh, 2 của kéo Firscool,135x70x75,xám trắng</t>
  </si>
  <si>
    <t>Tủ mát 2 cửa gương FIRSTCOOL,135x80x185,xám trắng</t>
  </si>
  <si>
    <t>Tủ mát 3 cánh FIRSTCOOL,180x70x100,xám trắng</t>
  </si>
  <si>
    <t>Tủ mát 4 cánh asber,120x75x185,màu xám trắng</t>
  </si>
  <si>
    <t>Tủ mát 4 cửa FIRSTCOOL,135x80x185,xám trắng</t>
  </si>
  <si>
    <t>Bếp hầm Viettan thấp,65x70x110</t>
  </si>
  <si>
    <t>TẦNG 1</t>
  </si>
  <si>
    <t>Tủ mát 2 cánh Cool Head "137*75*85</t>
  </si>
  <si>
    <t>Tủ mát 3cánh ""180*70*85</t>
  </si>
  <si>
    <t>Tủ mát 4 cánh Cool Hear /"145*83*195</t>
  </si>
  <si>
    <t>TẦNG 2</t>
  </si>
  <si>
    <t>Tủ mát 2 cánh Cool Head /"137*75*85"</t>
  </si>
  <si>
    <t>Tủ mát 3cánh "180*70*85"</t>
  </si>
  <si>
    <t>Lò Trụng Hatco Heat Max 155*70*90</t>
  </si>
  <si>
    <t>TẦNG 3</t>
  </si>
  <si>
    <t>Bếp Á 2 họng</t>
  </si>
  <si>
    <t xml:space="preserve">Bếp chiên 2 họng </t>
  </si>
  <si>
    <t xml:space="preserve">Bếp trụng mỳ </t>
  </si>
  <si>
    <t xml:space="preserve">Bình nước nóng treo tường </t>
  </si>
  <si>
    <t>Lò nướng bánh</t>
  </si>
  <si>
    <t xml:space="preserve">Lò nướng  </t>
  </si>
  <si>
    <t>Lò nướng mặt</t>
  </si>
  <si>
    <t xml:space="preserve">Nồi cơm điện cơ 10L </t>
  </si>
  <si>
    <t>Tủ hâm nóng bát đũa</t>
  </si>
  <si>
    <t>Tủ lạnh 2 cửa</t>
  </si>
  <si>
    <t xml:space="preserve">Tủ mát 2 cánh </t>
  </si>
  <si>
    <t>Tủ mát 2 cánh</t>
  </si>
  <si>
    <t xml:space="preserve">Tủ mát 6 cánh </t>
  </si>
  <si>
    <t>Tủ mát</t>
  </si>
  <si>
    <t>Máy nước nóng 30L</t>
  </si>
  <si>
    <t>Máy làm đá Follet</t>
  </si>
  <si>
    <t>Máy đánh bột Berjaya</t>
  </si>
  <si>
    <t>Kho đông</t>
  </si>
  <si>
    <t>Kho mát</t>
  </si>
  <si>
    <t>Lò vi sóng</t>
  </si>
  <si>
    <t>Bàn hâm nóng 4 hộc</t>
  </si>
  <si>
    <t xml:space="preserve">Bếp Á CN 2 họng có quạt gió </t>
  </si>
  <si>
    <t xml:space="preserve">Bếp chiên nhúng 2 hộc </t>
  </si>
  <si>
    <t xml:space="preserve">Bếp nướng phẳng </t>
  </si>
  <si>
    <t>Lò chiên  cơm</t>
  </si>
  <si>
    <t xml:space="preserve">Lò chiên nhúng 2 hộc </t>
  </si>
  <si>
    <t xml:space="preserve">Máy nước nong </t>
  </si>
  <si>
    <t>Tủ hâm nóng 1 cửa,</t>
  </si>
  <si>
    <t xml:space="preserve">Tủ mát 2 cánh gương </t>
  </si>
  <si>
    <t xml:space="preserve">Tủ mát 4 cánh </t>
  </si>
  <si>
    <t>Đèn đôi hâm nóng</t>
  </si>
  <si>
    <t>Đèn đơn hâm nóng</t>
  </si>
  <si>
    <t>Lò nướng bánh mì băng chuyền mini</t>
  </si>
  <si>
    <t>Máy đánh sốt</t>
  </si>
  <si>
    <t xml:space="preserve">Máy đánh sốt </t>
  </si>
  <si>
    <t>Máy xay thịt TS-102</t>
  </si>
  <si>
    <t>Máy làm đá Hoshizaki</t>
  </si>
  <si>
    <t>Máy làm đá Scotman MV806</t>
  </si>
  <si>
    <t>Máy làm đá Whalley Follett</t>
  </si>
  <si>
    <t>Máy rửa chén Dolphin loại lớn</t>
  </si>
  <si>
    <t>Máy rửa ly Comenda</t>
  </si>
  <si>
    <t>Máy slice Robot Coupe C260</t>
  </si>
  <si>
    <t xml:space="preserve">Bếp từ đơn </t>
  </si>
  <si>
    <t>Bếp Á CN 2 họng có quạt gió</t>
  </si>
  <si>
    <t xml:space="preserve">Lò chiên cơm </t>
  </si>
  <si>
    <t xml:space="preserve">Máy nước nóng </t>
  </si>
  <si>
    <t>Tủ hâm nóng 1 cánh, cửa gương</t>
  </si>
  <si>
    <t>Tủ mát 2 cánh ,</t>
  </si>
  <si>
    <t xml:space="preserve">Tủ mát bàn inox 3 cánh </t>
  </si>
  <si>
    <t>Tủ mát inox 2 cánh,</t>
  </si>
  <si>
    <t>Tủ mát inox 3 cánh,</t>
  </si>
  <si>
    <t>Đèn hâm nóng bàn đá đơn</t>
  </si>
  <si>
    <t>Đèn hâm nóng đôi</t>
  </si>
  <si>
    <t>Lò nướng bánh mỳ băng chuyền mini</t>
  </si>
  <si>
    <t xml:space="preserve">Máy rửa chén Dolphin </t>
  </si>
  <si>
    <t>Tủ bàn giữ nóng 4 hộc</t>
  </si>
  <si>
    <t xml:space="preserve">Tủ mát 2 cửa </t>
  </si>
  <si>
    <t xml:space="preserve">Đèn đôi hâm nóng </t>
  </si>
  <si>
    <t xml:space="preserve">Máy slice </t>
  </si>
  <si>
    <t>TẦNG 4</t>
  </si>
  <si>
    <t>Máy rửa chén Dolphin</t>
  </si>
  <si>
    <t>BẾP BÁNH</t>
  </si>
  <si>
    <t>Tủ mát 3 cánh Turbo air</t>
  </si>
  <si>
    <t>Kho Lạnh</t>
  </si>
  <si>
    <t>Tủ Kem</t>
  </si>
  <si>
    <t>Doumer</t>
  </si>
  <si>
    <t>Xe bán hàng</t>
  </si>
  <si>
    <t>Hội An</t>
  </si>
  <si>
    <t>Thiết Bị Bếp</t>
  </si>
  <si>
    <t>Thiết Bị Nhà Hàng</t>
  </si>
  <si>
    <t>STT</t>
  </si>
  <si>
    <t>Máy hút ẩm 192B</t>
  </si>
  <si>
    <t>Máy hút ẩm 45B</t>
  </si>
  <si>
    <t>Máy hút ẩm 100B</t>
  </si>
  <si>
    <t>Máy hút ẩm HD 192 ( Mới )</t>
  </si>
  <si>
    <t>Máy hút ẩm HD 45B</t>
  </si>
  <si>
    <t>Máy hút ẩm HD 60B</t>
  </si>
  <si>
    <t>IX</t>
  </si>
  <si>
    <t>X</t>
  </si>
  <si>
    <t>XI</t>
  </si>
  <si>
    <t>LA PENSEE</t>
  </si>
  <si>
    <t>XII</t>
  </si>
  <si>
    <t>BRASERRIE</t>
  </si>
  <si>
    <t>XIII</t>
  </si>
  <si>
    <t>TRÚ VŨ ĐÀI</t>
  </si>
  <si>
    <t>XIV</t>
  </si>
  <si>
    <t>Số ngày sử dụng đón khách/ tháng (ngày)</t>
  </si>
  <si>
    <t>Bơm Đập Pháp</t>
  </si>
  <si>
    <t>GAME</t>
  </si>
  <si>
    <t>Bàn trữ mát 2 cánh</t>
  </si>
  <si>
    <t>Bình đun nước sôi 100 Lit</t>
  </si>
  <si>
    <t>Bình pha trà Bravilor</t>
  </si>
  <si>
    <t>Máy Coffee  Carimali</t>
  </si>
  <si>
    <t>Máy làm đá  Scootman</t>
  </si>
  <si>
    <t xml:space="preserve">Máy rửa ly </t>
  </si>
  <si>
    <t>Máy Sấy Tay</t>
  </si>
  <si>
    <t>Tủ Lạnh 3 cánh Master Cool</t>
  </si>
  <si>
    <t>Tủ trữ mát 4 cánh</t>
  </si>
  <si>
    <t>Bình đun nước sôi 100 Lit - BYJ</t>
  </si>
  <si>
    <t>Máy bia tươi 01</t>
  </si>
  <si>
    <t>Máy bia tươi 02</t>
  </si>
  <si>
    <t>Máy Coffe Cimbali</t>
  </si>
  <si>
    <t>Máy rửa ly  nhỏ</t>
  </si>
  <si>
    <t>Máy rửa ly Ecomax Lớn</t>
  </si>
  <si>
    <t xml:space="preserve">Quạt cắt gió </t>
  </si>
  <si>
    <t>Tủ coke 700 L</t>
  </si>
  <si>
    <t>Tủ lạnh 2 cánh  Friscool AB 10 - 01</t>
  </si>
  <si>
    <t>Tủ lạnh 2 cánh  Friscool AB 10 - 02</t>
  </si>
  <si>
    <t>Tủ lạnh 2 cánh  Friscool AB 10 - 03</t>
  </si>
  <si>
    <t>Tủ lạnh 2 cánh Friscool 01</t>
  </si>
  <si>
    <t>Tủ lạnh 2 cánh Friscool 02</t>
  </si>
  <si>
    <t>Tủ lạnh 2 cánh Friscool 03</t>
  </si>
  <si>
    <t>Máy Bia Tươi</t>
  </si>
  <si>
    <t>Máy đun nước nóng Power 100L ( KB-6S)</t>
  </si>
  <si>
    <t>Máy Làm Đá Viên Follet 180</t>
  </si>
  <si>
    <t xml:space="preserve">Quạt công nghiệp </t>
  </si>
  <si>
    <t>Quạt Hơi Nước SunHouse - 1</t>
  </si>
  <si>
    <t>Quạt Hơi Nước SunHouse - 2</t>
  </si>
  <si>
    <t>Quạt Hơi Nước SunHouse - 3</t>
  </si>
  <si>
    <t>Quạt Hơi Nước SunHouse - 4</t>
  </si>
  <si>
    <t>Quạt ngắt gió</t>
  </si>
  <si>
    <t>Bếp nướng mặt</t>
  </si>
  <si>
    <t>Điều hòa đứng 01</t>
  </si>
  <si>
    <t>Điều hòa đứng 02</t>
  </si>
  <si>
    <t>Máy làm đá Scootman</t>
  </si>
  <si>
    <t>Máy rửa ly</t>
  </si>
  <si>
    <t>Quạt ngắt gió 01</t>
  </si>
  <si>
    <t>Quạt ngắt gió 02</t>
  </si>
  <si>
    <t>Tủ lạnh đứng 1 cánh</t>
  </si>
  <si>
    <t xml:space="preserve">Tủ mát 2 cánh Friscool </t>
  </si>
  <si>
    <t>Bếp chiên 1 mặt</t>
  </si>
  <si>
    <t>Bếp chiên 2 ngăn</t>
  </si>
  <si>
    <t>Bình nước nóng 30lit</t>
  </si>
  <si>
    <t>Máy bắp Bung</t>
  </si>
  <si>
    <t>Máy bia tươi</t>
  </si>
  <si>
    <t>Máy làm kem Hải Âu</t>
  </si>
  <si>
    <t>Máy rang hạt dẻ</t>
  </si>
  <si>
    <t>Tủ giữ nóng bánh</t>
  </si>
  <si>
    <t xml:space="preserve">Tủ kem chứa kem lớn </t>
  </si>
  <si>
    <t>Tủ kem lớn</t>
  </si>
  <si>
    <t xml:space="preserve">Bếp chiên Mặt </t>
  </si>
  <si>
    <t>Bếp chiên Mặt phẳng  berjaya</t>
  </si>
  <si>
    <t>Máy cà phê cimbali</t>
  </si>
  <si>
    <t>Máy làm đá scotman 456mv</t>
  </si>
  <si>
    <t xml:space="preserve">Máy làm nóng bánh mỳ </t>
  </si>
  <si>
    <t>Tủ kem nhỏ</t>
  </si>
  <si>
    <t>Tủ lạnh trưng bày bánh lạnh  berjaya</t>
  </si>
  <si>
    <t>Tủ trưng bày bánh nóng</t>
  </si>
  <si>
    <t>Cụm B8</t>
  </si>
  <si>
    <t>Máy kem Xoài Hải Âu</t>
  </si>
  <si>
    <t>Máy làm đá Scottman</t>
  </si>
  <si>
    <t>Máy pha cà phê hạt Cimbali</t>
  </si>
  <si>
    <t>Tủ bánh Nóng (lớn)</t>
  </si>
  <si>
    <t>Tủ bánh nóng (nhỏ)</t>
  </si>
  <si>
    <t>Dưới 3000 Khách</t>
  </si>
  <si>
    <t>3000-5000 Khách</t>
  </si>
  <si>
    <t>Trên 5000 Khách</t>
  </si>
  <si>
    <t>Khu rừng thần tiên</t>
  </si>
  <si>
    <t>Công viên Khủng long</t>
  </si>
  <si>
    <t>Tuyến cáp treo số 1</t>
  </si>
  <si>
    <t>Tuyến cáp treo số 2</t>
  </si>
  <si>
    <t>Tuyến cáp treo số 5</t>
  </si>
  <si>
    <t>Tuyến cáp treo số 6</t>
  </si>
  <si>
    <t>Tàu hỏa leo núi 1</t>
  </si>
  <si>
    <t>Công suất định mức (kW)</t>
  </si>
  <si>
    <t>Tàu hỏa leo núi 2</t>
  </si>
  <si>
    <t>Chi tiết vận hành</t>
  </si>
  <si>
    <t>Công suất sử dụng thực tế của thiết bị (kW)</t>
  </si>
  <si>
    <t>Số giờ vận hành</t>
  </si>
  <si>
    <t>Thời gian vận hành trong ngày</t>
  </si>
  <si>
    <t>Từ…h đến …h</t>
  </si>
  <si>
    <t>Điện năng (kWh)/tháng 
Tính theo Công suất định mức</t>
  </si>
  <si>
    <t>Điện năng (kWh)/tháng 
Tính theo Công suất thực tế</t>
  </si>
  <si>
    <t>So sánh tỷ lệ % Điện năng tiêu thụ thực tế so với định mức</t>
  </si>
  <si>
    <t>Trạm xử lý nước cấp, nước thải</t>
  </si>
  <si>
    <t>Thời gian vận hành trong ngày (giờ)</t>
  </si>
  <si>
    <t>Chạy khi cần sử dung, số giờ lấy theo thời gian dùng hàng ngày</t>
  </si>
  <si>
    <t>Chạy khi chạy hóa chất, thời gian lấy trung bình theo tháng</t>
  </si>
  <si>
    <t>vận hành 24/24</t>
  </si>
  <si>
    <t>Thang cuốn Ga 1</t>
  </si>
  <si>
    <t>Thang cuốn Ga 2</t>
  </si>
  <si>
    <t>Thang cuốn Ga 5</t>
  </si>
  <si>
    <t>Thang cuốn Ga 12</t>
  </si>
  <si>
    <t>Thang cuốn Ga 15</t>
  </si>
  <si>
    <t>Thang thùng ga 1</t>
  </si>
  <si>
    <t>Thang thùng ga 5</t>
  </si>
  <si>
    <t>Thang thùng ga 9</t>
  </si>
  <si>
    <t>Thang thùng ga 15</t>
  </si>
  <si>
    <t>Thang thùng club</t>
  </si>
  <si>
    <t>Thang thùng ga 2</t>
  </si>
  <si>
    <t>Hệ âm  thanh ga 1</t>
  </si>
  <si>
    <t>Hệ âm  thanh ga 2</t>
  </si>
  <si>
    <t>Hệ âm  thanh ga 3</t>
  </si>
  <si>
    <t>Hệ âm  thanh ga 4</t>
  </si>
  <si>
    <t>Hệ âm  thanh ga 5</t>
  </si>
  <si>
    <t>Hệ âm  thanh ga 6</t>
  </si>
  <si>
    <t>Hệ âm  thanh ga 7</t>
  </si>
  <si>
    <t>Hệ âm  thanh ga 8</t>
  </si>
  <si>
    <t xml:space="preserve">Thang cuốn Lâu Đài </t>
  </si>
  <si>
    <t xml:space="preserve">Thang thùng lâu đài </t>
  </si>
  <si>
    <t>Thang cuốn FEC 2</t>
  </si>
  <si>
    <t>Thang thùng FEC2</t>
  </si>
  <si>
    <t>Dưới 8000 Khách</t>
  </si>
  <si>
    <t>8000-12000 Khách</t>
  </si>
  <si>
    <t>12000-15000 Khách</t>
  </si>
  <si>
    <t>Trên 15000 Khách</t>
  </si>
  <si>
    <t>Số lượng máy 1 lần sử dụng
(cái)</t>
  </si>
  <si>
    <t>Đóng cửa</t>
  </si>
  <si>
    <t>Bơm 37kW lên Lâu Đài</t>
  </si>
  <si>
    <t xml:space="preserve">Thang máy , Thang cuốn </t>
  </si>
  <si>
    <t xml:space="preserve">Hệ âm  thanh lâu đài </t>
  </si>
  <si>
    <t>Hệ âm  thanh Ga 15</t>
  </si>
  <si>
    <t>Hệ âm  thanh Ga 16</t>
  </si>
  <si>
    <t xml:space="preserve">Lâu Đài Chiller MULTI-PIPES AIR COOLED </t>
  </si>
  <si>
    <t xml:space="preserve">Lâu Đài Chille AIR -COOLED </t>
  </si>
  <si>
    <t>Vòng xoay Thiên mã</t>
  </si>
  <si>
    <t>Đu bay kì diệu</t>
  </si>
  <si>
    <t>Rạp mắt bay</t>
  </si>
  <si>
    <t>Rạp Giao lộ trăng</t>
  </si>
  <si>
    <t>Bóng đèn ốp trần</t>
  </si>
  <si>
    <t>Quạt treo tường</t>
  </si>
  <si>
    <t xml:space="preserve">Lò nấu nước phở 200L </t>
  </si>
  <si>
    <t>Chảo hầm nghiêng</t>
  </si>
  <si>
    <t>TẦNG 5</t>
  </si>
  <si>
    <t>Nồi hầm nước phở 100l</t>
  </si>
  <si>
    <t>Nồi hầm nước la đậu đen</t>
  </si>
  <si>
    <t>Máy hút ẩm 192</t>
  </si>
  <si>
    <t>Hệ thống điều hòa</t>
  </si>
  <si>
    <t>Hệ thống thang cuốn</t>
  </si>
  <si>
    <t>Hệ thống ánh sáng sân khấu</t>
  </si>
  <si>
    <t xml:space="preserve">Thang thùng </t>
  </si>
  <si>
    <t>Máy đá viên Scottman</t>
  </si>
  <si>
    <t xml:space="preserve">Quạt Hơi Nước SunHouse </t>
  </si>
  <si>
    <t>Lễ Hội Beer</t>
  </si>
  <si>
    <t>TỔNG</t>
  </si>
  <si>
    <t>Nhà Điều Hành, Sunhome</t>
  </si>
  <si>
    <t>ĐIỆN NĂNG TIÊU THỤ THEO KỊCH BẢN VẬN HÀNH THIẾT BỊ CỦA BNC NĂM 2023</t>
  </si>
  <si>
    <t>KPI đăng ký áp cho năm 2023</t>
  </si>
  <si>
    <t>Điện Năng Tiêu Thụ (kWh/tháng) tính theo công suất thực tế sử dụng</t>
  </si>
  <si>
    <t>Thang máy, thang cuốn, âm thanh, Chiller, chiếu sáng</t>
  </si>
  <si>
    <t xml:space="preserve">Chille FEC1 </t>
  </si>
  <si>
    <t>tính thời gian  kiểm tra kỹ thuật và vận hành thử cáp từ 8h00</t>
  </si>
  <si>
    <t>tính thời gian  kiểm tra kỹ thuật trước khi đón khách lúc 8h00</t>
  </si>
  <si>
    <t>Máy cưa MaDo</t>
  </si>
  <si>
    <t>Máy xay thịt K+G</t>
  </si>
  <si>
    <t>Máy  BOWL CUTTER K+G</t>
  </si>
  <si>
    <t>Máy trộn VAKONA</t>
  </si>
  <si>
    <t>Máy nhồi xúc xích VF608</t>
  </si>
  <si>
    <t>Máy xông khói FESSMANN</t>
  </si>
  <si>
    <t>Máy hút chân không BOSS</t>
  </si>
  <si>
    <t>Máy tiêm gia vị VAKONA</t>
  </si>
  <si>
    <t>Máy làm đá vẩy</t>
  </si>
  <si>
    <t>Máy in date</t>
  </si>
  <si>
    <t>Đèn pha led</t>
  </si>
  <si>
    <t>Kho số 1( kho mát nguyên liệu)</t>
  </si>
  <si>
    <t>Kho số 2(kho đông nguyên liệu)</t>
  </si>
  <si>
    <t>Kho số 3(Phòng sơ chế)</t>
  </si>
  <si>
    <t>Kho số 4(Phòng sản xuất)</t>
  </si>
  <si>
    <t>Kho số 5(Kho salami)</t>
  </si>
  <si>
    <t>Kho số 6(Kho mát bán thành phẩm)</t>
  </si>
  <si>
    <t>Kho số 7(Phòng đóng gói)</t>
  </si>
  <si>
    <t>Kho số 8(Kho mát thành phẩm)</t>
  </si>
  <si>
    <t>Kho số 9(Kho đông thành phẩm)</t>
  </si>
  <si>
    <t>Xưởng Xúc Xích</t>
  </si>
  <si>
    <t xml:space="preserve">Khách 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</si>
  <si>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</si>
  <si>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</si>
  <si>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</si>
  <si>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</si>
  <si>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</si>
  <si>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</si>
  <si>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</si>
  <si>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</si>
  <si>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</si>
  <si>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</si>
  <si>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</si>
  <si>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</si>
  <si>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Khách/Ngày</t>
  </si>
  <si>
    <t>&lt;10000</t>
  </si>
  <si>
    <t>10000-12000</t>
  </si>
  <si>
    <t>12000-15000</t>
  </si>
  <si>
    <t>&gt;15000</t>
  </si>
  <si>
    <t>Dưới 10000 Khách</t>
  </si>
  <si>
    <t>10000-12000 Khách</t>
  </si>
  <si>
    <t>KỊCH BẢN VẬN HÀNH THIẾT BỊ ĐIỆN BÀ NÀ NĂM 2024_CÁP TREO</t>
  </si>
  <si>
    <t>Chữ ký TBP</t>
  </si>
  <si>
    <t>Thời gian vận hành trong ngày (h)</t>
  </si>
  <si>
    <t>KỊCH BẢN VẬN HÀNH THIẾT BỊ ĐIỆN BÀ NÀ NĂM 2024_GAME</t>
  </si>
  <si>
    <t>FEC 1</t>
  </si>
  <si>
    <t>FEC2</t>
  </si>
  <si>
    <t>Lâu Đài</t>
  </si>
  <si>
    <t>KỊCH BẢN VẬN HÀNH THIẾT BỊ ĐIỆN BÀ NÀ NĂM 2024_NHÀ ĐIỀU HÀNH + SUNHOME + BẾP CĂN TIN</t>
  </si>
  <si>
    <t>Bếp Căn Tin Nhà Điều Hành</t>
  </si>
  <si>
    <t>KỊCH BẢN VẬN HÀNH THIẾT BỊ ĐIỆN BÀ NÀ NĂM 2024_XƯỞNG XÚC XÍCH</t>
  </si>
  <si>
    <t>Thang cuốn Ga 6</t>
  </si>
  <si>
    <t>Hệ Thống Đèn Chiếu Sáng</t>
  </si>
  <si>
    <t>Hệ Thống Đèn chiếu sáng khu vực Nhà đón khách</t>
  </si>
  <si>
    <t>Hệ Thống Đèn chiếu sáng khu vực Cầu A1</t>
  </si>
  <si>
    <t>Hệ Thống Đèn chiếu sáng khu vực Cầu A2</t>
  </si>
  <si>
    <t>Hệ Thống Đèn chiếu sáng khu vực Cổng thành</t>
  </si>
  <si>
    <t>Hệ Thống Đèn chiếu sáng khu vực Trường lang dài</t>
  </si>
  <si>
    <t>Hệ Thống Đèn chiếu sáng khu vực Đền trình</t>
  </si>
  <si>
    <t>Hệ Thống Đèn chiếu sáng khu vực Ga 1</t>
  </si>
  <si>
    <t>Hệ Thống Đèn chiếu sáng khu vực Ga 2</t>
  </si>
  <si>
    <t>Hệ Thống Đèn chiếu sáng khu vực Ga 3</t>
  </si>
  <si>
    <t>Hệ Thống Đèn chiếu sáng khu vực Ga 4</t>
  </si>
  <si>
    <t>Hệ Thống Đèn chiếu sáng khu vực Ga 5</t>
  </si>
  <si>
    <t>Hệ Thống Đèn chiếu sáng khu vực Ga 6</t>
  </si>
  <si>
    <t>Hệ Thống Đèn chiếu sáng khu vực Ga 7</t>
  </si>
  <si>
    <t>Hệ Thống Đèn chiếu sáng khu vực Ga 8</t>
  </si>
  <si>
    <t>Hệ Thống Đèn chiếu sáng khu vực Ga 9</t>
  </si>
  <si>
    <t>Hệ Thống Đèn chiếu sáng khu vực Ga 10</t>
  </si>
  <si>
    <t>Hệ Thống Đèn chiếu sáng khu vực Ga 11</t>
  </si>
  <si>
    <t>Hệ Thống Đèn chiếu sáng khu vực Ga 12</t>
  </si>
  <si>
    <t>Hệ Thống Đèn chiếu sáng khu vực Ga 15</t>
  </si>
  <si>
    <t>Hệ Thống Đèn chiếu sáng khu vực Ga 16</t>
  </si>
  <si>
    <t>Hệ Thống Đèn chiếu sáng khu vực Ga 17</t>
  </si>
  <si>
    <t>Hệ Thống Đèn chiếu sáng khu vực Ga 18</t>
  </si>
  <si>
    <t>Hệ Thống Đèn chiếu sáng khu vực Vòng xuyến</t>
  </si>
  <si>
    <t>Hệ Thống Đèn chiếu sáng khu vực Bảo tàng sáp</t>
  </si>
  <si>
    <t>Hệ Thống Quạt</t>
  </si>
  <si>
    <t>Nhà đón khách</t>
  </si>
  <si>
    <t>Cầu A1</t>
  </si>
  <si>
    <t>Cầu A2</t>
  </si>
  <si>
    <t>Cổng thành</t>
  </si>
  <si>
    <t>Trường lang dài</t>
  </si>
  <si>
    <t>Đền trình</t>
  </si>
  <si>
    <t>Đường dẫn ga 5-15</t>
  </si>
  <si>
    <t>Ga 1</t>
  </si>
  <si>
    <t>Ga 9</t>
  </si>
  <si>
    <t>Ga 5</t>
  </si>
  <si>
    <t>Vòng xuyến</t>
  </si>
  <si>
    <t>KỊCH BẢN VẬN HÀNH THIẾT BỊ ĐIỆN BP HƯỚNG DẪN BÀ NÀ NĂM 2024_HƯỚNG DẪN</t>
  </si>
  <si>
    <t>Bàn trữ mát 3 cánh- Mastercool- TP7-190-30SD-GN</t>
  </si>
  <si>
    <t>Bàn trữ mát 3 cánh- Mastercool - TP6-180-30GD</t>
  </si>
  <si>
    <t>Tủ trữ mát 4 cánh kính- Mastercool</t>
  </si>
  <si>
    <t>Bàn trữ mát 2 cánh Mastercool - TP6-135-20GD</t>
  </si>
  <si>
    <t>Máy giặt Electronlux 8kg</t>
  </si>
  <si>
    <t>Máy làm mát không khí Sunhouse</t>
  </si>
  <si>
    <t>Tủ trưng bày bánh nóng Berjaya HDW-15SS</t>
  </si>
  <si>
    <t>Máy pha cà phê</t>
  </si>
  <si>
    <t>Máy xay cà phê</t>
  </si>
  <si>
    <t>Lò Vi Sóng</t>
  </si>
  <si>
    <t>Bếp từ 2 vùng nấu</t>
  </si>
  <si>
    <t xml:space="preserve">Tủ kính cong trưng bày 2 tầng </t>
  </si>
  <si>
    <t>Tủ kem</t>
  </si>
  <si>
    <t>Máy rót Beer</t>
  </si>
  <si>
    <t xml:space="preserve">Tivi </t>
  </si>
  <si>
    <t>Máy sấy CN 5KW</t>
  </si>
  <si>
    <t>Cối xay Vitamix</t>
  </si>
  <si>
    <t>Máy  xay Vitamix</t>
  </si>
  <si>
    <t xml:space="preserve">Máy ép trái cây </t>
  </si>
  <si>
    <t>Máy vắt cam Philips</t>
  </si>
  <si>
    <t xml:space="preserve">Máy sunquick </t>
  </si>
  <si>
    <t>Máy Sunquick -1</t>
  </si>
  <si>
    <t>Máy Sunquick -2</t>
  </si>
  <si>
    <t>Máy Sunquick -3</t>
  </si>
  <si>
    <t>Máy Sunquick -4</t>
  </si>
  <si>
    <t>Thùng nấu nước 100 lít</t>
  </si>
  <si>
    <t>Máy hút ẩm 192 01</t>
  </si>
  <si>
    <t>Máy Sấy Tay 01</t>
  </si>
  <si>
    <t>TẦNG M</t>
  </si>
  <si>
    <t>Máy Sấy Tay 02</t>
  </si>
  <si>
    <t>Máy hút ẩm 192 02</t>
  </si>
  <si>
    <t>Máy giặt áo quần</t>
  </si>
  <si>
    <t>Quạt công nghiệp -1</t>
  </si>
  <si>
    <t>Quạt công nghiệp -2</t>
  </si>
  <si>
    <t>Hệ thống âm thanh</t>
  </si>
  <si>
    <t>Hệ thống đèn chiếu sáng</t>
  </si>
  <si>
    <t>Máy sunquick 1</t>
  </si>
  <si>
    <t>Máy sunquick 2</t>
  </si>
  <si>
    <t>Máy sunquick 3</t>
  </si>
  <si>
    <t>Máy sunquick 4</t>
  </si>
  <si>
    <t>Máy làm đá bào Hóshizaki</t>
  </si>
  <si>
    <t>Hệ thống cổng soát vé</t>
  </si>
  <si>
    <t>Tivi 03</t>
  </si>
  <si>
    <t>Quạt sưởi đứng, 220V, 2100W</t>
  </si>
  <si>
    <t>Máy hút ẩm 192b</t>
  </si>
  <si>
    <t>Điều hòa tủ đứng Samsung 48.000BTU - 1</t>
  </si>
  <si>
    <t>Bếp hâm nóng cà phê đôi I/BSP-CW2</t>
  </si>
  <si>
    <t>Máy đun nóng nước sôi</t>
  </si>
  <si>
    <t>Máy khảo sát Lenovo</t>
  </si>
  <si>
    <t>Màn hình Led</t>
  </si>
  <si>
    <t xml:space="preserve">Điều hòa Daikin </t>
  </si>
  <si>
    <t>Máy hút ẩm Lmax</t>
  </si>
  <si>
    <t>Tủ SAKANY 1 cánh</t>
  </si>
  <si>
    <t>Tủ coke 1000L</t>
  </si>
  <si>
    <t>Ga 10</t>
  </si>
  <si>
    <t>Cầu Vàng</t>
  </si>
  <si>
    <t>Tủ coke 400L</t>
  </si>
  <si>
    <t>Ga 11</t>
  </si>
  <si>
    <t>Ga 8</t>
  </si>
  <si>
    <t>Tủ mát Mater Cool 2 cánh</t>
  </si>
  <si>
    <t>Tủ mát Mater Cool đứng 2 cánh</t>
  </si>
  <si>
    <t>Hành Lang</t>
  </si>
  <si>
    <t>Tủ mát Mater Cool 3 cánh</t>
  </si>
  <si>
    <t>Tủ mát Mater Cool 4 cánh</t>
  </si>
  <si>
    <t>Sunbun 2</t>
  </si>
  <si>
    <t>Tủ kem Boulevard</t>
  </si>
  <si>
    <t>Tủ coca 1000l</t>
  </si>
  <si>
    <t>Máy chiên mặt phẳng</t>
  </si>
  <si>
    <t>Máy chiên nhúng</t>
  </si>
  <si>
    <t>Tủ mát nằm 3 cánh</t>
  </si>
  <si>
    <t>Hệ thống điện chiếu sáng</t>
  </si>
  <si>
    <t xml:space="preserve">NHÀ HÀNG BRASSERIE </t>
  </si>
  <si>
    <t xml:space="preserve">Tủ Coke 1000 L </t>
  </si>
  <si>
    <t xml:space="preserve">Máy quạt hơi nước </t>
  </si>
  <si>
    <t>Máy quạt công nghiệp</t>
  </si>
  <si>
    <t>ĐIỂM BACCHUS</t>
  </si>
  <si>
    <t>Tủ Kem lớn</t>
  </si>
  <si>
    <t>ĐIỂM LE PETRIN</t>
  </si>
  <si>
    <t>Tivi</t>
  </si>
  <si>
    <t xml:space="preserve">Bình nước nóng nhỏ </t>
  </si>
  <si>
    <t>ĐIỂM CỔNG TAM QUAN</t>
  </si>
  <si>
    <t>Tủ coke 2 cánh</t>
  </si>
  <si>
    <t>Điểm bán Starbucks</t>
  </si>
  <si>
    <t>Tủ Kem Tươi Boulevard</t>
  </si>
  <si>
    <t>Điểm bán Xe đỏ</t>
  </si>
  <si>
    <t>Điểm bán Xe Vàng</t>
  </si>
  <si>
    <t>Điểm bán Bãi xe 5ha</t>
  </si>
  <si>
    <t>Điểm bán Bãi xe 10Ha</t>
  </si>
  <si>
    <t>Kho Hội An</t>
  </si>
  <si>
    <t>Máy Tự Động Coca</t>
  </si>
  <si>
    <t>CỤM LÂU ĐÀI</t>
  </si>
  <si>
    <t>L1 LÂU ĐÀI</t>
  </si>
  <si>
    <t>Bàn trữ mát 2 cánh HOSHIZAKI</t>
  </si>
  <si>
    <t>Máy nước nóng INSTANE MATE</t>
  </si>
  <si>
    <t>Bếp nấu INTECH</t>
  </si>
  <si>
    <t>Bếp chiên 1 mặt MARKPHILI</t>
  </si>
  <si>
    <t>Tủ trưng bánh nóng OZFI</t>
  </si>
  <si>
    <t>Máy rửa chén Meiko</t>
  </si>
  <si>
    <t>Bếp nấu OZFI</t>
  </si>
  <si>
    <t>Tủ trữ mát FOX 1004</t>
  </si>
  <si>
    <t>Tủ show mát OZFI</t>
  </si>
  <si>
    <t>Bếp điện từ INTECH</t>
  </si>
  <si>
    <t>Tủ lạnh 4 cánh HOSHIZAKI</t>
  </si>
  <si>
    <t>Tủ lạnh 2 cánh HOSHIZAKI</t>
  </si>
  <si>
    <t>Kho lạnh COOLMAX</t>
  </si>
  <si>
    <t>Máy nướng OZTIRYAKILER</t>
  </si>
  <si>
    <t>Lò nướng Rational</t>
  </si>
  <si>
    <t>Bếp chiên dầu 2 hộc Oztiryakiler</t>
  </si>
  <si>
    <t>Lò nướng Roller Grill</t>
  </si>
  <si>
    <t>Tủ nóng Sinoflame</t>
  </si>
  <si>
    <t xml:space="preserve">Máy bán nước tự động </t>
  </si>
  <si>
    <t>L2 LÂU ĐÀI</t>
  </si>
  <si>
    <t>Bàn trữ mát Electrolux</t>
  </si>
  <si>
    <t>Máy cà phê  La Cimbali</t>
  </si>
  <si>
    <t xml:space="preserve">Máy xay cà phê </t>
  </si>
  <si>
    <t>Máy bắp bung lớn Gold Medal</t>
  </si>
  <si>
    <t>Máy nước nóng 2 vòi Instant mate</t>
  </si>
  <si>
    <t>LỄ HỘI HÀN QUỐC</t>
  </si>
  <si>
    <t>Tủ lạnh Coca 2 cánh</t>
  </si>
  <si>
    <t xml:space="preserve">Máy bia </t>
  </si>
  <si>
    <t>Tủ kính mát trưng trái cây</t>
  </si>
  <si>
    <t xml:space="preserve">Bếp chiên 1 mặt </t>
  </si>
  <si>
    <t>Tủ chứa đông SAKY</t>
  </si>
  <si>
    <t>Bếp điện từ Eber</t>
  </si>
  <si>
    <t>Bếp chiên dầu Berjaya</t>
  </si>
  <si>
    <t>Tủ mát AIHAOSI</t>
  </si>
  <si>
    <t>Máy nướng 1 mặtBerjaya</t>
  </si>
  <si>
    <t xml:space="preserve">Lò vi sóng Malloca </t>
  </si>
  <si>
    <t>Bếp chiên dầu 2 hộc Fagor</t>
  </si>
  <si>
    <t>Lò nướng salamander Fagor</t>
  </si>
  <si>
    <t>Bếp điện từ Rber</t>
  </si>
  <si>
    <t>Tủ làm nóng Berjaya</t>
  </si>
  <si>
    <t>Tủ làm nóng nhỏ Berjaya</t>
  </si>
  <si>
    <t>Máy giữ mát  Mastercool</t>
  </si>
  <si>
    <t>Tủ lạnh Mastercool</t>
  </si>
  <si>
    <t>Máy đá Scotman NU 100</t>
  </si>
  <si>
    <t>Tủ mát Mastercool</t>
  </si>
  <si>
    <t>Máy đá nhỏ Scotman Nu100</t>
  </si>
  <si>
    <t>Tủ trưng lạnh</t>
  </si>
  <si>
    <t>Bếp nướng 1 mặt  Fagor</t>
  </si>
  <si>
    <t xml:space="preserve">Bếp chiên dầu Fagor </t>
  </si>
  <si>
    <t xml:space="preserve">Máy nước nóng instant mate </t>
  </si>
  <si>
    <t>Tủ giữ nóng Berjaya</t>
  </si>
  <si>
    <t>Tủ lạnh master cool</t>
  </si>
  <si>
    <t>Mắt vắt cam santos</t>
  </si>
  <si>
    <t>Máy xay sinh tố  vitamix</t>
  </si>
  <si>
    <t xml:space="preserve">Tủ kem </t>
  </si>
  <si>
    <t>Quầy beer 09</t>
  </si>
  <si>
    <t xml:space="preserve">Máy bia nằm </t>
  </si>
  <si>
    <t>Máy bia thùng</t>
  </si>
  <si>
    <t>Tủ coca 1200 lít -</t>
  </si>
  <si>
    <t>Lò bánh mỳ Kebab</t>
  </si>
  <si>
    <t>Quầy beer 11</t>
  </si>
  <si>
    <t>Máy nước nóng 30 lit</t>
  </si>
  <si>
    <t>Bếp chiên nhúng</t>
  </si>
  <si>
    <t>Kho Lapense</t>
  </si>
  <si>
    <t>Máy rửa chén</t>
  </si>
  <si>
    <t>Máy hút ẩm  hd60</t>
  </si>
  <si>
    <t>Máy hút ẩm  hd 150</t>
  </si>
  <si>
    <t>Tủ Coca 700L</t>
  </si>
  <si>
    <t>KAVKAZ</t>
  </si>
  <si>
    <t>CỤM ROSA</t>
  </si>
  <si>
    <t>ROSA Lẩu tầng 4</t>
  </si>
  <si>
    <t xml:space="preserve">Bếp từ </t>
  </si>
  <si>
    <t>Quạt hút khói của bếp lẩu</t>
  </si>
  <si>
    <t>Tủ mát trưng bày BF</t>
  </si>
  <si>
    <t>Hệ thống điều hoà</t>
  </si>
  <si>
    <t xml:space="preserve">Tủ mát 1 cánh Klaus </t>
  </si>
  <si>
    <t>Máy Sunquick</t>
  </si>
  <si>
    <t>NH GÀ RÁN</t>
  </si>
  <si>
    <t>Tivi LG</t>
  </si>
  <si>
    <t>NH SUSHI</t>
  </si>
  <si>
    <t>Máy pha coffee</t>
  </si>
  <si>
    <t>Máy nước nóng lạnh</t>
  </si>
  <si>
    <t>Tủ trưng bày bánh lạnh</t>
  </si>
  <si>
    <t>Tủ mát 2 cánh Klaus</t>
  </si>
  <si>
    <t>Hệ trống điều hòa</t>
  </si>
  <si>
    <t>SKY COOFEE</t>
  </si>
  <si>
    <t>Máy nước sôi</t>
  </si>
  <si>
    <t>Tủ trữ mát 2 cánh</t>
  </si>
  <si>
    <t xml:space="preserve">Hệ thống âm thanh </t>
  </si>
  <si>
    <t>MORIN GARDEN</t>
  </si>
  <si>
    <t>KỊCH BẢN VẬN HÀNH THIẾT BỊ ĐIỆN NHÀ HÀNG BÀ NÀ NĂM 2024_NHÀ HÀNG</t>
  </si>
  <si>
    <t>Hệ thống bơm hoạt động theo phao đầy cạn ở bể đầu vào, ở đập cấp nước</t>
  </si>
  <si>
    <t>Hệ thống bơm hoạt động theo phao đầy, cạn</t>
  </si>
  <si>
    <t>Bơm cấp nước theo nhu cầu sử dụng của Công ty cho hoạt động kinh doanh, sản xuất, kiểm soát hoạt động theo áp suất đường ống</t>
  </si>
  <si>
    <t>Hệ thống bơm hoạt động theo phao đầy, cạn tại bể cấp nước và bể đầu vào</t>
  </si>
  <si>
    <t>Hệ thống bơm hoạt động theo van phao cơ ở bể đầu vào</t>
  </si>
  <si>
    <t>Trạm bơm nước Đập Mới Line 1</t>
  </si>
  <si>
    <t>Trạm bơm nước Đập Mới Line 2</t>
  </si>
  <si>
    <t>Hệ thống bơm chạy theo phao đầy, cạn</t>
  </si>
  <si>
    <t>Hệ thống bơm chạy theo cài đặt PID trên biến tần (theo áp suất cài đặt)</t>
  </si>
  <si>
    <t>Hệ thống bơm chạy theo phao đầy, cạn. Tốc độ, công suất chạy bơm theo cài đặt trên hệ thống</t>
  </si>
  <si>
    <t>Hệ thống bơm chạy theo phao đầy, cạn tại bể đầu vào và tại đập nước</t>
  </si>
  <si>
    <t xml:space="preserve">Hệ thống bơm hoạt động theo thời gian cài đặt </t>
  </si>
  <si>
    <t>Hệ thống bơm chạy theo phao đầy, cạn, theo nhu cầu sử dụng cho hoạt động kinh doanh đón khách, hoạt động sản xuất</t>
  </si>
  <si>
    <t>Hệ thống hoạt động theo nhu cầu hoạt động sản xuất của Công ty, theo thời tiết</t>
  </si>
  <si>
    <t>Bơm sục rửa hệ lọc thô</t>
  </si>
  <si>
    <t>Bơm hoạt động khi sục rửa hệ thống</t>
  </si>
  <si>
    <t>Công suất sử dụng thực tết mỗi lần chạy cáp (KW)</t>
  </si>
  <si>
    <t>Không đón khách</t>
  </si>
  <si>
    <t>0.5</t>
  </si>
  <si>
    <t>Vận hành hỗ trợ từ: 9h-12h/14h-17h00</t>
  </si>
  <si>
    <t>0.25</t>
  </si>
  <si>
    <t>Đón khách từ 10h - 12h30 đê giảm tải Vòng xuyến</t>
  </si>
  <si>
    <t>5.5</t>
  </si>
  <si>
    <t>Đón khách từ 10h - 12h30/ 14h - 17h00</t>
  </si>
  <si>
    <t>Tuyến cáp treo số 3</t>
  </si>
  <si>
    <t>Hoạt động từ 9h00 - 17h30 hàng ngày đón khách. 
Sau 18h00 chạy thêm 3 giờ đón khách combo với mốc thời gian như sau và vận hành combo đêm full tuần</t>
  </si>
  <si>
    <t>Hoạt động từ 9h00 - 17h30 hàng ngày đón khách. 
Sau 19h00 chạy thêm 3 giờ đón khách combo với mốc thời gian như sau và vận hành combo đêm full tuần</t>
  </si>
  <si>
    <t>Hoạt động từ 9h00 - 17h30 hàng ngày đón khách. 
Cáp 3 chạy lại đón khách combo đêm liên tục từ 19h00 - 22h30</t>
  </si>
  <si>
    <t>Vận hành hoạt động đón khách từ 8h00 -22h30</t>
  </si>
  <si>
    <t>Tuyến cáp treo số 4</t>
  </si>
  <si>
    <t xml:space="preserve">Hoạt động từ 7h00 - 18h30 hàng ngày.
</t>
  </si>
  <si>
    <t>Hoạt động từ 6h00 - 18h30 hàng ngày đón khách. 
Từ 18h30 - 20h30 sẽ chạy thêm 1 tiếng để đón khách tham quan Cầu Vàng vào ban đêm</t>
  </si>
  <si>
    <t>Vận hành đón CBNV, CNNT từ 7h00 - 8h30 và vận hành đón khách từ 9h30-12h/14h-18h30</t>
  </si>
  <si>
    <t>Vận hành đón CBNV, CNNT từ 7h00 - 8h30 và sau đó chạy đón khách tới 12h00/ buổi chiều vận hành đón khách từ 14h-18h30</t>
  </si>
  <si>
    <t>Vận hành đón CBNV, CNNT từ 7h00 - 8h30 và sau đó chạy đón khách từ  8h30-18h30</t>
  </si>
  <si>
    <t>Tuyến cáp treo số 8</t>
  </si>
  <si>
    <t>Đón khách từ 9h - 12h30 để vận hành đón khách từ tuyến cáp 1</t>
  </si>
  <si>
    <t>Đón khách từ  9h - 12h30 đê vận hành đón khách từ tuyến cáp 1</t>
  </si>
  <si>
    <t>Hoạt động từ 8h - 17h hàng ngày</t>
  </si>
  <si>
    <t>9,5</t>
  </si>
  <si>
    <t>Từ 08h00-18h00</t>
  </si>
  <si>
    <t>8,5</t>
  </si>
  <si>
    <t>Từ 08h00-17h00</t>
  </si>
  <si>
    <t>10,5</t>
  </si>
  <si>
    <t>Từ 08h00-19h00</t>
  </si>
  <si>
    <t>Từ 08h30-19h00</t>
  </si>
  <si>
    <t>IceBall</t>
  </si>
  <si>
    <t>Máng trượt 3</t>
  </si>
  <si>
    <t>Xe điện đụng 2</t>
  </si>
  <si>
    <t>Từ 08h30-17h00</t>
  </si>
  <si>
    <t>7,5</t>
  </si>
  <si>
    <t>Từ 09h00-17h00</t>
  </si>
  <si>
    <t>Từ 9 h đến 17 h</t>
  </si>
  <si>
    <t>Từ 10 h đến 14 h</t>
  </si>
  <si>
    <t xml:space="preserve">Thời gian chạy theo phao nước </t>
  </si>
  <si>
    <t>Từ 16h đến 20 h</t>
  </si>
  <si>
    <t>Sunhome 1</t>
  </si>
  <si>
    <t>Từ 20 h đến 24 h, Nhiệt độ từ 25-29 độ</t>
  </si>
  <si>
    <t>Từ 20 h đến 24 h</t>
  </si>
  <si>
    <t>Từ 18 h đến 20 h</t>
  </si>
  <si>
    <t>Từ 19 h đến 22 h</t>
  </si>
  <si>
    <t>Từ 17 h đến 19 h</t>
  </si>
  <si>
    <t xml:space="preserve">Chạy theo phao </t>
  </si>
  <si>
    <t>Từ 04 h đến 24 h</t>
  </si>
  <si>
    <t>Từ 06 h đến 22 h</t>
  </si>
  <si>
    <t>Từ 05 h đến 23 h</t>
  </si>
  <si>
    <t>Từ 17 h đến 22 h</t>
  </si>
  <si>
    <t>Từ 17 h đến 3 h</t>
  </si>
  <si>
    <t>Sunhome 2</t>
  </si>
  <si>
    <t>Bơm bù áp</t>
  </si>
  <si>
    <t>Sunhome 3</t>
  </si>
  <si>
    <t xml:space="preserve">Máy sấy </t>
  </si>
  <si>
    <t>Từ 17 h đến 21 h</t>
  </si>
  <si>
    <t>Sunhome 4</t>
  </si>
  <si>
    <t>Từ 17 h đến 6h (ngày tiếp theo)</t>
  </si>
  <si>
    <t>Tủ lạnh 120L</t>
  </si>
  <si>
    <t>Từ 0 h đến 24 h</t>
  </si>
  <si>
    <t>Ti vi</t>
  </si>
  <si>
    <t>Hoàng Lan 2</t>
  </si>
  <si>
    <t>Từ 19 h đến 23 h</t>
  </si>
  <si>
    <t>Quạt trần</t>
  </si>
  <si>
    <t>Từ 18 h đến 22 h</t>
  </si>
  <si>
    <t>Đền Trình</t>
  </si>
  <si>
    <t>Chiếu sáng đền Trình</t>
  </si>
  <si>
    <t>Từ 8h đến - 17h</t>
  </si>
  <si>
    <t>Điều hòa đền Trình</t>
  </si>
  <si>
    <t>Từ 8h đến 9h</t>
  </si>
  <si>
    <t>Đền Lĩnh chúa Linh Từ</t>
  </si>
  <si>
    <t>Chiếu sáng đền Lĩnh chúa</t>
  </si>
  <si>
    <t>Máy hút ẩm</t>
  </si>
  <si>
    <t>Từ 8h đến 11h và từ 14h00 tới 17h00</t>
  </si>
  <si>
    <t>Chùa Bắc</t>
  </si>
  <si>
    <t>Từ 0h đến 24</t>
  </si>
  <si>
    <t>Tủ mát 2 cửa</t>
  </si>
  <si>
    <t>Từ 18 h đến 21 h</t>
  </si>
  <si>
    <t>Chiếu sáng nhà ăn và bếp</t>
  </si>
  <si>
    <t>Từ 08 h đến 13h</t>
  </si>
  <si>
    <t>Điều hòa nhà ăn</t>
  </si>
  <si>
    <t>Từ 8h đến 9h, 14h đến 15h, Nhiệt độ từ 25-29 độ</t>
  </si>
  <si>
    <t>Hệ thống hút mùi</t>
  </si>
  <si>
    <t>Từ 8h đến 14h</t>
  </si>
  <si>
    <t>Máy RO</t>
  </si>
  <si>
    <t>Tủ đông 2 cửa</t>
  </si>
  <si>
    <t>Tủ đông 4 cửa</t>
  </si>
  <si>
    <t>Tủ mát 4 cửa</t>
  </si>
  <si>
    <t>Điều Hòa Phòng làm việc</t>
  </si>
  <si>
    <t>Từ 8h đến 9h, 14h đến 15h</t>
  </si>
  <si>
    <t>Máy hấp nướng đa năng</t>
  </si>
  <si>
    <t>Nồi cơm điện</t>
  </si>
  <si>
    <t>Từ 8h đến 10h</t>
  </si>
  <si>
    <t>Bếp từ hâm nóng</t>
  </si>
  <si>
    <t>Từ 10h đến 13h</t>
  </si>
  <si>
    <t>Máy đun nước sôi</t>
  </si>
  <si>
    <t>Từ 8h đến 9h, từ 10h đến 15h</t>
  </si>
  <si>
    <t>Quạt bếp đứng</t>
  </si>
  <si>
    <t>Từ 8h đến 13h, 14h - 17h</t>
  </si>
  <si>
    <t>Quạt tường (nhà ăn)</t>
  </si>
  <si>
    <t>Máy làm đá</t>
  </si>
  <si>
    <t>Máy giặt</t>
  </si>
  <si>
    <t>Từ 15h đến 16h</t>
  </si>
  <si>
    <t>Bếp á 2 họng có quạt thổi</t>
  </si>
  <si>
    <t>Từ 08h đến 14h</t>
  </si>
  <si>
    <t>Quạt tường (khu sơ chế)</t>
  </si>
  <si>
    <t>Bếp Căn tin Sunhome 1</t>
  </si>
  <si>
    <t>Tủ đông</t>
  </si>
  <si>
    <t>Điều hòa kho</t>
  </si>
  <si>
    <t>Máy uống nước</t>
  </si>
  <si>
    <t>Máy đu nước sôi</t>
  </si>
  <si>
    <t>Từ 09h đến 11h và 15h đến  16h</t>
  </si>
  <si>
    <t>Bếp Căn tin Sunhome 3</t>
  </si>
  <si>
    <t>Từ 05 h đến 11h và từ 13h đến  16h</t>
  </si>
  <si>
    <t>Từ 05h30 đến 8h, từ 11h30 đến 13h và từ 17h30 đến 20h</t>
  </si>
  <si>
    <t>Từ 6h đến  8h, từ11h đến 13h và 5h đến 8h</t>
  </si>
  <si>
    <t>Từ10h30 đến 13h và 4h30 đến 8h</t>
  </si>
  <si>
    <t>Từ 9h đến 10h và  2h đến 3h</t>
  </si>
  <si>
    <t>Tủ lưu mẩu</t>
  </si>
  <si>
    <t>Tủ hấp cơm</t>
  </si>
  <si>
    <t>Từ 10h đến 11h và  2h đến 3h</t>
  </si>
  <si>
    <t>Conterner Đông</t>
  </si>
  <si>
    <t>Conterner Mát</t>
  </si>
  <si>
    <t>Bếp từ lớn</t>
  </si>
  <si>
    <t>Từ 05h đến 9h,  từ 14h đến 15h</t>
  </si>
  <si>
    <t xml:space="preserve">Nồi hâm </t>
  </si>
  <si>
    <t>Từ 05h30 đến 8h</t>
  </si>
  <si>
    <t>Từ 17 h đến 21 h, từ 4h30 đến 6h30</t>
  </si>
  <si>
    <t>XV</t>
  </si>
  <si>
    <t>BẾP TAI GA</t>
  </si>
  <si>
    <t xml:space="preserve"> TẦNG 1447</t>
  </si>
  <si>
    <t>Tủ Làm Lạnh Nhanh</t>
  </si>
  <si>
    <t>Kho Mát Trữ Đồ Đã qua Chế Biến</t>
  </si>
  <si>
    <t>24/24</t>
  </si>
  <si>
    <t>Tủ Khử Trùng Dao</t>
  </si>
  <si>
    <t>Từ 9h đến 13h</t>
  </si>
  <si>
    <t>Kho Mát Khu Tinh Chế</t>
  </si>
  <si>
    <t>Bếp Âu 4 Họng</t>
  </si>
  <si>
    <t xml:space="preserve">Nồi Hầm Nghiên </t>
  </si>
  <si>
    <t xml:space="preserve">Bàn Trữ Mát 3 Cánh </t>
  </si>
  <si>
    <t xml:space="preserve">Chảo Nghiên </t>
  </si>
  <si>
    <t>Bếp Á Từ Đôi</t>
  </si>
  <si>
    <t>Bếp Á Từ Đơn</t>
  </si>
  <si>
    <t>Lò Nướng Combi</t>
  </si>
  <si>
    <t>Từ 9h đến 14h</t>
  </si>
  <si>
    <t>Tủ Hấp 3 Tầng</t>
  </si>
  <si>
    <t>Đèn Giữ Nóng Thức Ăn</t>
  </si>
  <si>
    <t>Đèn Diệt Côn Trùng</t>
  </si>
  <si>
    <t>Máy Làm Đá Viên</t>
  </si>
  <si>
    <t>12/24</t>
  </si>
  <si>
    <t>Máy Làm Đá Vảy</t>
  </si>
  <si>
    <t>Tủ Trữ Đông 4 Cánh</t>
  </si>
  <si>
    <t>Kho Mát Khu Salad</t>
  </si>
  <si>
    <t>Máy Rửa Bát Đĩa  Băng Tải</t>
  </si>
  <si>
    <t>Bếp Từ Giữ Nóng Âm Quầy</t>
  </si>
  <si>
    <t>Quầy Phở Đôi</t>
  </si>
  <si>
    <t>Nồi canh Âm Quầy</t>
  </si>
  <si>
    <t xml:space="preserve">Máy Nướng Bánh Mỳ </t>
  </si>
  <si>
    <t>Đèn Chụp Giữ Nóng Thức Ăn</t>
  </si>
  <si>
    <t>Bóng Đèn lết</t>
  </si>
  <si>
    <t>8h-17h</t>
  </si>
  <si>
    <t>Máy slice</t>
  </si>
  <si>
    <t>XVI</t>
  </si>
  <si>
    <t>Bếp Lalavande</t>
  </si>
  <si>
    <t>Từ 8h đến 17h</t>
  </si>
  <si>
    <t xml:space="preserve">Kho đông </t>
  </si>
  <si>
    <t>Tủ đông 3cánh</t>
  </si>
  <si>
    <t>Lò hấp nướng đa năng</t>
  </si>
  <si>
    <t>Máy tính bàn làm việc</t>
  </si>
  <si>
    <t>Máy uống nước 3 chế độ</t>
  </si>
  <si>
    <t>KỊCH BẢN VẬN HÀNH THIẾT BỊ ĐIỆN BÀ NÀ PHÒNG BTXD -NĂM 2024</t>
  </si>
  <si>
    <t xml:space="preserve">HỆ THỐNG ÂM THANH </t>
  </si>
  <si>
    <t xml:space="preserve">Từ 8 h đến 17 h và phụ thuộc vào kế hoạch đón khách của bộ phận vận hành đón khách . </t>
  </si>
  <si>
    <t xml:space="preserve">Từ 8 h đến 21 h 30 và phụ thuộc vào kế hoạch đón khách của bộ phận vận hành đón khách . </t>
  </si>
  <si>
    <t xml:space="preserve">Hệ âm  thanh nhà đón khách </t>
  </si>
  <si>
    <t xml:space="preserve">Từ 8 h đến 17 h 30 và phụ thuộc vào kế hoạch đón khách COMBO đêm từ 19h30 đến 21h 30  của bộ phận vận hành đón khách . </t>
  </si>
  <si>
    <t xml:space="preserve">Hệ âm  thanh Vườn Hội An và Trường Lang </t>
  </si>
  <si>
    <t>Hệ âm  thanh Ga đường dẫn hội chợ Châu Âu.</t>
  </si>
  <si>
    <t xml:space="preserve">Từ 8 h đến 18 h và phụ thuộc vào kế hoạch đón khách của bộ phận vận hành đón khách . </t>
  </si>
  <si>
    <t xml:space="preserve">Hệ thống chiếu sáng Lâu Đài </t>
  </si>
  <si>
    <t xml:space="preserve">Hệ chiếu sáng khu vực nhà GA Cáp Kéo </t>
  </si>
  <si>
    <t>Từ 8 h đến 17 h</t>
  </si>
  <si>
    <t xml:space="preserve">Hệ thống chiếu sáng Tầng L1 </t>
  </si>
  <si>
    <t>Hệ thống chiếu sáng Tầng L2</t>
  </si>
  <si>
    <t>Hệ thống chiếu sáng Tầng L3</t>
  </si>
  <si>
    <t xml:space="preserve">Hệ thống chiếu sáng RẠP Giao Lộ Trăng </t>
  </si>
  <si>
    <t xml:space="preserve">Hệ thống chiếu sáng RẠP Mắt Bay </t>
  </si>
  <si>
    <t>Hệ thống chiếu sáng FEC</t>
  </si>
  <si>
    <t xml:space="preserve">Hệ thống chiếu sáng Tầng B1 </t>
  </si>
  <si>
    <t xml:space="preserve">Từ 7 h30 đến 19 h30 phục vụ combo đêm </t>
  </si>
  <si>
    <t>Hệ thống chiếu sáng Tầng B2</t>
  </si>
  <si>
    <t>Hệ thống chiếu sáng Tầng B3</t>
  </si>
  <si>
    <t>Hệ thống chiếu sáng Vườn Hoa .</t>
  </si>
  <si>
    <t>Đèn pha led rạng đông  100 W</t>
  </si>
  <si>
    <t>Từ 18 h00 đến 20 h00</t>
  </si>
  <si>
    <t>Đèn Vườn Bí ẩn  LEBURIED LAMP 3W</t>
  </si>
  <si>
    <t>Đèn Vườn Thần Thoại LEBURIED LAMP 6W</t>
  </si>
  <si>
    <t xml:space="preserve">Hệ thống chiếu sáng Cầu Vàng </t>
  </si>
  <si>
    <t>Hệ thống chiếu sáng đèn TABLED UNNDER 3W</t>
  </si>
  <si>
    <t>Từ 18 h00 đến 23 h00</t>
  </si>
  <si>
    <t>Đèn pha chiếu điểm bàn tay LED RANG ĐONG 50W</t>
  </si>
  <si>
    <t xml:space="preserve">Hệ thống chiếu sáng sân vườn Nhà Điều Hành </t>
  </si>
  <si>
    <t>Hệ thống chiếu sáng sân vườn Nhà Điều Hành</t>
  </si>
  <si>
    <t xml:space="preserve">Hệ thống chiếu sáng Bãi Xe 3.5ha </t>
  </si>
  <si>
    <t xml:space="preserve">Hệ thống chiếu sáng Bãi Xe 10ha </t>
  </si>
  <si>
    <t xml:space="preserve">Hệ thống chiếu sáng Vườn Hoa Mỏ Rộng </t>
  </si>
  <si>
    <t>Hệ thống chiếu  sáng Cầu Kính Vạn Hoa .</t>
  </si>
  <si>
    <t>Từ 18 h00 đến 21 h00</t>
  </si>
  <si>
    <t xml:space="preserve">Hệ thống chiếu  sáng sân Khấu </t>
  </si>
  <si>
    <t xml:space="preserve">Hệ thống chiếu  sáng sân Vườn </t>
  </si>
  <si>
    <t xml:space="preserve">Hệ thống chiếu sáng công cộng FAÇADE </t>
  </si>
  <si>
    <t>Hệ thống chiếu sáng Tủ DB-B5-01</t>
  </si>
  <si>
    <t>Hệ thống chiếu sáng Tủ DB-B1-01</t>
  </si>
  <si>
    <t>Hệ thống chiếu sáng Tủ DB-B1-05</t>
  </si>
  <si>
    <t>Hệ thống chiếu sáng Tủ DB-B2-01</t>
  </si>
  <si>
    <t>Hệ thống chiếu sáng Tủ DB-B3-01</t>
  </si>
  <si>
    <t>Hệ thống chiếu sáng Tủ DB-B6-E01</t>
  </si>
  <si>
    <t>Hệ thống chiếu sáng Tủ DB-B7A-E02</t>
  </si>
  <si>
    <t>Hệ thống chiếu sáng Tủ DB-B7A-E01</t>
  </si>
  <si>
    <t>Hệ thống chiếu sáng Tủ DB-B13-01</t>
  </si>
  <si>
    <t>Hệ thống chiếu sáng Tủ DB-B11-01</t>
  </si>
  <si>
    <t>Hệ thống chiếu sáng Tủ DB-B9-01</t>
  </si>
  <si>
    <t>Hệ thống chiếu sáng Tủ DB-B10-01</t>
  </si>
  <si>
    <t>Hệ thống chiếu sáng Tủ DB-B7-B</t>
  </si>
  <si>
    <t>Hệ thống chiếu sáng Tủ DB-SW283-LS</t>
  </si>
  <si>
    <t>Hệ thống chiếu sáng Tủ DB-B7-C</t>
  </si>
  <si>
    <t>Hệ thống chiếu sáng Tủ DB-B12-01</t>
  </si>
  <si>
    <t>Hệ thống chiếu sáng Tủ DB-B8-01</t>
  </si>
  <si>
    <t>Hệ thống chiếu sáng Tủ DB-B4-01</t>
  </si>
  <si>
    <t>Hệ thống chiếu sáng Tủ DB-B14-01</t>
  </si>
  <si>
    <t xml:space="preserve">Hệ thống đài phun nước Quảng Trường </t>
  </si>
  <si>
    <t>Bơm vòng ngoài  SILEIDA
GB/T25409-2010 2.2 kw</t>
  </si>
  <si>
    <t>Từ 6h30 h đến 22 h</t>
  </si>
  <si>
    <t>Bơm vòng giữa SILEIDA
GB/T25409-2010 2.2 kw</t>
  </si>
  <si>
    <t>Bơm phun sương SILADA 1.2 kw</t>
  </si>
  <si>
    <t>Hệ thống HEAT PUMP</t>
  </si>
  <si>
    <t xml:space="preserve">Hệ thống HEATPUMP Lâu Đài . </t>
  </si>
  <si>
    <t xml:space="preserve">Vận hành  theo cảm biến nhiệt độ trong hệ thống và phụ thuộc vào lượng sử dụng trong ngày </t>
  </si>
  <si>
    <t>Hệ thống HEATPUMP LA LAVENDER</t>
  </si>
  <si>
    <t>Vận hành  theo cảm biến nhiệt độ trong hệ thống và phụ thuộc vào lượng sử dụng trong ngày ( HỆ THỐNG ĐANG DỪNG HOẠT ĐỘNG DO NHÀ HÀNG ĐÓNG CỬA )</t>
  </si>
  <si>
    <t>Hệ thống HEATPUMP ARAPANG</t>
  </si>
  <si>
    <t xml:space="preserve">Đài phun nước GA1 </t>
  </si>
  <si>
    <t>Bơm  UNDER WETER PUMPS 2.2 kw</t>
  </si>
  <si>
    <t>Bơm  UNDER WETER PUMPS 3.0 kw</t>
  </si>
  <si>
    <t>Bơm  UNDER WETER PUMPS 4.0 kw</t>
  </si>
  <si>
    <t xml:space="preserve"> Hệ thống CHILLER</t>
  </si>
  <si>
    <t xml:space="preserve">Từ 9 h đến 16 h và phụ thuộc vào thời tiết .  Nhiệt độ nước đầu ra 10 độ </t>
  </si>
  <si>
    <t xml:space="preserve">Hệ thống bơm lọc cá KOI . </t>
  </si>
  <si>
    <t>Bơm thổI KHÍ   EVAK 2.2kw</t>
  </si>
  <si>
    <t xml:space="preserve">chạy luôn phiên theo thời gian </t>
  </si>
  <si>
    <t>Bơm LUỒN  EVAKA 5.5</t>
  </si>
  <si>
    <t>Chạy 5 tiếng nghĩ 30phut</t>
  </si>
  <si>
    <t>Bơm  GRUNDFOS 1.1kw</t>
  </si>
  <si>
    <t xml:space="preserve">Chạy 8h đến 18h </t>
  </si>
  <si>
    <t xml:space="preserve">Bơm tuần hoàn  GRUNDFOS 30kw </t>
  </si>
  <si>
    <t xml:space="preserve">Chạy luân phiên mỗi con chạy 2 tiếng đảo bơm </t>
  </si>
  <si>
    <t>Bơm bơm tuần hoàn  EVAK 5.5kw</t>
  </si>
  <si>
    <t>8h30-16h30</t>
  </si>
  <si>
    <t>17h-8h</t>
  </si>
  <si>
    <t>10-14h</t>
  </si>
  <si>
    <t>10h-15h</t>
  </si>
  <si>
    <t>10h-15h
Nhiệt độ từ 25-29 độ</t>
  </si>
  <si>
    <t>10h15-15h15</t>
  </si>
  <si>
    <t>10h-14h</t>
  </si>
  <si>
    <t>9h-15h</t>
  </si>
  <si>
    <t>8h30-16h30
Nhiệt độ từ 25 đến 29 độ</t>
  </si>
  <si>
    <t>8h30-16h00</t>
  </si>
  <si>
    <t>9h-16h</t>
  </si>
  <si>
    <t>GÀ RÁN KIOSK 5 CARNIVAL</t>
  </si>
  <si>
    <t>BUGER KIOSK 6 CARNVAL</t>
  </si>
  <si>
    <t>24/25</t>
  </si>
  <si>
    <t>9h-21h</t>
  </si>
  <si>
    <t>17h-08h</t>
  </si>
  <si>
    <t>10h30-15h00</t>
  </si>
  <si>
    <t>10h30-15h00
Nhiệt độ từ 25 đến 29 độ</t>
  </si>
  <si>
    <t>10h00-16h00</t>
  </si>
  <si>
    <t>Nhà hàng 4 Mùa</t>
  </si>
  <si>
    <t>Mùa Hạ</t>
  </si>
  <si>
    <t>Máy làm đá viên công suất tối đa 640 kg kèm thùng</t>
  </si>
  <si>
    <t>3.365</t>
  </si>
  <si>
    <t>Máy làm đá vảy công suất tối đa 600 kg kèm thùng</t>
  </si>
  <si>
    <t>.2</t>
  </si>
  <si>
    <t>Bình đun nước sôi 100L</t>
  </si>
  <si>
    <t>9</t>
  </si>
  <si>
    <t>Tủ trữ mát 2 cánh kính</t>
  </si>
  <si>
    <t>3.74</t>
  </si>
  <si>
    <t>Bàn trữ mát 3 cánh</t>
  </si>
  <si>
    <t>2.4</t>
  </si>
  <si>
    <t>Bình đun nước sôi có vòi trên bàn</t>
  </si>
  <si>
    <t>3.6</t>
  </si>
  <si>
    <t>5</t>
  </si>
  <si>
    <t>Máy rửa bát cửa sập</t>
  </si>
  <si>
    <t>0.83</t>
  </si>
  <si>
    <t>Máy Nén khí</t>
  </si>
  <si>
    <t>Máy Sunquick 2 hộc</t>
  </si>
  <si>
    <t>Máy Sunquick 3 hộc</t>
  </si>
  <si>
    <t>Hệ Thống Thang Cuốn</t>
  </si>
  <si>
    <t>Hệ Thống Thang máy</t>
  </si>
  <si>
    <t>Mùa Thu</t>
  </si>
  <si>
    <t>3.366</t>
  </si>
  <si>
    <t>.3</t>
  </si>
  <si>
    <t>Máy làm đá vảy công suất tối đa 1150kg kèm thùng</t>
  </si>
  <si>
    <t>1.6</t>
  </si>
  <si>
    <t>1.7</t>
  </si>
  <si>
    <t>10</t>
  </si>
  <si>
    <t>Tủ trữ mát đứng 2 cánh inox nhỏ</t>
  </si>
  <si>
    <t>2.5</t>
  </si>
  <si>
    <t>3.7</t>
  </si>
  <si>
    <t>6</t>
  </si>
  <si>
    <t>0.84</t>
  </si>
  <si>
    <t>Mùa Đông</t>
  </si>
  <si>
    <t>Mùa Kho Nhập Thực</t>
  </si>
  <si>
    <t>8h00-12h00</t>
  </si>
  <si>
    <t>08h30-13h30</t>
  </si>
  <si>
    <t>08h30-14h30</t>
  </si>
  <si>
    <t>8h00-12h30</t>
  </si>
  <si>
    <t>8h00-13h00</t>
  </si>
  <si>
    <t>8h00-14h00</t>
  </si>
  <si>
    <t>8h00-14h30</t>
  </si>
  <si>
    <t>8h00-15h00</t>
  </si>
  <si>
    <t>8h00-17h00</t>
  </si>
  <si>
    <t>13h00-17h00</t>
  </si>
  <si>
    <t>09h00-14h00</t>
  </si>
  <si>
    <t>8h00-16h00</t>
  </si>
  <si>
    <t>08h-23h00</t>
  </si>
  <si>
    <t>8h00-11h00</t>
  </si>
  <si>
    <t>12h00-17h00</t>
  </si>
  <si>
    <t>9h00-16h00</t>
  </si>
  <si>
    <t>11h00-20h</t>
  </si>
  <si>
    <t>08h-10h00</t>
  </si>
  <si>
    <t>8h00-10h00</t>
  </si>
  <si>
    <t>9h00-11h00</t>
  </si>
  <si>
    <t>18h-06h00</t>
  </si>
  <si>
    <t>8h00-9h00</t>
  </si>
  <si>
    <t>08h-16h00</t>
  </si>
  <si>
    <t>08h-24h00</t>
  </si>
  <si>
    <t>Máy xông khói REICH</t>
  </si>
  <si>
    <t>Máy bắn viên</t>
  </si>
  <si>
    <t>8h00-9h30</t>
  </si>
  <si>
    <t>8h00-10h30</t>
  </si>
  <si>
    <t>Từ 8h00 đến 19h30</t>
  </si>
  <si>
    <t xml:space="preserve">Thang thùng cổng thành </t>
  </si>
  <si>
    <t>Từ 8h00 đến 18h00</t>
  </si>
  <si>
    <t>Vận hành từ: 9h-12h/14h-17h00</t>
  </si>
  <si>
    <t>Vận hành từ: 9h- 12h30/14h-17h30</t>
  </si>
  <si>
    <t>Đón khách từ 10h - 12h30/ 14h - 17h30</t>
  </si>
  <si>
    <t xml:space="preserve">Chạy nhân viên vận hành  </t>
  </si>
  <si>
    <t>Từ 9h00 đến 17h30/       19h00 - 22h30</t>
  </si>
  <si>
    <t>Từ 9h00 đến 17h30/       19h00 - 22h00</t>
  </si>
  <si>
    <t>Từ 8h00 đến 17h00</t>
  </si>
  <si>
    <t>Từ 8h00 đến 12h00</t>
  </si>
  <si>
    <t>Từ 9h00 đến 17h00</t>
  </si>
  <si>
    <t>Từ 7h00 đến 18h30</t>
  </si>
  <si>
    <t>Từ 8h00 đến 18h30</t>
  </si>
  <si>
    <t>Từ 6h00 đến 19h30</t>
  </si>
  <si>
    <t>Vận hành đón CBNV từ: 7h00 - 8h30                Vận hành đón khách từ 9h30-12h00/14h-17h00</t>
  </si>
  <si>
    <t>Vận hành từ: 7h-12h00/ 14h00-18h30</t>
  </si>
  <si>
    <t>Thang cuốn Nhà hàng trung Quốc( vận hành đón khách đi tham quan Cầu Vàng từ 6h00 - 8h00, đón khách mua vé chơi Máng trượt từ 8h00 - 17h00, và đón khách đi cầu Vàng vào ga 12 từ 17h00 - 19h30)</t>
  </si>
  <si>
    <t>Thất</t>
  </si>
  <si>
    <t>Duy Anh</t>
  </si>
  <si>
    <t>7h30 - 22h30</t>
  </si>
  <si>
    <t>- Đối với mùa nắng từ tháng 3 - 9 vận hành 5.5 giờ từ 17h00 - 22h30.
'- Đối với mừa đông tháng 10 - 12 vận hành 15 giờ từ 7h30 - 22h30</t>
  </si>
  <si>
    <t>9h00 - 12h00/                     14h00 - 17h00</t>
  </si>
  <si>
    <t>10h00 - 12h30</t>
  </si>
  <si>
    <t>10h00 - 12h30/                     14h00 - 17h00</t>
  </si>
  <si>
    <t>09h00 - 12h30</t>
  </si>
  <si>
    <t>5h00 - 22h30</t>
  </si>
  <si>
    <t>8h00 - 17h00</t>
  </si>
  <si>
    <t>- Đối với mùa đông từ tháng 11 - 12 không vận hành.</t>
  </si>
  <si>
    <t>7h00 - 17h30</t>
  </si>
  <si>
    <t>KỊCH BẢN VẬN HÀNH THIẾT BỊ ĐIỆN BẾP BÀ NÀ NĂM 2024_BẾP</t>
  </si>
  <si>
    <t>BẾP ARAPANG</t>
  </si>
  <si>
    <t>I.1</t>
  </si>
  <si>
    <t>Từ10hđến 14h</t>
  </si>
  <si>
    <t>Từ 8h30 đến 16h30</t>
  </si>
  <si>
    <t>Tủ đông Sanaky</t>
  </si>
  <si>
    <t>10h-16h</t>
  </si>
  <si>
    <t>Lò Nướng đa Năng</t>
  </si>
  <si>
    <t>8h đến 13h</t>
  </si>
  <si>
    <t>I.2</t>
  </si>
  <si>
    <t>Từ10hđến 16h</t>
  </si>
  <si>
    <t>Từ10hđến 15h</t>
  </si>
  <si>
    <t>Lò nướng đa năng</t>
  </si>
  <si>
    <t>I.3</t>
  </si>
  <si>
    <t>Lò Chiên nhúng 2 học</t>
  </si>
  <si>
    <t>Tủ Hấp Cơm</t>
  </si>
  <si>
    <t>8h đến 14h</t>
  </si>
  <si>
    <t>Lò Nướng Đa Năng</t>
  </si>
  <si>
    <t>Tủ đông Sanaky 2 cánh</t>
  </si>
  <si>
    <t>Tủ giữ nóng mặt gương</t>
  </si>
  <si>
    <t>Tủ Lưu Mẫu BIOBASE</t>
  </si>
  <si>
    <t>Tủ Mát Sanaky mặt gương 2 cánh</t>
  </si>
  <si>
    <t>Tủ Mát BERYAYA Mặt Gương</t>
  </si>
  <si>
    <t>I.4</t>
  </si>
  <si>
    <t>Từ 8h30 đến 15h 30</t>
  </si>
  <si>
    <t>Bàn bếp hâm nóng 4 học</t>
  </si>
  <si>
    <t>Tủ Hấp cơm</t>
  </si>
  <si>
    <t>I.5</t>
  </si>
  <si>
    <t>Tủ Đong Sanaky 3 cánh</t>
  </si>
  <si>
    <t>Tủ Đong Sanaky 2 cánh</t>
  </si>
  <si>
    <t>Máy Làm đá MVSOTSMAN</t>
  </si>
  <si>
    <t>BẾP ĐIỂM BÁN</t>
  </si>
  <si>
    <t>II.1</t>
  </si>
  <si>
    <t>FEC 2 - TAIGA KHO SƠ CHẾ</t>
  </si>
  <si>
    <t>KHU LỄ HỘI</t>
  </si>
  <si>
    <t>Từ14…h đến16 …h</t>
  </si>
  <si>
    <t>BẾP SUNBURN</t>
  </si>
  <si>
    <t xml:space="preserve">Tủ Trưng bày </t>
  </si>
  <si>
    <t>Nướng Bề Mặt Salamander</t>
  </si>
  <si>
    <t>II.4</t>
  </si>
  <si>
    <t>MORIN TẦNG 1</t>
  </si>
  <si>
    <t>MORIN TẦNG 2 ( U TUYẾT )</t>
  </si>
  <si>
    <t xml:space="preserve">Lò hấp </t>
  </si>
  <si>
    <t>Máy trộn  54kg</t>
  </si>
  <si>
    <t>10h-12h00</t>
  </si>
  <si>
    <t>6h</t>
  </si>
  <si>
    <t>II.5</t>
  </si>
  <si>
    <t>BẾP MR CƠM</t>
  </si>
  <si>
    <t>24/29</t>
  </si>
  <si>
    <t>SUNBUNS VẠN HOA</t>
  </si>
  <si>
    <t>10h00-14h00</t>
  </si>
  <si>
    <t>10h00-12h01</t>
  </si>
  <si>
    <t>Chiên nhúng đơn</t>
  </si>
  <si>
    <t>10h00-12h02</t>
  </si>
  <si>
    <t xml:space="preserve">Bếp chiên phẳng mặt nhiệt </t>
  </si>
  <si>
    <t>KHU LÂU ĐÀI</t>
  </si>
  <si>
    <t>KHU KAVKAZ</t>
  </si>
  <si>
    <t>Lò nướng đối lưu 8 khay 600*400 + khung đỡ</t>
  </si>
  <si>
    <t>11h-14h</t>
  </si>
  <si>
    <t>10h-12h</t>
  </si>
  <si>
    <t xml:space="preserve">Bếp từ đôi Sanaky  SNK- 202 HWG b10 </t>
  </si>
  <si>
    <t>Tủ đông Sanaky 3 cánh</t>
  </si>
  <si>
    <t xml:space="preserve">Tủ mát 3 cánh </t>
  </si>
  <si>
    <t>BẾP BRASSERI</t>
  </si>
  <si>
    <t>Từ08…h đến16h</t>
  </si>
  <si>
    <t>Từ08…h đến18h</t>
  </si>
  <si>
    <t>Từ08…h đến10h</t>
  </si>
  <si>
    <t>Tủ lưu mẫu</t>
  </si>
  <si>
    <t xml:space="preserve">Lò nướng 3 tầng </t>
  </si>
  <si>
    <t>Tủ mát 2 cánh turbo air</t>
  </si>
  <si>
    <t>Tủ sấy dao</t>
  </si>
  <si>
    <t>Bếp nướng 2 mặt</t>
  </si>
  <si>
    <t xml:space="preserve">Đèn hâm nóng </t>
  </si>
  <si>
    <t>Đèn led chiếu sáng</t>
  </si>
  <si>
    <t>0.2</t>
  </si>
  <si>
    <t>BẾP TẦNG 2 B12</t>
  </si>
  <si>
    <t>Tủ đông 6 cánh turbo air</t>
  </si>
  <si>
    <t>Tủ lạnh 6 cánh turbo air</t>
  </si>
  <si>
    <t>Tủ mát  4 cánh coolheat</t>
  </si>
  <si>
    <t>Tủ đông 2 cánh SÂNKY</t>
  </si>
  <si>
    <t>Bếp chiên nhúng 2 hộc b10</t>
  </si>
  <si>
    <t xml:space="preserve">Bếp hồng ngoại đơn quầy bánh mì Pháp </t>
  </si>
  <si>
    <t>Lò nướng 3 tầng Berjaya b10</t>
  </si>
  <si>
    <t>Tủ đông 4 cánh Freezer Berjaya b10</t>
  </si>
  <si>
    <t>Máy đánh trứng berjaya 10L b10</t>
  </si>
  <si>
    <t>Từ 8 hđến 16h</t>
  </si>
  <si>
    <t>Lò u bánh Berjaya b10</t>
  </si>
  <si>
    <t>Từ8hđến 16h</t>
  </si>
  <si>
    <t xml:space="preserve">Lò nướng Chanmac b10 </t>
  </si>
  <si>
    <t>Lò nướng 36kw b10 MODEL TS 3012-AS-18-3ST-3BS</t>
  </si>
  <si>
    <t>Máy đánh bột  Spiral Mixer  b10 50L- 25KG bột 2800-3600W</t>
  </si>
  <si>
    <t>Máy đánh kem Chanmag bakery b10 MODEL CM401- 380v- 1125 KW</t>
  </si>
  <si>
    <t>Máy đánh kem Bakery Mixer b10- bột 5kg 220- 240 V</t>
  </si>
  <si>
    <t xml:space="preserve">Kho lạnh </t>
  </si>
  <si>
    <t xml:space="preserve">Quạt treo tường ASIA </t>
  </si>
  <si>
    <t xml:space="preserve"> Máy laptop HP</t>
  </si>
  <si>
    <t>Từ 8 hđến 10h</t>
  </si>
  <si>
    <t>Máy tính bàn HP</t>
  </si>
  <si>
    <t>Tủ đông 2 cánh Taiga</t>
  </si>
  <si>
    <t>Tủ lạnh 4 cánh Freezer Berjaya Taiga</t>
  </si>
  <si>
    <t xml:space="preserve">Tủ mát 4 cánh Berjaya b10 </t>
  </si>
  <si>
    <t>Lò vi sóng Electrolux</t>
  </si>
  <si>
    <t>Từ 8 hđến 12h</t>
  </si>
  <si>
    <t>Từ 8 hđến 14h</t>
  </si>
  <si>
    <t>Từ 8 hđến 16 h</t>
  </si>
  <si>
    <t>Từ 8 hđến 17 h</t>
  </si>
  <si>
    <t>Máy đánh trứng KOLB B10</t>
  </si>
  <si>
    <t>Từ 8 hđến 17h</t>
  </si>
  <si>
    <t>Từ 8 hđến 18h</t>
  </si>
  <si>
    <t>Từ 8 hđến 19h</t>
  </si>
  <si>
    <t>Máy cắt bánh mì Sanwich Ubaoda</t>
  </si>
  <si>
    <t>tủ lạnh 2 cánh Sanaky b10</t>
  </si>
  <si>
    <t>Máy điều hoà Misiitsubishi model SRK09CRR - S5 B10</t>
  </si>
  <si>
    <t xml:space="preserve">Tủ lạnh nằm 2 cánh  Taiga </t>
  </si>
  <si>
    <t>Tủ lạnh 4 cánh màu xam Beer tầng 2</t>
  </si>
  <si>
    <t xml:space="preserve">Tủ lạnh 2 cánh màu trắng Beer tầng 1 </t>
  </si>
  <si>
    <t>Tủ lạnh 2 cánh màu trắng Arapang  tầng 2,3</t>
  </si>
  <si>
    <t>BẾP BEER PLAZA</t>
  </si>
  <si>
    <t>Từ…14hđến 16…h</t>
  </si>
  <si>
    <t>Bếp nghiên xào đa năng</t>
  </si>
  <si>
    <t xml:space="preserve">từ 8h đến 17h </t>
  </si>
  <si>
    <t>Bếp chảo nghiêng Fagor 18</t>
  </si>
  <si>
    <t>từ 9h đến 13h</t>
  </si>
  <si>
    <t>Tủ lưu mẫu hiệu biobse</t>
  </si>
  <si>
    <t>BẾP TAIGA</t>
  </si>
  <si>
    <t>VI.1</t>
  </si>
  <si>
    <t>TẦNG 1439</t>
  </si>
  <si>
    <t xml:space="preserve">Cân Sàn </t>
  </si>
  <si>
    <t xml:space="preserve">Kho Mát Rác Ướt </t>
  </si>
  <si>
    <t xml:space="preserve">Đèn Diệt Côn Trùng </t>
  </si>
  <si>
    <t>Điều Hòa Không Khí (2,2 kw)</t>
  </si>
  <si>
    <t>8h-15h</t>
  </si>
  <si>
    <t>Tủ Khữ Trùng Dao</t>
  </si>
  <si>
    <t>Chảo Nghiên 22.5kw</t>
  </si>
  <si>
    <t>Máy Cưa xương 400kw</t>
  </si>
  <si>
    <t>Máy Xay Thịt 550kw</t>
  </si>
  <si>
    <t>Máy Đánh Sốt 110kw</t>
  </si>
  <si>
    <t>Tủ Sấy Thớt 360kw</t>
  </si>
  <si>
    <t>Từ 9h đến 15h</t>
  </si>
  <si>
    <t>Bóng Đèn Tuýp Đơn</t>
  </si>
  <si>
    <t>VI.2</t>
  </si>
  <si>
    <t>TẦNG 1442</t>
  </si>
  <si>
    <t>Điều Hòa Không Khí</t>
  </si>
  <si>
    <t>Kho trữ Mát Rau Sau SC</t>
  </si>
  <si>
    <t>Kho trữ Mát salad</t>
  </si>
  <si>
    <t>Bếp Chiên Nhúng đôi</t>
  </si>
  <si>
    <t>Bàn Trữ Mát 3 Cánh 3.4kw</t>
  </si>
  <si>
    <t>Bếp Rán Phẳng Đôi</t>
  </si>
  <si>
    <t>Quầy Giữ Nóng Cửa Trượt</t>
  </si>
  <si>
    <t>Tủ Trữ Đông 2 Cánh</t>
  </si>
  <si>
    <t>Tủ Trữ Mát 4 Cánh</t>
  </si>
  <si>
    <t>Bếp Teppanyaky</t>
  </si>
  <si>
    <t>Nướng Than Nhân Tạo</t>
  </si>
  <si>
    <t xml:space="preserve">Bếp Hấp Bánh Cuốn </t>
  </si>
  <si>
    <t>Nồi Súp Âm Quầy</t>
  </si>
  <si>
    <t>Bóng Đèn Tuýp Đôi</t>
  </si>
  <si>
    <t>VI.3</t>
  </si>
  <si>
    <t>TẦNG 1447</t>
  </si>
  <si>
    <t xml:space="preserve">Bếp Chiên Nhúng Đôi </t>
  </si>
  <si>
    <t>Xe Giữ Lạnh Thức Ăn</t>
  </si>
  <si>
    <t>Điều Hòa Không Khí Lớn</t>
  </si>
  <si>
    <t>Điều Hòa Không Khí Nhỏ</t>
  </si>
  <si>
    <t>Xe Giữ Nóng Thức Ăn</t>
  </si>
  <si>
    <t>Xe Giữ Nóng Thức Ăn 4 Hộc</t>
  </si>
  <si>
    <t>Bếp Nướng Than Nhân Tạo</t>
  </si>
  <si>
    <t>Từ 9h đến 17h</t>
  </si>
  <si>
    <t>Máy xay Hành, Tỏi</t>
  </si>
  <si>
    <t>Máy Xay Sinh Tố</t>
  </si>
  <si>
    <t>Máy Xay Cầm Tay Robot</t>
  </si>
  <si>
    <t>máy Vắt Chanh</t>
  </si>
  <si>
    <t>TẦNG 1452</t>
  </si>
  <si>
    <t>Xe Giữ Nóng thức ăn</t>
  </si>
  <si>
    <t>Bình Đun Nước Sôi</t>
  </si>
  <si>
    <t>Từ11h đến15h</t>
  </si>
  <si>
    <t>Từ8h đến17h</t>
  </si>
  <si>
    <t>SuShi</t>
  </si>
  <si>
    <t xml:space="preserve">Bếp Á Từ đơn </t>
  </si>
  <si>
    <t xml:space="preserve">Bếp nhúng mỳ </t>
  </si>
  <si>
    <t xml:space="preserve"> Bếp từ đơn âm quầy</t>
  </si>
  <si>
    <t xml:space="preserve">Bàn trữ đông 3 cánh </t>
  </si>
  <si>
    <t>từ 8h30 đến 9h30</t>
  </si>
  <si>
    <t>từ 8h30 đến 10h30</t>
  </si>
  <si>
    <t xml:space="preserve">Tủ mát trưng bày sushi </t>
  </si>
  <si>
    <t>từ 8h30 đến 16h30</t>
  </si>
  <si>
    <t xml:space="preserve">Đèn giữ nóng </t>
  </si>
  <si>
    <t>từ 10h30 đến 15h30h</t>
  </si>
  <si>
    <t>Lò  vi sóng</t>
  </si>
  <si>
    <t xml:space="preserve"> Đèn diệt côn trùng </t>
  </si>
  <si>
    <t>Tủ trữ đông 2 cánh</t>
  </si>
  <si>
    <t>Gà Rán</t>
  </si>
  <si>
    <t xml:space="preserve"> Tủ trữ mát 4 cánh </t>
  </si>
  <si>
    <t xml:space="preserve">Bàn trữ mát 2 cánh </t>
  </si>
  <si>
    <t>Lò chiên nhúng 2 hộc</t>
  </si>
  <si>
    <t>Mặt nướng phẳng</t>
  </si>
  <si>
    <t>từ 10h30 đến 16h30h</t>
  </si>
  <si>
    <t xml:space="preserve">Bàn trữ đông 2 cánh </t>
  </si>
  <si>
    <t xml:space="preserve"> Tủ trữ mát 2 cánh </t>
  </si>
  <si>
    <t>Lò Nướng</t>
  </si>
  <si>
    <t>Browny chicken</t>
  </si>
  <si>
    <t>Tủ mát 2 cánh sấy gà vịt</t>
  </si>
  <si>
    <t>Bàn lạnh để giữ lạnh rau củ</t>
  </si>
  <si>
    <t>Bếp lẩu ROSA tầng 2</t>
  </si>
  <si>
    <t>Nồi hầm 300L</t>
  </si>
  <si>
    <t>từ 10h đến 12h</t>
  </si>
  <si>
    <t>từ 10h đến 14h</t>
  </si>
  <si>
    <t>Bếp Âu 4 họng</t>
  </si>
  <si>
    <t>Bếp nhúng mỳ</t>
  </si>
  <si>
    <t>Kho Mát Rau Củ</t>
  </si>
  <si>
    <t xml:space="preserve"> Mặt bàn Tủ trữ mát 2 cánh </t>
  </si>
  <si>
    <t xml:space="preserve"> Tủ tiệt trùng dao </t>
  </si>
  <si>
    <t xml:space="preserve"> 10h30 đến 16h30h</t>
  </si>
  <si>
    <t>10h30 đến 16h30h</t>
  </si>
  <si>
    <t>Máy rửa bát băng tải có khoang sấy</t>
  </si>
  <si>
    <t xml:space="preserve"> Tủ mát trưng bày salad</t>
  </si>
  <si>
    <t xml:space="preserve"> Tủ mát trưng bày hải sản</t>
  </si>
  <si>
    <t xml:space="preserve">Tủ mát trưng bày thịt </t>
  </si>
  <si>
    <t xml:space="preserve"> Tủ mát trưng bày bún, miến </t>
  </si>
  <si>
    <t>Bếp lẩu ROSA tầng 3</t>
  </si>
  <si>
    <t xml:space="preserve">Bếp thấp từ đơn </t>
  </si>
  <si>
    <t>8H00-17H00</t>
  </si>
  <si>
    <t xml:space="preserve"> Tủ  trữ mát 2 cánh </t>
  </si>
  <si>
    <t>Bếp lẩu ROSA tầng 4</t>
  </si>
  <si>
    <t>NHÀ HÀNG 4 MÙA</t>
  </si>
  <si>
    <t>KHU RÁC KHÔ</t>
  </si>
  <si>
    <t>Đèn diệt côn trùng</t>
  </si>
  <si>
    <t>KHU RÁC ƯỚT</t>
  </si>
  <si>
    <t>Kho mát rác</t>
  </si>
  <si>
    <t>10-12h</t>
  </si>
  <si>
    <t>Hệ thống lạnh kho mát 1404-WGB-001</t>
  </si>
  <si>
    <t>KHU RỬA THÙNG RÁC</t>
  </si>
  <si>
    <t>Cân sàn</t>
  </si>
  <si>
    <t>Máy trộn bột để bàn</t>
  </si>
  <si>
    <t>Máy làm lạnh nước</t>
  </si>
  <si>
    <t>Máy cán bột</t>
  </si>
  <si>
    <t>Máy chia bột</t>
  </si>
  <si>
    <t>11h00-12h00</t>
  </si>
  <si>
    <t>Tủ ủ bột</t>
  </si>
  <si>
    <t>Lò nướng 3 tầng, 6 khay</t>
  </si>
  <si>
    <t>Lò nướng trục xoay</t>
  </si>
  <si>
    <t>Bàn trữ đông 3 cánh</t>
  </si>
  <si>
    <t>Máy làm tan sô cô la</t>
  </si>
  <si>
    <t>Chiên nhúng đôi</t>
  </si>
  <si>
    <t>Máy làm lạnh nhanh</t>
  </si>
  <si>
    <t>Máy làm kem</t>
  </si>
  <si>
    <t>BẾP NẤU CHÈ</t>
  </si>
  <si>
    <t>Kho mát chè</t>
  </si>
  <si>
    <t>Tủ hấp 14 khay</t>
  </si>
  <si>
    <t>Nồi hầm nghiêng 300L</t>
  </si>
  <si>
    <t>KHU RỬA DỤNG CỤ</t>
  </si>
  <si>
    <t>Máy rửa dụng cụ</t>
  </si>
  <si>
    <t>KHU RÁC TẠM</t>
  </si>
  <si>
    <t>SẢNH NHẬP HÀNG</t>
  </si>
  <si>
    <t>KHU LÀM ĐÁ</t>
  </si>
  <si>
    <t>Máy làm đá viên công suất tối đa 640 kg/ngày kèm thùng</t>
  </si>
  <si>
    <t>Máy làm đá vảy công suất tối đa 1150kg/ngày kèm thùng</t>
  </si>
  <si>
    <t>PHÒNG THAY ỦNG, TẠP DỀ</t>
  </si>
  <si>
    <t>Tủ khử ủng và tạp dề</t>
  </si>
  <si>
    <t>KHO ĐỒ KHÔ</t>
  </si>
  <si>
    <t>KHU SƠ CHẾ RAU</t>
  </si>
  <si>
    <t>Máy rửa rau củ 300L</t>
  </si>
  <si>
    <t xml:space="preserve">Máy hút chân không </t>
  </si>
  <si>
    <t>KHO MÁT RAU</t>
  </si>
  <si>
    <t>Kho mát rau</t>
  </si>
  <si>
    <t>Hệ thống lạnh kho mát</t>
  </si>
  <si>
    <t xml:space="preserve">KHO MÁT TRỨNG, BƠ, SỮA </t>
  </si>
  <si>
    <t>Kho mát trứng,bơ, sữa</t>
  </si>
  <si>
    <t>Hệ thống lạnh kho mát 1412-DCH-001</t>
  </si>
  <si>
    <t>KHO ĐÔNG NƯỚC DÙNG</t>
  </si>
  <si>
    <t>Kho đông nước dùng</t>
  </si>
  <si>
    <t>Hệ thống lạnh kho đông</t>
  </si>
  <si>
    <t>PHÒNG TRUNG CHUYỂN THỰC PHẨM</t>
  </si>
  <si>
    <t>KHO  MÁT GIA CẦM, GIA SÚC, HẢI SẢN BÁN THÀNH PHẨM</t>
  </si>
  <si>
    <t>kho đông gia cầm, gia súc, hải sản bán thành phẩm</t>
  </si>
  <si>
    <t>Hệ thống lạnh kho mát 1412-MFP-001</t>
  </si>
  <si>
    <t>KHO  MÁT GIA CẦM, GIA SÚC, HẢI SẢN THÀNH PHẨM</t>
  </si>
  <si>
    <t>Kho mát gia cầm, gia súc, hải sản thành phẩm</t>
  </si>
  <si>
    <t>KHO MÁT RAU, CỦ THÀNH PHẨM</t>
  </si>
  <si>
    <t>Kho mát rau, củ thành phẩm</t>
  </si>
  <si>
    <t>KHU LÀM BÚN, BÁNH PHỞ, BÁNH CUỐN</t>
  </si>
  <si>
    <t>Máy vo gạo</t>
  </si>
  <si>
    <t>Máy xay bột</t>
  </si>
  <si>
    <t>Máy ép khô bột</t>
  </si>
  <si>
    <t>Máy làm bún 200kg/h</t>
  </si>
  <si>
    <t>Máy làm bánh phở 150kg/h</t>
  </si>
  <si>
    <t>Máy làm bánh cuốn 100kg/h</t>
  </si>
  <si>
    <t>Tủ hấp 3 tầng</t>
  </si>
  <si>
    <t>Lọc nước cho máy làm đá</t>
  </si>
  <si>
    <t>PHÒNG CHỜ THỰC PHẨM</t>
  </si>
  <si>
    <t>Tủ trữ mát dạng roll-in 2 khay GN 2/1</t>
  </si>
  <si>
    <t>PHÒNG CHUẨN BỊ BÁNH</t>
  </si>
  <si>
    <t>KHU BẾP NÓNG</t>
  </si>
  <si>
    <t>Nồi hầm nghiêng 150L</t>
  </si>
  <si>
    <t>Đèn giữ nóng thức ăn</t>
  </si>
  <si>
    <t>Quầy sấy nóng cửa trượt</t>
  </si>
  <si>
    <t>Quầy sấy bát đĩa cửa trượt</t>
  </si>
  <si>
    <t>Chảo nghiêng 120L</t>
  </si>
  <si>
    <t>Bếp Á từ đơn chảo rời</t>
  </si>
  <si>
    <t>Bếp Á từ đôi chảo rời</t>
  </si>
  <si>
    <t>Bếp âu 4 dùng điện + khung đỡ</t>
  </si>
  <si>
    <t>Bếp rán phẳng đôi+ khung đỡ</t>
  </si>
  <si>
    <t>Bếp chiên nhúng đôi</t>
  </si>
  <si>
    <t>Salamander</t>
  </si>
  <si>
    <t>Lò combi 20 khay GN 2/1</t>
  </si>
  <si>
    <t>BẾP NGUỘI</t>
  </si>
  <si>
    <t>Máy thái lát</t>
  </si>
  <si>
    <t>Kho mát bếp nguội</t>
  </si>
  <si>
    <t>KHU BẾP MỞ</t>
  </si>
  <si>
    <t>Quầy phở mì 90L</t>
  </si>
  <si>
    <t>Bếp chiên phẳng mặt nhiệt trung tâm+ khung đỡ</t>
  </si>
  <si>
    <t>Bếp chiên phẳng mặt nhiệt đều+ khung đỡ</t>
  </si>
  <si>
    <t>Bếp hấp bánh bao, dimsum</t>
  </si>
  <si>
    <t>Bếp hấp bánh cuốn</t>
  </si>
  <si>
    <t>Kệ trưng bày bún phở để bàn</t>
  </si>
  <si>
    <t>Đèn carving đôi</t>
  </si>
  <si>
    <t>Bếp từ âm quầy</t>
  </si>
  <si>
    <t>Bếp teppanyaki 2 vùng nhiệt</t>
  </si>
  <si>
    <t>Quầy sấy bát đĩa cửa mở</t>
  </si>
  <si>
    <t>KHU RỬA CCDC</t>
  </si>
  <si>
    <t>KHU RỬA</t>
  </si>
  <si>
    <t>KHU BUFFET A1</t>
  </si>
  <si>
    <t>Nồi giữ nóng soup</t>
  </si>
  <si>
    <t>KHU BUFFET C4</t>
  </si>
  <si>
    <t>Máy nướng bánh mỳ băng tải</t>
  </si>
  <si>
    <t>KHO KHÔ 12M2</t>
  </si>
  <si>
    <t>10-12</t>
  </si>
  <si>
    <t>Máy xay cắt thực phẩm</t>
  </si>
  <si>
    <t>Chảo nghiêng 120l</t>
  </si>
  <si>
    <t>Bếp âu 4 dùng điện+ khung đỡ</t>
  </si>
  <si>
    <t>Xe giữ nóng thức ăn</t>
  </si>
  <si>
    <t>Quầy trụng mì 50L</t>
  </si>
  <si>
    <t>Đèn giữ nóng thức ăn thả trần</t>
  </si>
  <si>
    <t>Quầy 1 chậu có thùng rác âm</t>
  </si>
  <si>
    <t>KHU BUFFET A2</t>
  </si>
  <si>
    <t>Khay giữ lạnh đá viên</t>
  </si>
  <si>
    <t>KHU BUFFET C1</t>
  </si>
  <si>
    <t>KHU BUFFET C5</t>
  </si>
  <si>
    <t>BẾP BÁNH HỘI AN</t>
  </si>
  <si>
    <t>LƯU Ý:</t>
  </si>
  <si>
    <t>9h-10h</t>
  </si>
  <si>
    <t>9h-10h30</t>
  </si>
  <si>
    <t>9h-11h</t>
  </si>
  <si>
    <t>ĐỘI STEWARD</t>
  </si>
  <si>
    <t xml:space="preserve">Máy thổi sàn </t>
  </si>
  <si>
    <t xml:space="preserve">Máy hút nước </t>
  </si>
  <si>
    <t xml:space="preserve">Máy hút ẩm </t>
  </si>
  <si>
    <t>Máy xịt sàn</t>
  </si>
  <si>
    <t>Quạt hơi nước lớn</t>
  </si>
  <si>
    <t>12h</t>
  </si>
  <si>
    <t>8h-14h</t>
  </si>
  <si>
    <t>15h-17h</t>
  </si>
  <si>
    <t>8h-12h</t>
  </si>
  <si>
    <t xml:space="preserve">Bơm định lượng + khuấy  hóa chất </t>
  </si>
  <si>
    <t>Thang cuốn từ BTS-B1</t>
  </si>
  <si>
    <t>Thang cuốn từ B1-B2</t>
  </si>
  <si>
    <t>Thang cuốn từ B2-B3</t>
  </si>
  <si>
    <t>Thang máy từ B1-B3</t>
  </si>
  <si>
    <t>Từ 0h00-24h00</t>
  </si>
  <si>
    <t>Thang máy tử tầng G-B3(Tháp 1)</t>
  </si>
  <si>
    <t>Thang máy tử tầng G-B3(Tháp 2)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</si>
  <si>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</si>
  <si>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</si>
  <si>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</si>
  <si>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</si>
  <si>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</si>
  <si>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</si>
  <si>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</si>
  <si>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</si>
  <si>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</si>
  <si>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</si>
  <si>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</si>
  <si>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</si>
  <si>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16h45-22h30</t>
  </si>
  <si>
    <t xml:space="preserve">Đèn lồng: 40
Đèn trụ: 228
Đèn trần: </t>
  </si>
  <si>
    <t>Đèn lồng: 647
Đèn trụ: 234
Đèn trần: 72</t>
  </si>
  <si>
    <t>Đèn lồng: 647
Đèn trụ: 216
Đèn trần: 72</t>
  </si>
  <si>
    <t>Đèn lồng: 7
Đèn trụ: 14
Đèn trần: 346</t>
  </si>
  <si>
    <t xml:space="preserve">Đèn lồng: 771
Đèn trụ: 176
Đèn trần: </t>
  </si>
  <si>
    <t>5,5</t>
  </si>
  <si>
    <t>Đèn lồng: 239
Đèn trụ: 148
Đèn trần: 301</t>
  </si>
  <si>
    <t>9h00-12h00
(Cao điểm Tết AL)</t>
  </si>
  <si>
    <t>6,5</t>
  </si>
  <si>
    <t>8h45-12h00
13h45-17h00</t>
  </si>
  <si>
    <t xml:space="preserve">9h00-12h00
</t>
  </si>
  <si>
    <t>9h00-11h30</t>
  </si>
  <si>
    <t>2,5</t>
  </si>
  <si>
    <t>10h-12h30</t>
  </si>
  <si>
    <t>Đèn lồng: 20
Đèn trụ: 30
Đèn trần: 50</t>
  </si>
  <si>
    <t>9h-17h30</t>
  </si>
  <si>
    <t>8h45-12h30</t>
  </si>
  <si>
    <t>3,5</t>
  </si>
  <si>
    <t>10h00-12h00</t>
  </si>
  <si>
    <t>Đèn lồng: 629
Đèn trụ: 95
Đèn trần: 40</t>
  </si>
  <si>
    <t>6h00 - 19h00</t>
  </si>
  <si>
    <t>5h00 - 23h00</t>
  </si>
  <si>
    <t>Đèn lồng: 
Đèn trụ: 132
Đèn trần: 234</t>
  </si>
  <si>
    <t>Vận hành đón CBNVvà khách: 7h00 - 12h00               
14h30-18h30</t>
  </si>
  <si>
    <t>16h00-22h30</t>
  </si>
  <si>
    <t>Không vận hành</t>
  </si>
  <si>
    <t>8h30-16h00
(Giờ thấp điểm không vận hành)</t>
  </si>
  <si>
    <t xml:space="preserve">Hệ thống âm thanh MIXUSED </t>
  </si>
  <si>
    <t>HỆ THỐNG CHIẾU SÁNG MAXWELL TRONG NHÀ ( TÙY THUỘC VÀ THỜI THIẾT LINH ĐỘNG ON OFF TỪ XA ) MIXUSED</t>
  </si>
  <si>
    <t>HỆ THỐNG CHIẾU SÁNG ZONE 5 1451</t>
  </si>
  <si>
    <t>HỆ THỐNG CHIẾU SÁNG ZONE 3 1433 DB-LZ01.3</t>
  </si>
  <si>
    <t>HỆ THỐNG CHIẾU SÁNG ZONE 2 1429</t>
  </si>
  <si>
    <t>HỆ THỐNG CHIẾU SÁNG ZONE 2 1423</t>
  </si>
  <si>
    <t>HỆ THỐNG CHIẾU SÁNG ZONE 2 1417</t>
  </si>
  <si>
    <t>Heat Pump ENERBLUE HP 90 MIXUSED</t>
  </si>
  <si>
    <t xml:space="preserve">Vận hành  theo cảm biến nhiệt độ trong hệ thống và phụ thuộc vào lượng sử dụng trong ngày . Nhiệt độ đầu ra 58 độ </t>
  </si>
  <si>
    <t xml:space="preserve">HỆ BỂ MÁY TÁCH MỠ </t>
  </si>
  <si>
    <t>Máy xịt rửa áp lực cao HD7/17MST</t>
  </si>
  <si>
    <t>Từ 10h đến 11 h</t>
  </si>
  <si>
    <t>Pump đẩy nước thải bể mỡ SULZER</t>
  </si>
  <si>
    <t>MIXUSED Cụm Chiller CLIMAVENETA ERACS3622E-Q-B (2 chiều) 4 con</t>
  </si>
  <si>
    <t xml:space="preserve">Từ 9 h đến 16 h 
Nhiệt độ nước lạnh đầu ra 7 độ </t>
  </si>
  <si>
    <t>MIXUSED Cụm Chiller CLIMAVENETA ERACS2402C-B (16 con)</t>
  </si>
  <si>
    <t xml:space="preserve">Hệ thống Thác Thần Mặt Trời </t>
  </si>
  <si>
    <t>Bơmvòi phun 9.5 kw</t>
  </si>
  <si>
    <t xml:space="preserve">Hoạt động từ 8h00 đến 21h20 phục vụ combo đêm </t>
  </si>
  <si>
    <t>Bơm tràng 9.5 kw</t>
  </si>
  <si>
    <t>Bơm họt xoài 3.7 kw</t>
  </si>
  <si>
    <t>Bơm tượng 5.5 kw</t>
  </si>
  <si>
    <t>Bơmlọc 1.2 kw</t>
  </si>
  <si>
    <t>XVII</t>
  </si>
  <si>
    <t>KỊCH BẢN VẬN HÀNH THIẾT BỊ ĐIỆN BÀ NÀ NĂM 2024_KTHT</t>
  </si>
  <si>
    <t>8h-16h30</t>
  </si>
  <si>
    <t>Máy bánh đồng xu</t>
  </si>
  <si>
    <t>Máy siro đá bào</t>
  </si>
  <si>
    <t>8h-16h</t>
  </si>
  <si>
    <t>8h-16h45</t>
  </si>
  <si>
    <t xml:space="preserve">CÁC ĐIỂM BÁN ĐÍNH </t>
  </si>
  <si>
    <t>B1 Gubly's</t>
  </si>
  <si>
    <t>Máy làm đá viên MV 456 AS</t>
  </si>
  <si>
    <t>Máy pha cà phê Cimbali M27</t>
  </si>
  <si>
    <t xml:space="preserve">May xay cà phê </t>
  </si>
  <si>
    <t>Tủ lạnh kính trưng bày</t>
  </si>
  <si>
    <t xml:space="preserve">Máy xay sinh tố </t>
  </si>
  <si>
    <t>Tủ kính cong Berjaya 160L</t>
  </si>
  <si>
    <t xml:space="preserve">Máy nướng xúc xích chiên mặt Berjaya </t>
  </si>
  <si>
    <t>Cân điện tử 100kg</t>
  </si>
  <si>
    <t>Cân điện tử 3kg</t>
  </si>
  <si>
    <t>Máy vắt cam</t>
  </si>
  <si>
    <t>Tủ Coca 2 cánh</t>
  </si>
  <si>
    <t>Máng Trượt</t>
  </si>
  <si>
    <t>Máy bắp bung lớn 2 ngăn, 2 nồi</t>
  </si>
  <si>
    <t>Lò nướng bánh mì đa năng</t>
  </si>
  <si>
    <t xml:space="preserve">Sunbuns </t>
  </si>
  <si>
    <t xml:space="preserve">Tủ kính trưng bày lớn </t>
  </si>
  <si>
    <t xml:space="preserve">Tủ lạnh 2 cánh </t>
  </si>
  <si>
    <t xml:space="preserve">Đèn sưởi đứng ZQ </t>
  </si>
  <si>
    <t>Máy beer thùng nằm chiller</t>
  </si>
  <si>
    <t xml:space="preserve">Tủ kính trưng bày mặt cong  lớn </t>
  </si>
  <si>
    <t>Lò vi sóng Malloca</t>
  </si>
  <si>
    <t>Máy làm đá viên Mỹ  Follett loại lớn</t>
  </si>
  <si>
    <t xml:space="preserve">Đèn sưởi Sunhouse </t>
  </si>
  <si>
    <t xml:space="preserve">Tủ mát nằm </t>
  </si>
  <si>
    <t>Máy hút ẩm Harison 192B</t>
  </si>
  <si>
    <t>Máy hút ẩm Harison 100B</t>
  </si>
  <si>
    <t>Máy làm đá bào Scotsmand</t>
  </si>
  <si>
    <t>Máy hút ẩm Harinson 192B</t>
  </si>
  <si>
    <t>Máy hút ẩm Harinson 45B</t>
  </si>
  <si>
    <t>MORIN</t>
  </si>
  <si>
    <t>8h-17h00</t>
  </si>
  <si>
    <t>8h30-17h00</t>
  </si>
  <si>
    <t>3,74</t>
  </si>
  <si>
    <t>9h00-17h00</t>
  </si>
  <si>
    <t>Máy quạt nước Kangaroo</t>
  </si>
  <si>
    <t>9h30-15h30</t>
  </si>
  <si>
    <t>Tủ bánh lạnh</t>
  </si>
  <si>
    <t>0,581</t>
  </si>
  <si>
    <t>ĐIỂM TRÚ VŨ ĐÀI</t>
  </si>
  <si>
    <t>Âm siêu tốc</t>
  </si>
  <si>
    <t>9h00-16h30</t>
  </si>
  <si>
    <t>Hội Chợ Châu Âu</t>
  </si>
  <si>
    <t>Min Moji</t>
  </si>
  <si>
    <t>Máy xay đá bào</t>
  </si>
  <si>
    <t>0.35</t>
  </si>
  <si>
    <t>Tủ Mát 2 cánh Master Cool</t>
  </si>
  <si>
    <t>Tủ kem 1m7</t>
  </si>
  <si>
    <t>Máy ép trái cây</t>
  </si>
  <si>
    <t>Rock Sausage</t>
  </si>
  <si>
    <t>Máy nướng đá lạp xưởng</t>
  </si>
  <si>
    <t>Máy chiên xúc xích Berayja</t>
  </si>
  <si>
    <t>Tropcical Juicey</t>
  </si>
  <si>
    <t>Máy ép chậm</t>
  </si>
  <si>
    <t>0.8</t>
  </si>
  <si>
    <t>Máy ép nhanh</t>
  </si>
  <si>
    <t>Máy say sinh tố</t>
  </si>
  <si>
    <t>Tủ mát master cool</t>
  </si>
  <si>
    <t>Lemonade</t>
  </si>
  <si>
    <t>Máy xay Bingsu</t>
  </si>
  <si>
    <t>Lemonade Ga 16</t>
  </si>
  <si>
    <t>Tủ coca 1 cánh</t>
  </si>
  <si>
    <t>Sweet Treats</t>
  </si>
  <si>
    <t>Tủ giữ nóng bánh mỳ</t>
  </si>
  <si>
    <t>9 16h30</t>
  </si>
  <si>
    <t>Tủ coca 2 cánh</t>
  </si>
  <si>
    <t>Tủ kem tươi</t>
  </si>
  <si>
    <t>tủ kem cây 1m6</t>
  </si>
  <si>
    <t>0.3</t>
  </si>
  <si>
    <t>Máy bánh cá mini</t>
  </si>
  <si>
    <t xml:space="preserve">May bánh cá đại </t>
  </si>
  <si>
    <t xml:space="preserve">Máy bánh đồng xu </t>
  </si>
  <si>
    <t xml:space="preserve">Máy nướng bánh mỳ </t>
  </si>
  <si>
    <t>Máy làm bánh creep</t>
  </si>
  <si>
    <t>Máy làm bánh wafeep</t>
  </si>
  <si>
    <t xml:space="preserve">Tủ lạnh giữ mát 1 cánh </t>
  </si>
  <si>
    <t>Lò vi sóng elestrolis</t>
  </si>
  <si>
    <t>Ga 12</t>
  </si>
  <si>
    <t>NHÀ HÀNG LITTLE BÀ NÀ</t>
  </si>
  <si>
    <t>NHÀ HÀNG</t>
  </si>
  <si>
    <t>Tủ Budweiser</t>
  </si>
  <si>
    <t>06h00-23h00</t>
  </si>
  <si>
    <t>Container lạnh</t>
  </si>
  <si>
    <t>Máy lọc nước Karofi</t>
  </si>
  <si>
    <t>Máy ép trái cây Phillip</t>
  </si>
  <si>
    <t>Máy quạt Daikyosan</t>
  </si>
  <si>
    <t>10h30-13h30
18h00- 22h00</t>
  </si>
  <si>
    <t>Hệ thống đèn chiếu sáng trong nhà</t>
  </si>
  <si>
    <t>06h00- 10h00
16h00-23h00</t>
  </si>
  <si>
    <t>Hệ thống đèn chiếu sáng ngoài trời</t>
  </si>
  <si>
    <t>16h00-23h00</t>
  </si>
  <si>
    <t>10h30-13h30
18h00- 21h00</t>
  </si>
  <si>
    <t>Màng hình LED quảng cáo</t>
  </si>
  <si>
    <t xml:space="preserve">BẾP </t>
  </si>
  <si>
    <t>Tủ lạnh 4 cánh Freezer Berjaya litte</t>
  </si>
  <si>
    <t>06h00- 23h00</t>
  </si>
  <si>
    <t xml:space="preserve">tủ đông  2 cánh Sanaky </t>
  </si>
  <si>
    <t>24/2 4</t>
  </si>
  <si>
    <t>Bàn  mát 3 cánh firscool</t>
  </si>
  <si>
    <t>Bàn  mát 3 cánh matercool</t>
  </si>
  <si>
    <t>09h00- 12h00
16h00-20h00</t>
  </si>
  <si>
    <t>Lò nướng mặt fagor</t>
  </si>
  <si>
    <t>Tủ mát 2 cánh hosizaki</t>
  </si>
  <si>
    <t>Máy rửa chén zanussi</t>
  </si>
  <si>
    <t xml:space="preserve">Nồi hầm nước phở </t>
  </si>
  <si>
    <t>06h00- 10h00</t>
  </si>
  <si>
    <t>24/724</t>
  </si>
  <si>
    <t>Máy Cưa xương bonesaw</t>
  </si>
  <si>
    <t>14h00 -16h00</t>
  </si>
  <si>
    <t xml:space="preserve">Lò nướng xinnafang 3 tầng </t>
  </si>
  <si>
    <t xml:space="preserve">Điều hoà kxzfdc335kxze1 12hp2 chiều </t>
  </si>
  <si>
    <t>06h00- 20h00</t>
  </si>
  <si>
    <t xml:space="preserve">TỦ Coke 1000 L </t>
  </si>
  <si>
    <t>7h30-17h30</t>
  </si>
  <si>
    <t>7h45-16h30</t>
  </si>
  <si>
    <t>7h30-16h30</t>
  </si>
  <si>
    <t>Vườn Hội An</t>
  </si>
  <si>
    <t>Tủ bánh lạnh bán chè</t>
  </si>
  <si>
    <t>Máy nước mía</t>
  </si>
  <si>
    <t>Máy đóng nắp</t>
  </si>
  <si>
    <t>Máy lạp xưởng</t>
  </si>
  <si>
    <t>Máy bia đứng</t>
  </si>
  <si>
    <t>Quầy FC01</t>
  </si>
  <si>
    <t>9h-23h</t>
  </si>
  <si>
    <t xml:space="preserve">TỦ Coke 700 L </t>
  </si>
  <si>
    <t>Tủ lạnh trưng bày bánh nóng  berjaya</t>
  </si>
  <si>
    <t>Tủ kem kính cong boulevadr</t>
  </si>
  <si>
    <t>Quầy FEC 02</t>
  </si>
  <si>
    <t xml:space="preserve">Lò vi sóng </t>
  </si>
  <si>
    <t>Tủ  đông sanaky</t>
  </si>
  <si>
    <t>Tủ  đông sanaky nhỏ</t>
  </si>
  <si>
    <t>Quầy FEC 05</t>
  </si>
  <si>
    <t>Lò nướng bánh Berjaya</t>
  </si>
  <si>
    <t>Quầy FC08</t>
  </si>
  <si>
    <t>08h 23h</t>
  </si>
  <si>
    <t>tủ kem cây 1m2</t>
  </si>
  <si>
    <t>Lò Vi sóng</t>
  </si>
  <si>
    <t>9h 16h30</t>
  </si>
  <si>
    <t>NHÀ HÀNG Bulgogi</t>
  </si>
  <si>
    <t>Tủ Coca 1 cánh</t>
  </si>
  <si>
    <t>Tủ nóng trưng bánh mì</t>
  </si>
  <si>
    <t>Thang Hộp Taiga</t>
  </si>
  <si>
    <t>8h00-22h00</t>
  </si>
  <si>
    <t>17h00 - 21h00</t>
  </si>
  <si>
    <t>10-14h
15-19h</t>
  </si>
  <si>
    <t>11-15h
17-21h</t>
  </si>
  <si>
    <t>15h00-17h00
19h00 - 21h00</t>
  </si>
  <si>
    <t>Máy  Sấy  Electronlux 8kg</t>
  </si>
  <si>
    <t>Chille -ARAPANG</t>
  </si>
  <si>
    <t xml:space="preserve">Từ 10 h đến 14 h và phụ thuộc vào thời tiết .  Nhiệt độ nước đầu ra 10 độ </t>
  </si>
  <si>
    <t xml:space="preserve">Từ 9 h đến 15 h và phụ thuộc vào thời tiết .  Nhiệt độ nước đầu ra 10 độ </t>
  </si>
  <si>
    <t>KỊCH BẢN VẬN HÀNH THIẾT BỊ ĐIỆN NHÀ HÀNG BÀ NÀ NĂM 2024_NHÀ MÁY BIA</t>
  </si>
  <si>
    <t>Nhà hơi</t>
  </si>
  <si>
    <t>Tea cup</t>
  </si>
  <si>
    <t>MÁY keg line</t>
  </si>
  <si>
    <t>Từ 08:00- 17:00</t>
  </si>
  <si>
    <t>Từ 08:00- 12:00</t>
  </si>
  <si>
    <t>Từ 08:00- 13:00</t>
  </si>
  <si>
    <t>Từ 08:00- 16:00</t>
  </si>
  <si>
    <t>TẦNG 3 (Brewhouse)</t>
  </si>
  <si>
    <t>Motor conveyer 1 SK90LP/4 TF</t>
  </si>
  <si>
    <t>Motor conveyer 2 SK90LP/4 TF</t>
  </si>
  <si>
    <t>Motor conveyer 3 APAB SK100LP/4 TF</t>
  </si>
  <si>
    <t>Motor Milling APAB SK100LP/4 TF</t>
  </si>
  <si>
    <t>Motor great bin SK90LP/4 TF</t>
  </si>
  <si>
    <t>Pump Whirlpool T90 DDAP 90L2</t>
  </si>
  <si>
    <t>Pump CIP T90 DDAP 90S2</t>
  </si>
  <si>
    <t>Pump wort kettle DDAP 100LA4 T100</t>
  </si>
  <si>
    <t>Pum Lauter tun T80 DDAP80A4</t>
  </si>
  <si>
    <t>Khuấy mash  TunKAF47 DRN90S4/TF</t>
  </si>
  <si>
    <t>Pump mash Tun T90 DDAP 90L2</t>
  </si>
  <si>
    <t>Pump spent grain APAB SK100AP/4 TF</t>
  </si>
  <si>
    <t>Khuấy Lauter Tun WAF29 DRN80M4/TP/AK8W</t>
  </si>
  <si>
    <t>Khuấy Lauter Tun1  KAF77 DRN90S4</t>
  </si>
  <si>
    <t>&lt; 2.5</t>
  </si>
  <si>
    <t xml:space="preserve"> &lt;2.5</t>
  </si>
  <si>
    <t xml:space="preserve"> &lt; 2.5</t>
  </si>
  <si>
    <t xml:space="preserve"> &lt; 1.5</t>
  </si>
  <si>
    <t xml:space="preserve"> &lt;12.5</t>
  </si>
  <si>
    <t xml:space="preserve"> &lt;13.5</t>
  </si>
  <si>
    <t xml:space="preserve"> &lt;10</t>
  </si>
  <si>
    <t xml:space="preserve"> &lt;5</t>
  </si>
  <si>
    <t>2.5 -3.0</t>
  </si>
  <si>
    <t>2.5-3.0</t>
  </si>
  <si>
    <t>1.5-1.8</t>
  </si>
  <si>
    <t>12.5-15</t>
  </si>
  <si>
    <t>13.5-16.7</t>
  </si>
  <si>
    <t>5-6</t>
  </si>
  <si>
    <t>3.0-3.75</t>
  </si>
  <si>
    <t>1.8-2.25</t>
  </si>
  <si>
    <t>15-18.75</t>
  </si>
  <si>
    <t>16.7-20</t>
  </si>
  <si>
    <t>6-7.5</t>
  </si>
  <si>
    <t>&gt;3.75</t>
  </si>
  <si>
    <t>&gt;2.25</t>
  </si>
  <si>
    <t>&gt;18.75</t>
  </si>
  <si>
    <t>&gt;20</t>
  </si>
  <si>
    <t>&gt;7.5</t>
  </si>
  <si>
    <t>12.0-15.0</t>
  </si>
  <si>
    <t>&gt;15.0</t>
  </si>
  <si>
    <t>03:00-19:30</t>
  </si>
  <si>
    <t>03:00-22:00</t>
  </si>
  <si>
    <t>03:00-01:00</t>
  </si>
  <si>
    <t>03:00-03:00</t>
  </si>
  <si>
    <t>&gt;0.94</t>
  </si>
  <si>
    <t>&gt;4.29</t>
  </si>
  <si>
    <t>9:30-12:30</t>
  </si>
  <si>
    <t>9:30-13:15</t>
  </si>
  <si>
    <t>8:10-9:40; 12:40-14:10</t>
  </si>
  <si>
    <t>&gt;4.5</t>
  </si>
  <si>
    <t>8:10-9:40; 12:40-14:10; 14:20-16:50</t>
  </si>
  <si>
    <t>&gt;5</t>
  </si>
  <si>
    <t>&gt;1.25</t>
  </si>
  <si>
    <t>8:10-9:35</t>
  </si>
  <si>
    <t>8:10-9:10</t>
  </si>
  <si>
    <t>8:10-9:00</t>
  </si>
  <si>
    <t>8:10-11:40</t>
  </si>
  <si>
    <t>8:10-12:10</t>
  </si>
  <si>
    <t>8:10-13:10</t>
  </si>
  <si>
    <t>8:10-12:40</t>
  </si>
  <si>
    <t>&gt;0.83</t>
  </si>
  <si>
    <t>8:10-12:25</t>
  </si>
  <si>
    <t>&gt;6.25</t>
  </si>
  <si>
    <t>8:10-14:35</t>
  </si>
  <si>
    <t>&gt;3</t>
  </si>
  <si>
    <t>8:10-10:10</t>
  </si>
  <si>
    <t>8:10-10:40</t>
  </si>
  <si>
    <t>8:10-11:10</t>
  </si>
  <si>
    <t>Motor Centrifuge CIP line, DDAP 90L2</t>
  </si>
  <si>
    <t>Hot Water Pump, MG90LE-F-H3-CML2A</t>
  </si>
  <si>
    <t xml:space="preserve"> </t>
  </si>
  <si>
    <t>Motor Centrifuge Production, M3AA 160MAL 2 IMV1/IM3011</t>
  </si>
  <si>
    <t xml:space="preserve">Discharge Pump, 3_MOT 1AV2083C </t>
  </si>
  <si>
    <t>Young Beer Transfer Pump, DDAP 90L2</t>
  </si>
  <si>
    <t>Argitator Motor Hop Gun, TE1BFOXO</t>
  </si>
  <si>
    <t>Circulation Hop Gun Pump, DDAP 100L2</t>
  </si>
  <si>
    <t>Yeast Circulation Pump, HMA3 90L-4</t>
  </si>
  <si>
    <t>CIP Return Pump (BBT&amp;FST), HMA3 90L-4</t>
  </si>
  <si>
    <t>CIP Cellar Pump cleaning BBT, DDAP 112M2</t>
  </si>
  <si>
    <t>CIP Cellar Pump cleaning FST, DDAP 112M2</t>
  </si>
  <si>
    <t>CIP Cellar Pump for Centrifuge DDAP 112M2</t>
  </si>
  <si>
    <t>Pump hot water 99583838-P1-2341</t>
  </si>
  <si>
    <t>15-18</t>
  </si>
  <si>
    <t>18-22.5</t>
  </si>
  <si>
    <t>Pump Cold water 99583838-P1-2341</t>
  </si>
  <si>
    <t>Pump Chiller water MG71-F-B1-CMS1B</t>
  </si>
  <si>
    <t>&lt;15</t>
  </si>
  <si>
    <t>&gt;24</t>
  </si>
  <si>
    <t>&lt;7.5</t>
  </si>
  <si>
    <t>7.5-9</t>
  </si>
  <si>
    <t>9-11.25</t>
  </si>
  <si>
    <t>&gt;11.25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</si>
</sst>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0.0"/>
  </numFmts>
  <fonts count="5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name val="Times New Roman"/>
      <family val="1"/>
      <charset val="163"/>
    </font>
    <font>
      <b/>
      <sz val="14"/>
      <name val="Times New Roman"/>
      <family val="1"/>
    </font>
    <font>
      <b/>
      <sz val="48"/>
      <color theme="1"/>
      <name val="Times New Roman"/>
      <family val="1"/>
    </font>
    <font>
      <sz val="14"/>
      <name val="Times New Roman"/>
      <family val="1"/>
    </font>
    <font>
      <b/>
      <sz val="2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28"/>
      <color rgb="FFFF0000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24"/>
      <name val="Times New Roman"/>
      <family val="1"/>
    </font>
    <font>
      <sz val="36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  <charset val="163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43" fontId="12" fillId="0" borderId="0" applyFont="0" applyFill="0" applyBorder="0" applyAlignment="0" applyProtection="0"/>
    <xf numFmtId="0" fontId="11" fillId="0" borderId="0"/>
    <xf numFmtId="0" fontId="12" fillId="0" borderId="0"/>
    <xf numFmtId="164" fontId="3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/>
    </xf>
    <xf numFmtId="0" fontId="9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5" fillId="4" borderId="0" xfId="0" applyFont="1" applyFill="1"/>
    <xf numFmtId="0" fontId="6" fillId="4" borderId="0" xfId="0" applyFont="1" applyFill="1"/>
    <xf numFmtId="0" fontId="4" fillId="4" borderId="6" xfId="0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/>
    </xf>
    <xf numFmtId="0" fontId="4" fillId="2" borderId="0" xfId="0" applyFont="1" applyFill="1"/>
    <xf numFmtId="0" fontId="9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2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165" fontId="4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5" fillId="4" borderId="0" xfId="0" applyFont="1" applyFill="1" applyAlignment="1">
      <alignment horizontal="centerContinuous"/>
    </xf>
    <xf numFmtId="0" fontId="4" fillId="4" borderId="0" xfId="0" applyFont="1" applyFill="1"/>
    <xf numFmtId="0" fontId="8" fillId="2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/>
    </xf>
    <xf numFmtId="0" fontId="14" fillId="4" borderId="0" xfId="0" applyFont="1" applyFill="1"/>
    <xf numFmtId="0" fontId="13" fillId="4" borderId="1" xfId="0" applyFont="1" applyFill="1" applyBorder="1" applyAlignment="1">
      <alignment horizontal="left" vertical="center"/>
    </xf>
    <xf numFmtId="43" fontId="4" fillId="0" borderId="0" xfId="1" applyFont="1"/>
    <xf numFmtId="9" fontId="4" fillId="4" borderId="1" xfId="5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4" borderId="0" xfId="0" applyFont="1" applyFill="1" applyAlignment="1">
      <alignment horizontal="centerContinuous" vertical="center"/>
    </xf>
    <xf numFmtId="0" fontId="4" fillId="4" borderId="0" xfId="0" applyFont="1" applyFill="1" applyAlignment="1">
      <alignment horizontal="center" vertical="center"/>
    </xf>
    <xf numFmtId="0" fontId="4" fillId="4" borderId="10" xfId="0" applyFont="1" applyFill="1" applyBorder="1"/>
    <xf numFmtId="0" fontId="5" fillId="4" borderId="10" xfId="0" applyFont="1" applyFill="1" applyBorder="1" applyAlignment="1">
      <alignment wrapText="1"/>
    </xf>
    <xf numFmtId="0" fontId="9" fillId="4" borderId="3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wrapText="1"/>
    </xf>
    <xf numFmtId="0" fontId="4" fillId="4" borderId="0" xfId="0" applyFont="1" applyFill="1" applyAlignment="1">
      <alignment horizontal="right"/>
    </xf>
    <xf numFmtId="0" fontId="5" fillId="4" borderId="4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2" borderId="1" xfId="2" applyFont="1" applyFill="1" applyBorder="1" applyAlignment="1">
      <alignment horizontal="center" wrapText="1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right" wrapText="1"/>
    </xf>
    <xf numFmtId="9" fontId="4" fillId="4" borderId="1" xfId="5" applyFont="1" applyFill="1" applyBorder="1"/>
    <xf numFmtId="165" fontId="4" fillId="4" borderId="1" xfId="1" applyNumberFormat="1" applyFont="1" applyFill="1" applyBorder="1"/>
    <xf numFmtId="165" fontId="4" fillId="4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/>
    <xf numFmtId="9" fontId="4" fillId="3" borderId="1" xfId="5" applyFont="1" applyFill="1" applyBorder="1"/>
    <xf numFmtId="0" fontId="4" fillId="4" borderId="3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4" fillId="4" borderId="16" xfId="0" applyFont="1" applyFill="1" applyBorder="1"/>
    <xf numFmtId="0" fontId="4" fillId="4" borderId="3" xfId="2" applyFont="1" applyFill="1" applyBorder="1" applyAlignment="1">
      <alignment horizontal="right" wrapText="1"/>
    </xf>
    <xf numFmtId="0" fontId="5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 wrapText="1"/>
    </xf>
    <xf numFmtId="0" fontId="4" fillId="4" borderId="10" xfId="2" applyFont="1" applyFill="1" applyBorder="1" applyAlignment="1">
      <alignment horizontal="right" wrapText="1"/>
    </xf>
    <xf numFmtId="0" fontId="4" fillId="5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wrapText="1"/>
    </xf>
    <xf numFmtId="165" fontId="4" fillId="4" borderId="1" xfId="1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/>
    </xf>
    <xf numFmtId="9" fontId="10" fillId="4" borderId="1" xfId="5" applyFont="1" applyFill="1" applyBorder="1"/>
    <xf numFmtId="0" fontId="13" fillId="4" borderId="0" xfId="0" applyFont="1" applyFill="1"/>
    <xf numFmtId="165" fontId="10" fillId="4" borderId="1" xfId="1" applyNumberFormat="1" applyFont="1" applyFill="1" applyBorder="1" applyAlignment="1">
      <alignment horizontal="right" vertical="center"/>
    </xf>
    <xf numFmtId="165" fontId="10" fillId="4" borderId="1" xfId="1" applyNumberFormat="1" applyFont="1" applyFill="1" applyBorder="1" applyAlignment="1">
      <alignment horizontal="right" vertical="center" wrapText="1"/>
    </xf>
    <xf numFmtId="165" fontId="10" fillId="0" borderId="1" xfId="1" applyNumberFormat="1" applyFont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 wrapText="1"/>
    </xf>
    <xf numFmtId="0" fontId="23" fillId="8" borderId="1" xfId="0" applyFont="1" applyFill="1" applyBorder="1"/>
    <xf numFmtId="0" fontId="24" fillId="8" borderId="1" xfId="0" applyFont="1" applyFill="1" applyBorder="1" applyAlignment="1">
      <alignment horizontal="left" vertical="center"/>
    </xf>
    <xf numFmtId="165" fontId="24" fillId="8" borderId="1" xfId="1" applyNumberFormat="1" applyFont="1" applyFill="1" applyBorder="1" applyAlignment="1">
      <alignment horizontal="right" vertical="center"/>
    </xf>
    <xf numFmtId="165" fontId="14" fillId="0" borderId="1" xfId="0" applyNumberFormat="1" applyFont="1" applyBorder="1" applyAlignment="1">
      <alignment horizontal="right" vertical="center" wrapText="1"/>
    </xf>
    <xf numFmtId="3" fontId="14" fillId="0" borderId="1" xfId="0" applyNumberFormat="1" applyFont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165" fontId="14" fillId="4" borderId="1" xfId="1" applyNumberFormat="1" applyFont="1" applyFill="1" applyBorder="1" applyAlignment="1">
      <alignment horizontal="right" vertical="center"/>
    </xf>
    <xf numFmtId="43" fontId="4" fillId="0" borderId="0" xfId="0" applyNumberFormat="1" applyFont="1"/>
    <xf numFmtId="0" fontId="23" fillId="4" borderId="1" xfId="0" applyFont="1" applyFill="1" applyBorder="1" applyAlignment="1">
      <alignment horizontal="center" vertical="center"/>
    </xf>
    <xf numFmtId="165" fontId="23" fillId="4" borderId="1" xfId="1" applyNumberFormat="1" applyFont="1" applyFill="1" applyBorder="1" applyAlignment="1">
      <alignment horizontal="center" vertical="center"/>
    </xf>
    <xf numFmtId="165" fontId="14" fillId="4" borderId="1" xfId="1" applyNumberFormat="1" applyFont="1" applyFill="1" applyBorder="1"/>
    <xf numFmtId="165" fontId="14" fillId="4" borderId="1" xfId="1" applyNumberFormat="1" applyFont="1" applyFill="1" applyBorder="1" applyAlignment="1">
      <alignment horizontal="center" vertical="center"/>
    </xf>
    <xf numFmtId="9" fontId="14" fillId="4" borderId="1" xfId="5" applyFont="1" applyFill="1" applyBorder="1"/>
    <xf numFmtId="0" fontId="17" fillId="2" borderId="0" xfId="0" applyFont="1" applyFill="1"/>
    <xf numFmtId="0" fontId="0" fillId="0" borderId="1" xfId="0" applyBorder="1"/>
    <xf numFmtId="43" fontId="0" fillId="0" borderId="0" xfId="1" applyFont="1"/>
    <xf numFmtId="0" fontId="0" fillId="6" borderId="0" xfId="0" applyFill="1"/>
    <xf numFmtId="0" fontId="0" fillId="3" borderId="0" xfId="0" applyFill="1"/>
    <xf numFmtId="0" fontId="0" fillId="9" borderId="0" xfId="0" applyFill="1"/>
    <xf numFmtId="165" fontId="0" fillId="6" borderId="1" xfId="1" applyNumberFormat="1" applyFont="1" applyFill="1" applyBorder="1"/>
    <xf numFmtId="165" fontId="0" fillId="3" borderId="1" xfId="1" applyNumberFormat="1" applyFont="1" applyFill="1" applyBorder="1"/>
    <xf numFmtId="165" fontId="0" fillId="7" borderId="1" xfId="1" applyNumberFormat="1" applyFont="1" applyFill="1" applyBorder="1"/>
    <xf numFmtId="0" fontId="0" fillId="10" borderId="0" xfId="0" applyFill="1"/>
    <xf numFmtId="165" fontId="0" fillId="10" borderId="1" xfId="1" applyNumberFormat="1" applyFont="1" applyFill="1" applyBorder="1"/>
    <xf numFmtId="165" fontId="0" fillId="0" borderId="0" xfId="1" applyNumberFormat="1" applyFont="1"/>
    <xf numFmtId="0" fontId="10" fillId="4" borderId="1" xfId="0" applyFont="1" applyFill="1" applyBorder="1"/>
    <xf numFmtId="0" fontId="13" fillId="4" borderId="1" xfId="0" applyFont="1" applyFill="1" applyBorder="1" applyAlignment="1">
      <alignment horizontal="center" wrapText="1"/>
    </xf>
    <xf numFmtId="0" fontId="13" fillId="4" borderId="0" xfId="0" applyFont="1" applyFill="1" applyAlignment="1">
      <alignment wrapText="1"/>
    </xf>
    <xf numFmtId="0" fontId="10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165" fontId="10" fillId="4" borderId="1" xfId="1" applyNumberFormat="1" applyFont="1" applyFill="1" applyBorder="1" applyAlignment="1">
      <alignment horizontal="center" vertical="center" wrapText="1"/>
    </xf>
    <xf numFmtId="165" fontId="10" fillId="4" borderId="2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0" fontId="10" fillId="4" borderId="0" xfId="0" applyFont="1" applyFill="1"/>
    <xf numFmtId="0" fontId="10" fillId="4" borderId="0" xfId="0" applyFont="1" applyFill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right" wrapText="1"/>
    </xf>
    <xf numFmtId="0" fontId="28" fillId="4" borderId="3" xfId="0" applyFont="1" applyFill="1" applyBorder="1" applyAlignment="1">
      <alignment horizontal="right" wrapText="1"/>
    </xf>
    <xf numFmtId="0" fontId="28" fillId="4" borderId="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right"/>
    </xf>
    <xf numFmtId="165" fontId="10" fillId="4" borderId="1" xfId="1" applyNumberFormat="1" applyFont="1" applyFill="1" applyBorder="1"/>
    <xf numFmtId="165" fontId="10" fillId="4" borderId="1" xfId="1" applyNumberFormat="1" applyFont="1" applyFill="1" applyBorder="1" applyAlignment="1">
      <alignment horizontal="center" vertical="center"/>
    </xf>
    <xf numFmtId="9" fontId="10" fillId="4" borderId="1" xfId="5" applyFont="1" applyFill="1" applyBorder="1" applyAlignment="1">
      <alignment horizontal="right"/>
    </xf>
    <xf numFmtId="0" fontId="10" fillId="4" borderId="1" xfId="2" applyFont="1" applyFill="1" applyBorder="1" applyAlignment="1">
      <alignment horizontal="right" wrapText="1"/>
    </xf>
    <xf numFmtId="0" fontId="13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right" wrapText="1"/>
    </xf>
    <xf numFmtId="0" fontId="27" fillId="4" borderId="1" xfId="0" applyFont="1" applyFill="1" applyBorder="1" applyAlignment="1">
      <alignment vertical="center"/>
    </xf>
    <xf numFmtId="0" fontId="29" fillId="4" borderId="1" xfId="0" applyFont="1" applyFill="1" applyBorder="1"/>
    <xf numFmtId="0" fontId="10" fillId="4" borderId="1" xfId="0" applyFont="1" applyFill="1" applyBorder="1" applyAlignment="1">
      <alignment horizontal="left" vertical="center"/>
    </xf>
    <xf numFmtId="0" fontId="10" fillId="4" borderId="1" xfId="2" applyFont="1" applyFill="1" applyBorder="1" applyAlignment="1">
      <alignment horizontal="center" wrapText="1"/>
    </xf>
    <xf numFmtId="0" fontId="31" fillId="4" borderId="0" xfId="0" applyFont="1" applyFill="1"/>
    <xf numFmtId="165" fontId="10" fillId="4" borderId="1" xfId="6" applyNumberFormat="1" applyFont="1" applyFill="1" applyBorder="1"/>
    <xf numFmtId="165" fontId="10" fillId="4" borderId="1" xfId="6" applyNumberFormat="1" applyFont="1" applyFill="1" applyBorder="1" applyAlignment="1">
      <alignment horizontal="center" vertical="center"/>
    </xf>
    <xf numFmtId="9" fontId="10" fillId="4" borderId="1" xfId="7" applyFont="1" applyFill="1" applyBorder="1" applyAlignment="1">
      <alignment horizontal="right"/>
    </xf>
    <xf numFmtId="9" fontId="10" fillId="4" borderId="1" xfId="7" applyFont="1" applyFill="1" applyBorder="1"/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right"/>
    </xf>
    <xf numFmtId="0" fontId="13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165" fontId="23" fillId="4" borderId="1" xfId="1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right" vertical="center"/>
    </xf>
    <xf numFmtId="165" fontId="5" fillId="4" borderId="1" xfId="1" applyNumberFormat="1" applyFont="1" applyFill="1" applyBorder="1" applyAlignment="1">
      <alignment vertical="center"/>
    </xf>
    <xf numFmtId="165" fontId="5" fillId="4" borderId="1" xfId="1" applyNumberFormat="1" applyFont="1" applyFill="1" applyBorder="1" applyAlignment="1">
      <alignment horizontal="center" vertical="center"/>
    </xf>
    <xf numFmtId="9" fontId="5" fillId="4" borderId="1" xfId="5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36" fillId="4" borderId="1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vertical="center"/>
    </xf>
    <xf numFmtId="0" fontId="36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/>
    </xf>
    <xf numFmtId="0" fontId="36" fillId="4" borderId="7" xfId="0" applyFont="1" applyFill="1" applyBorder="1" applyAlignment="1">
      <alignment horizontal="center" vertical="center" wrapText="1"/>
    </xf>
    <xf numFmtId="165" fontId="36" fillId="4" borderId="5" xfId="1" applyNumberFormat="1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/>
    </xf>
    <xf numFmtId="165" fontId="36" fillId="4" borderId="1" xfId="1" applyNumberFormat="1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/>
    </xf>
    <xf numFmtId="165" fontId="36" fillId="4" borderId="2" xfId="1" applyNumberFormat="1" applyFont="1" applyFill="1" applyBorder="1" applyAlignment="1">
      <alignment horizontal="center" vertical="center"/>
    </xf>
    <xf numFmtId="0" fontId="36" fillId="4" borderId="7" xfId="0" applyFont="1" applyFill="1" applyBorder="1" applyAlignment="1">
      <alignment horizontal="center" vertical="center"/>
    </xf>
    <xf numFmtId="165" fontId="36" fillId="4" borderId="10" xfId="1" applyNumberFormat="1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wrapText="1"/>
    </xf>
    <xf numFmtId="0" fontId="36" fillId="4" borderId="1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wrapText="1"/>
    </xf>
    <xf numFmtId="0" fontId="36" fillId="4" borderId="5" xfId="0" applyFont="1" applyFill="1" applyBorder="1" applyAlignment="1">
      <alignment horizontal="center" vertical="center" wrapText="1"/>
    </xf>
    <xf numFmtId="165" fontId="36" fillId="4" borderId="2" xfId="1" applyNumberFormat="1" applyFont="1" applyFill="1" applyBorder="1" applyAlignment="1">
      <alignment horizontal="center" vertical="center" wrapText="1"/>
    </xf>
    <xf numFmtId="165" fontId="36" fillId="4" borderId="5" xfId="1" applyNumberFormat="1" applyFont="1" applyFill="1" applyBorder="1" applyAlignment="1">
      <alignment horizontal="center" vertical="center" wrapText="1"/>
    </xf>
    <xf numFmtId="165" fontId="36" fillId="4" borderId="1" xfId="1" applyNumberFormat="1" applyFont="1" applyFill="1" applyBorder="1" applyAlignment="1">
      <alignment wrapText="1"/>
    </xf>
    <xf numFmtId="165" fontId="36" fillId="4" borderId="5" xfId="1" applyNumberFormat="1" applyFont="1" applyFill="1" applyBorder="1" applyAlignment="1">
      <alignment wrapText="1"/>
    </xf>
    <xf numFmtId="9" fontId="36" fillId="4" borderId="1" xfId="5" applyFont="1" applyFill="1" applyBorder="1" applyAlignment="1">
      <alignment wrapText="1"/>
    </xf>
    <xf numFmtId="9" fontId="36" fillId="4" borderId="5" xfId="5" applyFont="1" applyFill="1" applyBorder="1" applyAlignment="1">
      <alignment wrapText="1"/>
    </xf>
    <xf numFmtId="0" fontId="36" fillId="4" borderId="7" xfId="0" applyFont="1" applyFill="1" applyBorder="1" applyAlignment="1">
      <alignment horizontal="center" wrapText="1"/>
    </xf>
    <xf numFmtId="0" fontId="36" fillId="4" borderId="6" xfId="0" applyFont="1" applyFill="1" applyBorder="1" applyAlignment="1">
      <alignment horizontal="center" wrapText="1"/>
    </xf>
    <xf numFmtId="165" fontId="36" fillId="4" borderId="1" xfId="1" applyNumberFormat="1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wrapText="1"/>
    </xf>
    <xf numFmtId="0" fontId="36" fillId="4" borderId="2" xfId="0" applyFont="1" applyFill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wrapText="1"/>
    </xf>
    <xf numFmtId="165" fontId="36" fillId="4" borderId="10" xfId="1" applyNumberFormat="1" applyFont="1" applyFill="1" applyBorder="1" applyAlignment="1">
      <alignment horizontal="center" vertical="center" wrapText="1"/>
    </xf>
    <xf numFmtId="0" fontId="36" fillId="4" borderId="6" xfId="0" applyFont="1" applyFill="1" applyBorder="1" applyAlignment="1">
      <alignment vertical="center" wrapText="1"/>
    </xf>
    <xf numFmtId="0" fontId="36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/>
    <xf numFmtId="0" fontId="10" fillId="4" borderId="5" xfId="0" applyFont="1" applyFill="1" applyBorder="1"/>
    <xf numFmtId="0" fontId="10" fillId="4" borderId="5" xfId="0" applyFont="1" applyFill="1" applyBorder="1" applyAlignment="1">
      <alignment horizontal="right"/>
    </xf>
    <xf numFmtId="0" fontId="10" fillId="4" borderId="7" xfId="0" applyFont="1" applyFill="1" applyBorder="1"/>
    <xf numFmtId="165" fontId="10" fillId="4" borderId="5" xfId="6" applyNumberFormat="1" applyFont="1" applyFill="1" applyBorder="1"/>
    <xf numFmtId="165" fontId="10" fillId="4" borderId="5" xfId="6" applyNumberFormat="1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/>
    </xf>
    <xf numFmtId="0" fontId="10" fillId="4" borderId="14" xfId="2" applyFont="1" applyFill="1" applyBorder="1" applyAlignment="1">
      <alignment horizontal="right" wrapText="1"/>
    </xf>
    <xf numFmtId="165" fontId="10" fillId="4" borderId="1" xfId="1" applyNumberFormat="1" applyFont="1" applyFill="1" applyBorder="1" applyAlignment="1">
      <alignment vertical="center" wrapText="1"/>
    </xf>
    <xf numFmtId="9" fontId="10" fillId="4" borderId="1" xfId="5" applyFont="1" applyFill="1" applyBorder="1" applyAlignment="1">
      <alignment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165" fontId="10" fillId="4" borderId="2" xfId="1" applyNumberFormat="1" applyFont="1" applyFill="1" applyBorder="1" applyAlignment="1">
      <alignment vertical="center" wrapText="1"/>
    </xf>
    <xf numFmtId="9" fontId="10" fillId="4" borderId="2" xfId="5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10" fillId="4" borderId="19" xfId="0" applyFont="1" applyFill="1" applyBorder="1" applyAlignment="1">
      <alignment horizontal="left" vertical="center"/>
    </xf>
    <xf numFmtId="0" fontId="10" fillId="4" borderId="19" xfId="2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10" fillId="4" borderId="1" xfId="8" applyFont="1" applyFill="1" applyBorder="1" applyAlignment="1" applyProtection="1">
      <alignment horizontal="center" vertical="center"/>
    </xf>
    <xf numFmtId="0" fontId="10" fillId="4" borderId="2" xfId="8" applyFont="1" applyFill="1" applyBorder="1" applyAlignment="1" applyProtection="1">
      <alignment horizontal="center"/>
    </xf>
    <xf numFmtId="0" fontId="10" fillId="4" borderId="2" xfId="8" applyFont="1" applyFill="1" applyBorder="1" applyAlignment="1" applyProtection="1">
      <alignment horizontal="center" vertical="center"/>
    </xf>
    <xf numFmtId="0" fontId="10" fillId="4" borderId="1" xfId="8" applyFont="1" applyFill="1" applyBorder="1" applyProtection="1"/>
    <xf numFmtId="0" fontId="10" fillId="4" borderId="2" xfId="8" quotePrefix="1" applyFont="1" applyFill="1" applyBorder="1" applyAlignment="1" applyProtection="1">
      <alignment horizontal="center" vertical="center"/>
    </xf>
    <xf numFmtId="0" fontId="10" fillId="4" borderId="1" xfId="8" applyFont="1" applyFill="1" applyBorder="1" applyAlignment="1" applyProtection="1">
      <alignment horizontal="center"/>
    </xf>
    <xf numFmtId="0" fontId="10" fillId="4" borderId="1" xfId="8" quotePrefix="1" applyFont="1" applyFill="1" applyBorder="1" applyAlignment="1" applyProtection="1">
      <alignment horizontal="center"/>
    </xf>
    <xf numFmtId="0" fontId="42" fillId="4" borderId="1" xfId="8" applyFont="1" applyFill="1" applyBorder="1" applyAlignment="1" applyProtection="1">
      <alignment horizontal="left" vertical="center"/>
    </xf>
    <xf numFmtId="0" fontId="42" fillId="4" borderId="1" xfId="8" applyFont="1" applyFill="1" applyBorder="1" applyAlignment="1" applyProtection="1">
      <alignment horizontal="center" vertical="center"/>
    </xf>
    <xf numFmtId="0" fontId="42" fillId="4" borderId="1" xfId="2" applyFont="1" applyFill="1" applyBorder="1" applyAlignment="1">
      <alignment horizontal="center" vertical="center" wrapText="1"/>
    </xf>
    <xf numFmtId="0" fontId="42" fillId="4" borderId="1" xfId="8" applyFont="1" applyFill="1" applyBorder="1" applyAlignment="1" applyProtection="1">
      <alignment horizontal="center"/>
    </xf>
    <xf numFmtId="49" fontId="10" fillId="4" borderId="1" xfId="8" applyNumberFormat="1" applyFont="1" applyFill="1" applyBorder="1" applyAlignment="1" applyProtection="1">
      <alignment horizontal="left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0" fillId="4" borderId="1" xfId="8" applyFont="1" applyFill="1" applyBorder="1" applyAlignment="1" applyProtection="1">
      <alignment horizontal="left" vertical="center"/>
    </xf>
    <xf numFmtId="0" fontId="10" fillId="4" borderId="6" xfId="8" applyFont="1" applyFill="1" applyBorder="1" applyAlignment="1" applyProtection="1">
      <alignment horizontal="center" vertical="center"/>
    </xf>
    <xf numFmtId="0" fontId="10" fillId="4" borderId="3" xfId="8" applyFont="1" applyFill="1" applyBorder="1" applyAlignment="1" applyProtection="1">
      <alignment horizontal="center" vertical="center"/>
    </xf>
    <xf numFmtId="0" fontId="10" fillId="4" borderId="1" xfId="8" applyFont="1" applyFill="1" applyBorder="1" applyAlignment="1" applyProtection="1">
      <alignment wrapText="1"/>
    </xf>
    <xf numFmtId="0" fontId="13" fillId="4" borderId="1" xfId="8" applyFont="1" applyFill="1" applyBorder="1" applyAlignment="1" applyProtection="1">
      <alignment horizontal="center" wrapText="1"/>
    </xf>
    <xf numFmtId="0" fontId="10" fillId="4" borderId="1" xfId="8" applyFont="1" applyFill="1" applyBorder="1" applyAlignment="1" applyProtection="1">
      <alignment horizontal="center" wrapText="1"/>
    </xf>
    <xf numFmtId="0" fontId="10" fillId="4" borderId="2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top" wrapText="1"/>
    </xf>
    <xf numFmtId="0" fontId="13" fillId="4" borderId="17" xfId="0" applyFont="1" applyFill="1" applyBorder="1" applyAlignment="1">
      <alignment horizontal="center" wrapText="1"/>
    </xf>
    <xf numFmtId="165" fontId="4" fillId="4" borderId="4" xfId="1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  <xf numFmtId="165" fontId="36" fillId="4" borderId="5" xfId="1" applyNumberFormat="1" applyFont="1" applyFill="1" applyBorder="1" applyAlignment="1">
      <alignment vertical="center"/>
    </xf>
    <xf numFmtId="9" fontId="36" fillId="4" borderId="5" xfId="5" applyFont="1" applyFill="1" applyBorder="1" applyAlignment="1">
      <alignment vertical="center"/>
    </xf>
    <xf numFmtId="0" fontId="36" fillId="4" borderId="6" xfId="0" applyFont="1" applyFill="1" applyBorder="1" applyAlignment="1">
      <alignment horizontal="center" vertical="center"/>
    </xf>
    <xf numFmtId="165" fontId="36" fillId="4" borderId="1" xfId="1" applyNumberFormat="1" applyFont="1" applyFill="1" applyBorder="1" applyAlignment="1">
      <alignment vertical="center"/>
    </xf>
    <xf numFmtId="9" fontId="36" fillId="4" borderId="1" xfId="5" applyFont="1" applyFill="1" applyBorder="1" applyAlignment="1">
      <alignment vertical="center"/>
    </xf>
    <xf numFmtId="0" fontId="36" fillId="4" borderId="9" xfId="0" applyFont="1" applyFill="1" applyBorder="1" applyAlignment="1">
      <alignment horizontal="center" vertical="center"/>
    </xf>
    <xf numFmtId="165" fontId="36" fillId="4" borderId="2" xfId="1" applyNumberFormat="1" applyFont="1" applyFill="1" applyBorder="1" applyAlignment="1">
      <alignment vertical="center"/>
    </xf>
    <xf numFmtId="9" fontId="36" fillId="4" borderId="2" xfId="5" applyFont="1" applyFill="1" applyBorder="1" applyAlignment="1">
      <alignment vertical="center"/>
    </xf>
    <xf numFmtId="165" fontId="36" fillId="4" borderId="10" xfId="1" applyNumberFormat="1" applyFont="1" applyFill="1" applyBorder="1" applyAlignment="1">
      <alignment vertical="center"/>
    </xf>
    <xf numFmtId="0" fontId="36" fillId="4" borderId="9" xfId="0" applyFont="1" applyFill="1" applyBorder="1" applyAlignment="1">
      <alignment horizontal="center" vertical="center" wrapText="1"/>
    </xf>
    <xf numFmtId="165" fontId="36" fillId="4" borderId="2" xfId="1" applyNumberFormat="1" applyFont="1" applyFill="1" applyBorder="1" applyAlignment="1">
      <alignment vertical="center" wrapText="1"/>
    </xf>
    <xf numFmtId="165" fontId="36" fillId="4" borderId="5" xfId="1" applyNumberFormat="1" applyFont="1" applyFill="1" applyBorder="1" applyAlignment="1">
      <alignment vertical="center" wrapText="1"/>
    </xf>
    <xf numFmtId="9" fontId="36" fillId="4" borderId="5" xfId="5" applyFont="1" applyFill="1" applyBorder="1" applyAlignment="1">
      <alignment vertical="center" wrapText="1"/>
    </xf>
    <xf numFmtId="9" fontId="36" fillId="4" borderId="1" xfId="5" applyFont="1" applyFill="1" applyBorder="1" applyAlignment="1">
      <alignment vertical="center" wrapText="1"/>
    </xf>
    <xf numFmtId="0" fontId="36" fillId="4" borderId="10" xfId="0" applyFont="1" applyFill="1" applyBorder="1" applyAlignment="1">
      <alignment horizontal="center" vertical="center" wrapText="1"/>
    </xf>
    <xf numFmtId="165" fontId="36" fillId="4" borderId="10" xfId="1" applyNumberFormat="1" applyFont="1" applyFill="1" applyBorder="1" applyAlignment="1">
      <alignment vertical="center" wrapText="1"/>
    </xf>
    <xf numFmtId="9" fontId="36" fillId="4" borderId="10" xfId="5" applyFont="1" applyFill="1" applyBorder="1" applyAlignment="1">
      <alignment vertical="center" wrapText="1"/>
    </xf>
    <xf numFmtId="9" fontId="36" fillId="4" borderId="2" xfId="5" applyFont="1" applyFill="1" applyBorder="1" applyAlignment="1">
      <alignment vertical="center" wrapText="1"/>
    </xf>
    <xf numFmtId="0" fontId="34" fillId="4" borderId="1" xfId="0" applyFont="1" applyFill="1" applyBorder="1" applyAlignment="1">
      <alignment vertical="center" wrapText="1"/>
    </xf>
    <xf numFmtId="0" fontId="36" fillId="4" borderId="1" xfId="0" applyFont="1" applyFill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Continuous"/>
    </xf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wrapText="1"/>
    </xf>
    <xf numFmtId="0" fontId="13" fillId="4" borderId="0" xfId="0" applyFon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3" fontId="21" fillId="4" borderId="1" xfId="0" applyNumberFormat="1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34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4" fillId="4" borderId="4" xfId="0" applyFont="1" applyFill="1" applyBorder="1"/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wrapText="1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3" fontId="7" fillId="4" borderId="1" xfId="1" applyFont="1" applyFill="1" applyBorder="1" applyAlignment="1">
      <alignment horizontal="center" vertical="center"/>
    </xf>
    <xf numFmtId="0" fontId="7" fillId="4" borderId="0" xfId="0" applyFont="1" applyFill="1"/>
    <xf numFmtId="0" fontId="2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52" fillId="11" borderId="1" xfId="0" applyFont="1" applyFill="1" applyBorder="1" applyAlignment="1">
      <alignment vertical="center" wrapText="1"/>
    </xf>
    <xf numFmtId="165" fontId="7" fillId="4" borderId="1" xfId="1" applyNumberFormat="1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43" fontId="5" fillId="4" borderId="1" xfId="1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38" fillId="4" borderId="0" xfId="0" applyFont="1" applyFill="1" applyAlignment="1">
      <alignment vertical="center"/>
    </xf>
    <xf numFmtId="0" fontId="39" fillId="4" borderId="1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vertical="center"/>
    </xf>
    <xf numFmtId="0" fontId="41" fillId="4" borderId="1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left" vertical="center"/>
    </xf>
    <xf numFmtId="0" fontId="42" fillId="4" borderId="18" xfId="0" applyFont="1" applyFill="1" applyBorder="1" applyAlignment="1">
      <alignment horizontal="center" vertical="center" wrapText="1"/>
    </xf>
    <xf numFmtId="0" fontId="42" fillId="4" borderId="18" xfId="0" applyFont="1" applyFill="1" applyBorder="1" applyAlignment="1">
      <alignment horizontal="center" vertical="center"/>
    </xf>
    <xf numFmtId="0" fontId="42" fillId="4" borderId="18" xfId="2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left" vertical="center"/>
    </xf>
    <xf numFmtId="0" fontId="42" fillId="4" borderId="19" xfId="0" applyFont="1" applyFill="1" applyBorder="1" applyAlignment="1">
      <alignment horizontal="center" vertical="center" wrapText="1"/>
    </xf>
    <xf numFmtId="0" fontId="42" fillId="4" borderId="19" xfId="0" applyFont="1" applyFill="1" applyBorder="1" applyAlignment="1">
      <alignment horizontal="center" vertical="center"/>
    </xf>
    <xf numFmtId="0" fontId="42" fillId="4" borderId="19" xfId="2" applyFont="1" applyFill="1" applyBorder="1" applyAlignment="1">
      <alignment horizontal="center" vertical="center" wrapText="1"/>
    </xf>
    <xf numFmtId="165" fontId="42" fillId="4" borderId="19" xfId="1" applyNumberFormat="1" applyFont="1" applyFill="1" applyBorder="1" applyAlignment="1" applyProtection="1">
      <alignment horizontal="center" vertical="center"/>
    </xf>
    <xf numFmtId="0" fontId="10" fillId="4" borderId="19" xfId="0" applyFont="1" applyFill="1" applyBorder="1" applyAlignment="1">
      <alignment horizontal="left" vertical="center" wrapText="1"/>
    </xf>
    <xf numFmtId="0" fontId="10" fillId="4" borderId="19" xfId="0" applyFont="1" applyFill="1" applyBorder="1" applyAlignment="1">
      <alignment horizontal="center" vertical="center" wrapText="1"/>
    </xf>
    <xf numFmtId="9" fontId="42" fillId="4" borderId="19" xfId="5" applyFont="1" applyFill="1" applyBorder="1" applyAlignment="1" applyProtection="1">
      <alignment horizontal="center" vertical="center"/>
    </xf>
    <xf numFmtId="16" fontId="10" fillId="4" borderId="19" xfId="0" applyNumberFormat="1" applyFont="1" applyFill="1" applyBorder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49" fontId="10" fillId="4" borderId="19" xfId="0" applyNumberFormat="1" applyFont="1" applyFill="1" applyBorder="1" applyAlignment="1">
      <alignment horizontal="left" vertical="center" wrapText="1"/>
    </xf>
    <xf numFmtId="49" fontId="13" fillId="4" borderId="19" xfId="0" applyNumberFormat="1" applyFont="1" applyFill="1" applyBorder="1" applyAlignment="1">
      <alignment horizontal="left" vertical="center" wrapText="1"/>
    </xf>
    <xf numFmtId="0" fontId="13" fillId="4" borderId="19" xfId="2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left" vertical="center" wrapText="1"/>
    </xf>
    <xf numFmtId="0" fontId="43" fillId="4" borderId="19" xfId="0" applyFont="1" applyFill="1" applyBorder="1" applyAlignment="1">
      <alignment horizontal="center" vertical="center"/>
    </xf>
    <xf numFmtId="165" fontId="43" fillId="4" borderId="19" xfId="1" applyNumberFormat="1" applyFont="1" applyFill="1" applyBorder="1" applyAlignment="1" applyProtection="1">
      <alignment horizontal="center" vertical="center"/>
    </xf>
    <xf numFmtId="9" fontId="43" fillId="4" borderId="19" xfId="5" applyFont="1" applyFill="1" applyBorder="1" applyAlignment="1" applyProtection="1">
      <alignment horizontal="center" vertical="center"/>
    </xf>
    <xf numFmtId="0" fontId="13" fillId="4" borderId="1" xfId="8" applyFont="1" applyFill="1" applyBorder="1" applyAlignment="1" applyProtection="1">
      <alignment horizontal="left" vertical="center"/>
    </xf>
    <xf numFmtId="0" fontId="4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0" fillId="4" borderId="19" xfId="2" applyFont="1" applyFill="1" applyBorder="1" applyAlignment="1">
      <alignment horizontal="left" vertical="center" wrapText="1"/>
    </xf>
    <xf numFmtId="0" fontId="42" fillId="4" borderId="1" xfId="3" applyFont="1" applyFill="1" applyBorder="1" applyAlignment="1">
      <alignment horizontal="left" vertical="center" wrapText="1"/>
    </xf>
    <xf numFmtId="0" fontId="42" fillId="4" borderId="2" xfId="8" applyFont="1" applyFill="1" applyBorder="1" applyAlignment="1" applyProtection="1">
      <alignment horizontal="center" vertical="center"/>
    </xf>
    <xf numFmtId="0" fontId="45" fillId="4" borderId="1" xfId="9" applyFont="1" applyFill="1" applyBorder="1" applyAlignment="1" applyProtection="1">
      <alignment horizontal="center" vertical="center"/>
    </xf>
    <xf numFmtId="0" fontId="42" fillId="4" borderId="2" xfId="8" applyFont="1" applyFill="1" applyBorder="1" applyAlignment="1" applyProtection="1">
      <alignment horizontal="center"/>
    </xf>
    <xf numFmtId="49" fontId="42" fillId="4" borderId="19" xfId="0" applyNumberFormat="1" applyFont="1" applyFill="1" applyBorder="1" applyAlignment="1">
      <alignment horizontal="left" vertical="center" wrapText="1"/>
    </xf>
    <xf numFmtId="0" fontId="43" fillId="4" borderId="19" xfId="0" applyFont="1" applyFill="1" applyBorder="1" applyAlignment="1">
      <alignment horizontal="left" vertical="center"/>
    </xf>
    <xf numFmtId="0" fontId="43" fillId="4" borderId="19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2" xfId="3" applyFont="1" applyFill="1" applyBorder="1" applyAlignment="1">
      <alignment horizontal="left" vertical="center" wrapText="1"/>
    </xf>
    <xf numFmtId="0" fontId="27" fillId="4" borderId="2" xfId="3" applyFont="1" applyFill="1" applyBorder="1" applyAlignment="1">
      <alignment horizontal="center" vertical="center"/>
    </xf>
    <xf numFmtId="0" fontId="27" fillId="4" borderId="2" xfId="9" applyFont="1" applyFill="1" applyBorder="1" applyAlignment="1" applyProtection="1">
      <alignment horizontal="center" vertical="center"/>
    </xf>
    <xf numFmtId="0" fontId="10" fillId="4" borderId="1" xfId="3" applyFont="1" applyFill="1" applyBorder="1" applyAlignment="1">
      <alignment horizontal="left" vertical="center" wrapText="1"/>
    </xf>
    <xf numFmtId="0" fontId="27" fillId="4" borderId="1" xfId="3" applyFont="1" applyFill="1" applyBorder="1" applyAlignment="1">
      <alignment horizontal="center" vertical="center"/>
    </xf>
    <xf numFmtId="0" fontId="27" fillId="4" borderId="1" xfId="9" applyFont="1" applyFill="1" applyBorder="1" applyAlignment="1" applyProtection="1">
      <alignment horizontal="center" vertical="center"/>
    </xf>
    <xf numFmtId="49" fontId="10" fillId="4" borderId="1" xfId="0" applyNumberFormat="1" applyFont="1" applyFill="1" applyBorder="1" applyAlignment="1">
      <alignment horizontal="left" vertical="center" wrapText="1"/>
    </xf>
    <xf numFmtId="0" fontId="10" fillId="4" borderId="1" xfId="2" applyFont="1" applyFill="1" applyBorder="1" applyAlignment="1">
      <alignment horizontal="left" vertical="center" wrapText="1"/>
    </xf>
    <xf numFmtId="0" fontId="13" fillId="4" borderId="1" xfId="2" applyFont="1" applyFill="1" applyBorder="1" applyAlignment="1">
      <alignment horizontal="left" vertical="center" wrapText="1"/>
    </xf>
    <xf numFmtId="49" fontId="13" fillId="4" borderId="1" xfId="8" applyNumberFormat="1" applyFont="1" applyFill="1" applyBorder="1" applyAlignment="1" applyProtection="1">
      <alignment horizontal="left" vertical="center" wrapText="1"/>
    </xf>
    <xf numFmtId="0" fontId="43" fillId="4" borderId="19" xfId="0" applyFont="1" applyFill="1" applyBorder="1" applyAlignment="1">
      <alignment horizontal="left" vertical="center" wrapText="1"/>
    </xf>
    <xf numFmtId="0" fontId="46" fillId="4" borderId="19" xfId="0" applyFont="1" applyFill="1" applyBorder="1" applyAlignment="1">
      <alignment horizontal="left" vertical="center" wrapText="1"/>
    </xf>
    <xf numFmtId="0" fontId="46" fillId="4" borderId="19" xfId="0" applyFont="1" applyFill="1" applyBorder="1" applyAlignment="1">
      <alignment horizontal="center" vertical="center" wrapText="1"/>
    </xf>
    <xf numFmtId="0" fontId="46" fillId="4" borderId="19" xfId="0" applyFont="1" applyFill="1" applyBorder="1" applyAlignment="1">
      <alignment horizontal="center" vertical="center"/>
    </xf>
    <xf numFmtId="0" fontId="42" fillId="4" borderId="19" xfId="0" applyFont="1" applyFill="1" applyBorder="1" applyAlignment="1">
      <alignment horizontal="left" vertical="center" wrapText="1"/>
    </xf>
    <xf numFmtId="0" fontId="42" fillId="4" borderId="19" xfId="0" applyFont="1" applyFill="1" applyBorder="1" applyAlignment="1">
      <alignment horizontal="left" vertical="center"/>
    </xf>
    <xf numFmtId="0" fontId="42" fillId="4" borderId="10" xfId="0" applyFont="1" applyFill="1" applyBorder="1" applyAlignment="1">
      <alignment horizontal="center" vertical="center"/>
    </xf>
    <xf numFmtId="0" fontId="42" fillId="4" borderId="1" xfId="2" applyFont="1" applyFill="1" applyBorder="1" applyAlignment="1">
      <alignment horizontal="center" wrapText="1"/>
    </xf>
    <xf numFmtId="0" fontId="42" fillId="4" borderId="1" xfId="8" applyFont="1" applyFill="1" applyBorder="1" applyProtection="1"/>
    <xf numFmtId="0" fontId="42" fillId="4" borderId="3" xfId="8" applyFont="1" applyFill="1" applyBorder="1" applyProtection="1"/>
    <xf numFmtId="0" fontId="42" fillId="4" borderId="6" xfId="8" applyFont="1" applyFill="1" applyBorder="1" applyAlignment="1" applyProtection="1">
      <alignment horizontal="center"/>
    </xf>
    <xf numFmtId="165" fontId="42" fillId="4" borderId="1" xfId="6" applyNumberFormat="1" applyFont="1" applyFill="1" applyBorder="1" applyAlignment="1" applyProtection="1"/>
    <xf numFmtId="165" fontId="42" fillId="4" borderId="1" xfId="6" applyNumberFormat="1" applyFont="1" applyFill="1" applyBorder="1" applyAlignment="1" applyProtection="1">
      <alignment horizontal="center" vertical="center"/>
    </xf>
    <xf numFmtId="9" fontId="42" fillId="4" borderId="1" xfId="7" applyFont="1" applyFill="1" applyBorder="1" applyAlignment="1" applyProtection="1"/>
    <xf numFmtId="0" fontId="42" fillId="4" borderId="6" xfId="8" applyFont="1" applyFill="1" applyBorder="1" applyAlignment="1" applyProtection="1">
      <alignment horizontal="center" vertical="center"/>
    </xf>
    <xf numFmtId="49" fontId="42" fillId="4" borderId="1" xfId="8" applyNumberFormat="1" applyFont="1" applyFill="1" applyBorder="1" applyAlignment="1" applyProtection="1">
      <alignment horizontal="left" vertical="center" wrapText="1"/>
    </xf>
    <xf numFmtId="0" fontId="43" fillId="4" borderId="1" xfId="8" applyFont="1" applyFill="1" applyBorder="1" applyAlignment="1" applyProtection="1">
      <alignment horizontal="center" wrapText="1"/>
    </xf>
    <xf numFmtId="0" fontId="42" fillId="4" borderId="1" xfId="8" applyFont="1" applyFill="1" applyBorder="1" applyAlignment="1" applyProtection="1">
      <alignment horizontal="center" wrapText="1"/>
    </xf>
    <xf numFmtId="0" fontId="42" fillId="4" borderId="0" xfId="8" applyFont="1" applyFill="1" applyAlignment="1" applyProtection="1">
      <alignment horizontal="center"/>
    </xf>
    <xf numFmtId="0" fontId="42" fillId="4" borderId="3" xfId="8" applyFont="1" applyFill="1" applyBorder="1" applyAlignment="1" applyProtection="1">
      <alignment horizontal="center" vertical="center"/>
    </xf>
    <xf numFmtId="0" fontId="43" fillId="4" borderId="1" xfId="8" applyFont="1" applyFill="1" applyBorder="1" applyAlignment="1" applyProtection="1">
      <alignment horizontal="left" vertical="center"/>
    </xf>
    <xf numFmtId="49" fontId="43" fillId="4" borderId="1" xfId="8" applyNumberFormat="1" applyFont="1" applyFill="1" applyBorder="1" applyAlignment="1" applyProtection="1">
      <alignment horizontal="left" vertical="center" wrapText="1"/>
    </xf>
    <xf numFmtId="0" fontId="42" fillId="4" borderId="2" xfId="2" applyFont="1" applyFill="1" applyBorder="1" applyAlignment="1">
      <alignment horizontal="center" vertical="center" wrapText="1"/>
    </xf>
    <xf numFmtId="0" fontId="42" fillId="4" borderId="10" xfId="8" applyFont="1" applyFill="1" applyBorder="1" applyAlignment="1" applyProtection="1">
      <alignment horizontal="center" vertical="center"/>
    </xf>
    <xf numFmtId="165" fontId="42" fillId="4" borderId="2" xfId="6" applyNumberFormat="1" applyFont="1" applyFill="1" applyBorder="1" applyAlignment="1" applyProtection="1"/>
    <xf numFmtId="165" fontId="42" fillId="4" borderId="2" xfId="6" applyNumberFormat="1" applyFont="1" applyFill="1" applyBorder="1" applyAlignment="1" applyProtection="1">
      <alignment horizontal="center" vertical="center"/>
    </xf>
    <xf numFmtId="9" fontId="42" fillId="4" borderId="2" xfId="7" applyFont="1" applyFill="1" applyBorder="1" applyAlignment="1" applyProtection="1"/>
    <xf numFmtId="0" fontId="43" fillId="4" borderId="1" xfId="3" applyFont="1" applyFill="1" applyBorder="1" applyAlignment="1">
      <alignment horizontal="left" vertical="center" wrapText="1"/>
    </xf>
    <xf numFmtId="0" fontId="42" fillId="4" borderId="2" xfId="8" quotePrefix="1" applyFont="1" applyFill="1" applyBorder="1" applyAlignment="1" applyProtection="1">
      <alignment horizontal="center"/>
    </xf>
    <xf numFmtId="0" fontId="10" fillId="4" borderId="2" xfId="8" quotePrefix="1" applyFont="1" applyFill="1" applyBorder="1" applyAlignment="1" applyProtection="1">
      <alignment horizontal="center"/>
    </xf>
    <xf numFmtId="165" fontId="10" fillId="4" borderId="2" xfId="6" applyNumberFormat="1" applyFont="1" applyFill="1" applyBorder="1" applyAlignment="1" applyProtection="1"/>
    <xf numFmtId="165" fontId="10" fillId="4" borderId="2" xfId="6" applyNumberFormat="1" applyFont="1" applyFill="1" applyBorder="1" applyAlignment="1" applyProtection="1">
      <alignment horizontal="center" vertical="center"/>
    </xf>
    <xf numFmtId="9" fontId="10" fillId="4" borderId="2" xfId="7" applyFont="1" applyFill="1" applyBorder="1" applyAlignment="1" applyProtection="1"/>
    <xf numFmtId="0" fontId="42" fillId="4" borderId="2" xfId="8" quotePrefix="1" applyFont="1" applyFill="1" applyBorder="1" applyAlignment="1" applyProtection="1">
      <alignment horizontal="center" vertical="center"/>
    </xf>
    <xf numFmtId="0" fontId="45" fillId="4" borderId="1" xfId="3" applyFont="1" applyFill="1" applyBorder="1" applyAlignment="1">
      <alignment horizontal="center" vertical="center"/>
    </xf>
    <xf numFmtId="16" fontId="42" fillId="4" borderId="2" xfId="8" quotePrefix="1" applyNumberFormat="1" applyFont="1" applyFill="1" applyBorder="1" applyAlignment="1" applyProtection="1">
      <alignment horizontal="center" vertical="center"/>
    </xf>
    <xf numFmtId="0" fontId="42" fillId="4" borderId="1" xfId="8" quotePrefix="1" applyFont="1" applyFill="1" applyBorder="1" applyAlignment="1" applyProtection="1">
      <alignment horizontal="center" vertical="center"/>
    </xf>
    <xf numFmtId="0" fontId="47" fillId="4" borderId="1" xfId="3" applyFont="1" applyFill="1" applyBorder="1" applyAlignment="1">
      <alignment horizontal="center" vertical="center"/>
    </xf>
    <xf numFmtId="0" fontId="45" fillId="4" borderId="0" xfId="9" applyFont="1" applyFill="1" applyAlignment="1" applyProtection="1">
      <alignment horizontal="center" vertical="center"/>
    </xf>
    <xf numFmtId="0" fontId="10" fillId="4" borderId="10" xfId="0" applyFont="1" applyFill="1" applyBorder="1" applyAlignment="1">
      <alignment horizontal="left" vertical="center" wrapText="1"/>
    </xf>
    <xf numFmtId="0" fontId="10" fillId="4" borderId="10" xfId="2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/>
    </xf>
    <xf numFmtId="165" fontId="42" fillId="4" borderId="1" xfId="1" applyNumberFormat="1" applyFont="1" applyFill="1" applyBorder="1" applyAlignment="1" applyProtection="1">
      <alignment horizontal="center" vertical="center"/>
    </xf>
    <xf numFmtId="9" fontId="42" fillId="4" borderId="1" xfId="5" applyFont="1" applyFill="1" applyBorder="1" applyAlignment="1" applyProtection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165" fontId="40" fillId="4" borderId="1" xfId="0" applyNumberFormat="1" applyFont="1" applyFill="1" applyBorder="1" applyAlignment="1">
      <alignment horizontal="center" vertical="center"/>
    </xf>
    <xf numFmtId="9" fontId="40" fillId="4" borderId="1" xfId="5" applyFont="1" applyFill="1" applyBorder="1" applyAlignment="1" applyProtection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49" fillId="4" borderId="0" xfId="0" applyFont="1" applyFill="1" applyAlignment="1">
      <alignment horizontal="left" vertical="center"/>
    </xf>
    <xf numFmtId="0" fontId="40" fillId="4" borderId="0" xfId="0" applyFont="1" applyFill="1" applyAlignment="1">
      <alignment horizontal="center" vertical="center"/>
    </xf>
    <xf numFmtId="0" fontId="50" fillId="4" borderId="0" xfId="0" applyFont="1" applyFill="1" applyAlignment="1">
      <alignment vertical="center"/>
    </xf>
    <xf numFmtId="0" fontId="21" fillId="4" borderId="5" xfId="0" applyFont="1" applyFill="1" applyBorder="1" applyAlignment="1">
      <alignment vertical="center" wrapText="1"/>
    </xf>
    <xf numFmtId="0" fontId="13" fillId="4" borderId="9" xfId="0" applyFont="1" applyFill="1" applyBorder="1" applyAlignment="1">
      <alignment horizontal="center"/>
    </xf>
    <xf numFmtId="0" fontId="13" fillId="4" borderId="13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9" xfId="0" applyFont="1" applyFill="1" applyBorder="1"/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27" fillId="4" borderId="1" xfId="0" applyFont="1" applyFill="1" applyBorder="1"/>
    <xf numFmtId="0" fontId="27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/>
    </xf>
    <xf numFmtId="0" fontId="30" fillId="4" borderId="1" xfId="0" applyFont="1" applyFill="1" applyBorder="1" applyAlignment="1">
      <alignment horizontal="left"/>
    </xf>
    <xf numFmtId="0" fontId="29" fillId="4" borderId="0" xfId="0" applyFont="1" applyFill="1"/>
    <xf numFmtId="0" fontId="13" fillId="4" borderId="1" xfId="2" applyFont="1" applyFill="1" applyBorder="1" applyAlignment="1">
      <alignment horizontal="right" wrapText="1"/>
    </xf>
    <xf numFmtId="9" fontId="13" fillId="4" borderId="1" xfId="5" applyFont="1" applyFill="1" applyBorder="1" applyAlignment="1">
      <alignment horizontal="right"/>
    </xf>
    <xf numFmtId="0" fontId="13" fillId="4" borderId="0" xfId="2" applyFont="1" applyFill="1" applyAlignment="1">
      <alignment horizontal="right" wrapText="1"/>
    </xf>
    <xf numFmtId="0" fontId="8" fillId="4" borderId="1" xfId="3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left" vertical="center" wrapText="1"/>
    </xf>
    <xf numFmtId="0" fontId="4" fillId="4" borderId="1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4" fillId="4" borderId="8" xfId="3" applyFont="1" applyFill="1" applyBorder="1" applyAlignment="1">
      <alignment horizontal="center" vertical="center"/>
    </xf>
    <xf numFmtId="0" fontId="4" fillId="4" borderId="8" xfId="3" applyFont="1" applyFill="1" applyBorder="1" applyAlignment="1">
      <alignment horizontal="center" vertical="center" wrapText="1"/>
    </xf>
    <xf numFmtId="165" fontId="10" fillId="4" borderId="1" xfId="0" applyNumberFormat="1" applyFont="1" applyFill="1" applyBorder="1"/>
    <xf numFmtId="0" fontId="10" fillId="4" borderId="1" xfId="0" applyFont="1" applyFill="1" applyBorder="1" applyAlignment="1">
      <alignment horizontal="left"/>
    </xf>
    <xf numFmtId="0" fontId="10" fillId="4" borderId="0" xfId="0" applyFont="1" applyFill="1" applyAlignment="1">
      <alignment vertical="center"/>
    </xf>
    <xf numFmtId="43" fontId="13" fillId="4" borderId="5" xfId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wrapText="1"/>
    </xf>
    <xf numFmtId="9" fontId="10" fillId="4" borderId="5" xfId="5" applyFont="1" applyFill="1" applyBorder="1" applyAlignment="1">
      <alignment wrapText="1"/>
    </xf>
    <xf numFmtId="0" fontId="13" fillId="4" borderId="1" xfId="0" applyFont="1" applyFill="1" applyBorder="1" applyAlignment="1">
      <alignment horizontal="center" vertical="center"/>
    </xf>
    <xf numFmtId="0" fontId="10" fillId="4" borderId="1" xfId="0" quotePrefix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0" fillId="4" borderId="5" xfId="0" applyFill="1" applyBorder="1"/>
    <xf numFmtId="0" fontId="13" fillId="4" borderId="1" xfId="0" applyFont="1" applyFill="1" applyBorder="1" applyAlignment="1">
      <alignment horizontal="right"/>
    </xf>
    <xf numFmtId="165" fontId="13" fillId="4" borderId="1" xfId="1" applyNumberFormat="1" applyFont="1" applyFill="1" applyBorder="1"/>
    <xf numFmtId="165" fontId="13" fillId="4" borderId="1" xfId="1" applyNumberFormat="1" applyFont="1" applyFill="1" applyBorder="1" applyAlignment="1">
      <alignment horizontal="center" vertical="center"/>
    </xf>
    <xf numFmtId="9" fontId="13" fillId="4" borderId="1" xfId="5" applyFont="1" applyFill="1" applyBorder="1"/>
    <xf numFmtId="0" fontId="13" fillId="4" borderId="17" xfId="0" applyFont="1" applyFill="1" applyBorder="1" applyAlignment="1">
      <alignment wrapText="1"/>
    </xf>
    <xf numFmtId="0" fontId="13" fillId="2" borderId="1" xfId="0" applyFont="1" applyFill="1" applyBorder="1" applyAlignment="1">
      <alignment vertical="center" wrapText="1"/>
    </xf>
    <xf numFmtId="0" fontId="10" fillId="2" borderId="1" xfId="2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right"/>
    </xf>
    <xf numFmtId="0" fontId="10" fillId="2" borderId="0" xfId="0" applyFont="1" applyFill="1"/>
    <xf numFmtId="0" fontId="10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right" wrapText="1"/>
    </xf>
    <xf numFmtId="0" fontId="10" fillId="8" borderId="1" xfId="0" applyFont="1" applyFill="1" applyBorder="1" applyAlignment="1">
      <alignment horizontal="right"/>
    </xf>
    <xf numFmtId="49" fontId="10" fillId="8" borderId="1" xfId="0" applyNumberFormat="1" applyFont="1" applyFill="1" applyBorder="1" applyAlignment="1">
      <alignment horizontal="right"/>
    </xf>
    <xf numFmtId="0" fontId="10" fillId="8" borderId="0" xfId="0" applyFont="1" applyFill="1"/>
    <xf numFmtId="9" fontId="10" fillId="8" borderId="1" xfId="5" applyFont="1" applyFill="1" applyBorder="1"/>
    <xf numFmtId="0" fontId="13" fillId="8" borderId="0" xfId="0" applyFont="1" applyFill="1"/>
    <xf numFmtId="0" fontId="10" fillId="0" borderId="0" xfId="0" applyFont="1"/>
    <xf numFmtId="0" fontId="13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/>
    </xf>
    <xf numFmtId="0" fontId="42" fillId="12" borderId="22" xfId="0" applyFont="1" applyFill="1" applyBorder="1" applyAlignment="1">
      <alignment horizontal="center"/>
    </xf>
    <xf numFmtId="0" fontId="43" fillId="12" borderId="22" xfId="0" applyFont="1" applyFill="1" applyBorder="1" applyAlignment="1">
      <alignment horizontal="left"/>
    </xf>
    <xf numFmtId="0" fontId="42" fillId="12" borderId="22" xfId="0" applyFont="1" applyFill="1" applyBorder="1" applyAlignment="1">
      <alignment horizontal="center" vertical="center" wrapText="1"/>
    </xf>
    <xf numFmtId="0" fontId="42" fillId="12" borderId="22" xfId="0" applyFont="1" applyFill="1" applyBorder="1" applyAlignment="1">
      <alignment horizontal="right" wrapText="1"/>
    </xf>
    <xf numFmtId="0" fontId="42" fillId="12" borderId="0" xfId="0" applyFont="1" applyFill="1"/>
    <xf numFmtId="165" fontId="42" fillId="12" borderId="22" xfId="0" applyNumberFormat="1" applyFont="1" applyFill="1" applyBorder="1"/>
    <xf numFmtId="165" fontId="42" fillId="12" borderId="22" xfId="0" applyNumberFormat="1" applyFont="1" applyFill="1" applyBorder="1" applyAlignment="1">
      <alignment horizontal="center" vertical="center"/>
    </xf>
    <xf numFmtId="9" fontId="42" fillId="12" borderId="22" xfId="0" applyNumberFormat="1" applyFont="1" applyFill="1" applyBorder="1"/>
    <xf numFmtId="0" fontId="42" fillId="0" borderId="22" xfId="0" applyFont="1" applyBorder="1" applyAlignment="1">
      <alignment horizontal="center"/>
    </xf>
    <xf numFmtId="0" fontId="55" fillId="0" borderId="22" xfId="0" applyFont="1" applyBorder="1" applyAlignment="1">
      <alignment horizontal="left"/>
    </xf>
    <xf numFmtId="0" fontId="42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right" wrapText="1"/>
    </xf>
    <xf numFmtId="0" fontId="42" fillId="0" borderId="0" xfId="0" applyFont="1"/>
    <xf numFmtId="165" fontId="42" fillId="0" borderId="22" xfId="0" applyNumberFormat="1" applyFont="1" applyBorder="1"/>
    <xf numFmtId="165" fontId="42" fillId="0" borderId="22" xfId="0" applyNumberFormat="1" applyFont="1" applyBorder="1" applyAlignment="1">
      <alignment horizontal="center" vertical="center"/>
    </xf>
    <xf numFmtId="9" fontId="42" fillId="0" borderId="22" xfId="0" applyNumberFormat="1" applyFont="1" applyBorder="1"/>
    <xf numFmtId="0" fontId="10" fillId="2" borderId="1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left"/>
    </xf>
    <xf numFmtId="9" fontId="10" fillId="4" borderId="1" xfId="13" applyFont="1" applyFill="1" applyBorder="1"/>
    <xf numFmtId="165" fontId="10" fillId="4" borderId="1" xfId="10" applyNumberFormat="1" applyFont="1" applyFill="1" applyBorder="1"/>
    <xf numFmtId="165" fontId="10" fillId="4" borderId="1" xfId="10" applyNumberFormat="1" applyFont="1" applyFill="1" applyBorder="1" applyAlignment="1">
      <alignment horizontal="center" vertical="center"/>
    </xf>
    <xf numFmtId="9" fontId="10" fillId="4" borderId="1" xfId="13" applyFont="1" applyFill="1" applyBorder="1" applyAlignment="1">
      <alignment horizontal="right"/>
    </xf>
    <xf numFmtId="165" fontId="10" fillId="8" borderId="1" xfId="10" applyNumberFormat="1" applyFont="1" applyFill="1" applyBorder="1"/>
    <xf numFmtId="9" fontId="10" fillId="8" borderId="1" xfId="13" applyFont="1" applyFill="1" applyBorder="1" applyAlignment="1">
      <alignment horizontal="right"/>
    </xf>
    <xf numFmtId="0" fontId="30" fillId="8" borderId="1" xfId="0" applyFont="1" applyFill="1" applyBorder="1" applyAlignment="1">
      <alignment horizontal="left"/>
    </xf>
    <xf numFmtId="9" fontId="10" fillId="8" borderId="1" xfId="13" applyFont="1" applyFill="1" applyBorder="1"/>
    <xf numFmtId="0" fontId="13" fillId="8" borderId="1" xfId="0" applyFont="1" applyFill="1" applyBorder="1" applyAlignment="1">
      <alignment horizontal="center" wrapText="1"/>
    </xf>
    <xf numFmtId="0" fontId="31" fillId="8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left"/>
    </xf>
    <xf numFmtId="0" fontId="31" fillId="8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wrapText="1"/>
    </xf>
    <xf numFmtId="0" fontId="32" fillId="8" borderId="1" xfId="2" applyFont="1" applyFill="1" applyBorder="1" applyAlignment="1">
      <alignment horizontal="right" wrapText="1"/>
    </xf>
    <xf numFmtId="0" fontId="32" fillId="8" borderId="1" xfId="0" applyFont="1" applyFill="1" applyBorder="1" applyAlignment="1">
      <alignment horizontal="right"/>
    </xf>
    <xf numFmtId="49" fontId="32" fillId="8" borderId="1" xfId="0" applyNumberFormat="1" applyFont="1" applyFill="1" applyBorder="1" applyAlignment="1">
      <alignment horizontal="right"/>
    </xf>
    <xf numFmtId="165" fontId="32" fillId="8" borderId="1" xfId="10" applyNumberFormat="1" applyFont="1" applyFill="1" applyBorder="1"/>
    <xf numFmtId="165" fontId="32" fillId="8" borderId="1" xfId="10" applyNumberFormat="1" applyFont="1" applyFill="1" applyBorder="1" applyAlignment="1">
      <alignment horizontal="center" vertical="center"/>
    </xf>
    <xf numFmtId="9" fontId="32" fillId="8" borderId="1" xfId="13" applyFont="1" applyFill="1" applyBorder="1" applyAlignment="1">
      <alignment horizontal="right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wrapText="1"/>
    </xf>
    <xf numFmtId="0" fontId="32" fillId="4" borderId="1" xfId="2" applyFont="1" applyFill="1" applyBorder="1" applyAlignment="1">
      <alignment horizontal="right" wrapText="1"/>
    </xf>
    <xf numFmtId="165" fontId="32" fillId="4" borderId="1" xfId="10" applyNumberFormat="1" applyFont="1" applyFill="1" applyBorder="1"/>
    <xf numFmtId="165" fontId="32" fillId="4" borderId="1" xfId="10" applyNumberFormat="1" applyFont="1" applyFill="1" applyBorder="1" applyAlignment="1">
      <alignment horizontal="center" vertical="center"/>
    </xf>
    <xf numFmtId="9" fontId="32" fillId="4" borderId="1" xfId="13" applyFont="1" applyFill="1" applyBorder="1" applyAlignment="1">
      <alignment horizontal="right"/>
    </xf>
    <xf numFmtId="9" fontId="32" fillId="4" borderId="1" xfId="13" applyFont="1" applyFill="1" applyBorder="1"/>
    <xf numFmtId="0" fontId="32" fillId="8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 vertical="center" wrapText="1"/>
    </xf>
    <xf numFmtId="9" fontId="32" fillId="8" borderId="1" xfId="13" applyFont="1" applyFill="1" applyBorder="1"/>
    <xf numFmtId="0" fontId="10" fillId="8" borderId="1" xfId="0" applyFont="1" applyFill="1" applyBorder="1" applyAlignment="1">
      <alignment horizontal="center" vertical="center" wrapText="1"/>
    </xf>
    <xf numFmtId="165" fontId="10" fillId="8" borderId="1" xfId="10" applyNumberFormat="1" applyFont="1" applyFill="1" applyBorder="1" applyAlignment="1">
      <alignment horizontal="center" vertical="center"/>
    </xf>
    <xf numFmtId="0" fontId="32" fillId="8" borderId="0" xfId="0" applyFont="1" applyFill="1"/>
    <xf numFmtId="0" fontId="32" fillId="0" borderId="0" xfId="0" applyFont="1"/>
    <xf numFmtId="0" fontId="4" fillId="2" borderId="1" xfId="1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4" fillId="2" borderId="1" xfId="11" applyFont="1" applyFill="1" applyBorder="1" applyAlignment="1">
      <alignment horizontal="center" vertical="center"/>
    </xf>
    <xf numFmtId="165" fontId="10" fillId="4" borderId="4" xfId="14" applyNumberFormat="1" applyFont="1" applyFill="1" applyBorder="1"/>
    <xf numFmtId="0" fontId="28" fillId="0" borderId="1" xfId="0" applyFont="1" applyBorder="1" applyAlignment="1">
      <alignment horizontal="center" vertical="center" wrapText="1"/>
    </xf>
    <xf numFmtId="165" fontId="10" fillId="4" borderId="1" xfId="14" applyNumberFormat="1" applyFont="1" applyFill="1" applyBorder="1"/>
    <xf numFmtId="165" fontId="10" fillId="4" borderId="1" xfId="14" applyNumberFormat="1" applyFont="1" applyFill="1" applyBorder="1" applyAlignment="1">
      <alignment horizontal="center" vertical="center"/>
    </xf>
    <xf numFmtId="9" fontId="10" fillId="4" borderId="1" xfId="15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 wrapText="1"/>
    </xf>
    <xf numFmtId="165" fontId="10" fillId="8" borderId="1" xfId="14" applyNumberFormat="1" applyFont="1" applyFill="1" applyBorder="1"/>
    <xf numFmtId="9" fontId="10" fillId="8" borderId="1" xfId="15" applyFont="1" applyFill="1" applyBorder="1"/>
    <xf numFmtId="165" fontId="10" fillId="8" borderId="1" xfId="14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left"/>
    </xf>
    <xf numFmtId="9" fontId="10" fillId="4" borderId="1" xfId="15" applyFont="1" applyFill="1" applyBorder="1"/>
    <xf numFmtId="9" fontId="10" fillId="8" borderId="1" xfId="15" applyFont="1" applyFill="1" applyBorder="1" applyAlignment="1">
      <alignment horizontal="right"/>
    </xf>
    <xf numFmtId="0" fontId="4" fillId="0" borderId="1" xfId="11" applyFont="1" applyBorder="1" applyAlignment="1">
      <alignment horizontal="left" vertical="center" wrapText="1"/>
    </xf>
    <xf numFmtId="0" fontId="4" fillId="0" borderId="1" xfId="11" applyFont="1" applyBorder="1" applyAlignment="1">
      <alignment horizontal="center" vertical="center"/>
    </xf>
    <xf numFmtId="0" fontId="4" fillId="0" borderId="1" xfId="11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19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4" fillId="2" borderId="1" xfId="1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wrapText="1"/>
    </xf>
    <xf numFmtId="0" fontId="5" fillId="8" borderId="1" xfId="11" applyFont="1" applyFill="1" applyBorder="1" applyAlignment="1">
      <alignment horizontal="left" vertical="center" wrapText="1"/>
    </xf>
    <xf numFmtId="0" fontId="4" fillId="8" borderId="1" xfId="11" applyFont="1" applyFill="1" applyBorder="1" applyAlignment="1">
      <alignment horizontal="left" vertical="center" wrapText="1"/>
    </xf>
    <xf numFmtId="0" fontId="29" fillId="4" borderId="13" xfId="0" applyFont="1" applyFill="1" applyBorder="1" applyAlignment="1">
      <alignment horizontal="left"/>
    </xf>
    <xf numFmtId="165" fontId="10" fillId="2" borderId="1" xfId="14" applyNumberFormat="1" applyFont="1" applyFill="1" applyBorder="1"/>
    <xf numFmtId="165" fontId="10" fillId="2" borderId="1" xfId="14" applyNumberFormat="1" applyFont="1" applyFill="1" applyBorder="1" applyAlignment="1">
      <alignment horizontal="center" vertical="center"/>
    </xf>
    <xf numFmtId="9" fontId="10" fillId="2" borderId="1" xfId="15" applyFont="1" applyFill="1" applyBorder="1"/>
    <xf numFmtId="0" fontId="13" fillId="2" borderId="0" xfId="0" applyFont="1" applyFill="1"/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165" fontId="10" fillId="2" borderId="1" xfId="1" applyNumberFormat="1" applyFont="1" applyFill="1" applyBorder="1"/>
    <xf numFmtId="165" fontId="10" fillId="2" borderId="1" xfId="1" applyNumberFormat="1" applyFont="1" applyFill="1" applyBorder="1" applyAlignment="1">
      <alignment horizontal="center" vertical="center"/>
    </xf>
    <xf numFmtId="9" fontId="10" fillId="2" borderId="1" xfId="5" applyFont="1" applyFill="1" applyBorder="1" applyAlignment="1">
      <alignment horizontal="right"/>
    </xf>
    <xf numFmtId="0" fontId="32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vertical="center" wrapText="1"/>
    </xf>
    <xf numFmtId="0" fontId="10" fillId="4" borderId="2" xfId="2" applyFont="1" applyFill="1" applyBorder="1" applyAlignment="1">
      <alignment horizontal="right" wrapText="1"/>
    </xf>
    <xf numFmtId="0" fontId="4" fillId="4" borderId="1" xfId="11" applyFont="1" applyFill="1" applyBorder="1" applyAlignment="1">
      <alignment horizontal="left" vertical="center" wrapText="1"/>
    </xf>
    <xf numFmtId="0" fontId="4" fillId="4" borderId="1" xfId="11" applyFont="1" applyFill="1" applyBorder="1" applyAlignment="1">
      <alignment horizontal="center" vertical="center"/>
    </xf>
    <xf numFmtId="0" fontId="4" fillId="4" borderId="1" xfId="1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horizontal="right" wrapText="1"/>
    </xf>
    <xf numFmtId="0" fontId="10" fillId="13" borderId="0" xfId="0" applyFont="1" applyFill="1"/>
    <xf numFmtId="165" fontId="10" fillId="13" borderId="1" xfId="1" applyNumberFormat="1" applyFont="1" applyFill="1" applyBorder="1"/>
    <xf numFmtId="165" fontId="10" fillId="13" borderId="1" xfId="1" applyNumberFormat="1" applyFont="1" applyFill="1" applyBorder="1" applyAlignment="1">
      <alignment horizontal="center" vertical="center"/>
    </xf>
    <xf numFmtId="9" fontId="10" fillId="13" borderId="1" xfId="5" applyFont="1" applyFill="1" applyBorder="1"/>
    <xf numFmtId="0" fontId="13" fillId="13" borderId="0" xfId="0" applyFont="1" applyFill="1"/>
    <xf numFmtId="0" fontId="13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wrapText="1"/>
    </xf>
    <xf numFmtId="9" fontId="10" fillId="13" borderId="1" xfId="5" applyFont="1" applyFill="1" applyBorder="1" applyAlignment="1">
      <alignment horizontal="right"/>
    </xf>
    <xf numFmtId="0" fontId="13" fillId="13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right"/>
    </xf>
    <xf numFmtId="49" fontId="10" fillId="13" borderId="1" xfId="0" applyNumberFormat="1" applyFont="1" applyFill="1" applyBorder="1" applyAlignment="1">
      <alignment horizontal="right"/>
    </xf>
    <xf numFmtId="49" fontId="10" fillId="13" borderId="3" xfId="0" applyNumberFormat="1" applyFont="1" applyFill="1" applyBorder="1" applyAlignment="1">
      <alignment horizontal="right"/>
    </xf>
    <xf numFmtId="0" fontId="10" fillId="13" borderId="1" xfId="0" applyFont="1" applyFill="1" applyBorder="1"/>
    <xf numFmtId="165" fontId="10" fillId="13" borderId="4" xfId="1" applyNumberFormat="1" applyFont="1" applyFill="1" applyBorder="1"/>
    <xf numFmtId="0" fontId="10" fillId="13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wrapText="1"/>
    </xf>
    <xf numFmtId="0" fontId="32" fillId="13" borderId="1" xfId="2" applyFont="1" applyFill="1" applyBorder="1" applyAlignment="1">
      <alignment horizontal="right" wrapText="1"/>
    </xf>
    <xf numFmtId="0" fontId="10" fillId="13" borderId="3" xfId="2" applyFont="1" applyFill="1" applyBorder="1" applyAlignment="1">
      <alignment horizontal="right" wrapText="1"/>
    </xf>
    <xf numFmtId="0" fontId="32" fillId="13" borderId="1" xfId="0" applyFont="1" applyFill="1" applyBorder="1" applyAlignment="1">
      <alignment horizontal="left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0" xfId="0" applyFont="1" applyFill="1"/>
    <xf numFmtId="165" fontId="32" fillId="13" borderId="4" xfId="1" applyNumberFormat="1" applyFont="1" applyFill="1" applyBorder="1"/>
    <xf numFmtId="165" fontId="32" fillId="13" borderId="1" xfId="1" applyNumberFormat="1" applyFont="1" applyFill="1" applyBorder="1"/>
    <xf numFmtId="165" fontId="32" fillId="13" borderId="1" xfId="1" applyNumberFormat="1" applyFont="1" applyFill="1" applyBorder="1" applyAlignment="1">
      <alignment horizontal="center" vertical="center"/>
    </xf>
    <xf numFmtId="0" fontId="31" fillId="13" borderId="0" xfId="0" applyFont="1" applyFill="1"/>
    <xf numFmtId="17" fontId="10" fillId="13" borderId="1" xfId="2" applyNumberFormat="1" applyFont="1" applyFill="1" applyBorder="1" applyAlignment="1">
      <alignment horizontal="right" wrapText="1"/>
    </xf>
    <xf numFmtId="165" fontId="10" fillId="13" borderId="4" xfId="6" applyNumberFormat="1" applyFont="1" applyFill="1" applyBorder="1"/>
    <xf numFmtId="165" fontId="10" fillId="13" borderId="1" xfId="6" applyNumberFormat="1" applyFont="1" applyFill="1" applyBorder="1"/>
    <xf numFmtId="165" fontId="10" fillId="13" borderId="1" xfId="6" applyNumberFormat="1" applyFont="1" applyFill="1" applyBorder="1" applyAlignment="1">
      <alignment horizontal="center" vertical="center"/>
    </xf>
    <xf numFmtId="0" fontId="29" fillId="13" borderId="0" xfId="0" applyFont="1" applyFill="1"/>
    <xf numFmtId="49" fontId="10" fillId="13" borderId="1" xfId="0" applyNumberFormat="1" applyFont="1" applyFill="1" applyBorder="1" applyAlignment="1">
      <alignment horizontal="left" vertical="center" wrapText="1"/>
    </xf>
    <xf numFmtId="16" fontId="10" fillId="13" borderId="1" xfId="2" applyNumberFormat="1" applyFont="1" applyFill="1" applyBorder="1" applyAlignment="1">
      <alignment horizontal="right" wrapText="1"/>
    </xf>
    <xf numFmtId="16" fontId="10" fillId="13" borderId="3" xfId="2" applyNumberFormat="1" applyFont="1" applyFill="1" applyBorder="1" applyAlignment="1">
      <alignment horizontal="right" wrapText="1"/>
    </xf>
    <xf numFmtId="0" fontId="56" fillId="2" borderId="1" xfId="11" applyFont="1" applyFill="1" applyBorder="1" applyAlignment="1">
      <alignment horizontal="left" vertical="center" wrapText="1"/>
    </xf>
    <xf numFmtId="9" fontId="10" fillId="2" borderId="1" xfId="15" applyFont="1" applyFill="1" applyBorder="1" applyAlignment="1">
      <alignment horizontal="right"/>
    </xf>
    <xf numFmtId="0" fontId="33" fillId="2" borderId="1" xfId="0" applyFont="1" applyFill="1" applyBorder="1" applyAlignment="1">
      <alignment horizontal="left"/>
    </xf>
    <xf numFmtId="0" fontId="5" fillId="2" borderId="1" xfId="1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right" wrapText="1"/>
    </xf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 wrapText="1"/>
    </xf>
    <xf numFmtId="0" fontId="10" fillId="4" borderId="6" xfId="0" applyFont="1" applyFill="1" applyBorder="1" applyAlignment="1">
      <alignment vertical="center"/>
    </xf>
    <xf numFmtId="165" fontId="10" fillId="4" borderId="1" xfId="1" applyNumberFormat="1" applyFont="1" applyFill="1" applyBorder="1" applyAlignment="1">
      <alignment vertical="center"/>
    </xf>
    <xf numFmtId="9" fontId="10" fillId="4" borderId="1" xfId="5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/>
    <xf numFmtId="0" fontId="13" fillId="14" borderId="0" xfId="0" applyFont="1" applyFill="1" applyAlignment="1">
      <alignment horizontal="centerContinuous"/>
    </xf>
    <xf numFmtId="0" fontId="13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165" fontId="36" fillId="2" borderId="1" xfId="1" applyNumberFormat="1" applyFont="1" applyFill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6" fillId="0" borderId="2" xfId="0" applyFont="1" applyBorder="1" applyAlignment="1">
      <alignment vertical="center"/>
    </xf>
    <xf numFmtId="0" fontId="36" fillId="0" borderId="5" xfId="0" applyFont="1" applyBorder="1"/>
    <xf numFmtId="165" fontId="36" fillId="2" borderId="5" xfId="1" applyNumberFormat="1" applyFont="1" applyFill="1" applyBorder="1" applyAlignment="1">
      <alignment vertical="center"/>
    </xf>
    <xf numFmtId="0" fontId="36" fillId="0" borderId="1" xfId="0" applyFont="1" applyBorder="1"/>
    <xf numFmtId="0" fontId="36" fillId="0" borderId="1" xfId="0" applyFont="1" applyBorder="1" applyAlignment="1">
      <alignment wrapText="1"/>
    </xf>
    <xf numFmtId="165" fontId="36" fillId="2" borderId="1" xfId="1" applyNumberFormat="1" applyFont="1" applyFill="1" applyBorder="1" applyAlignment="1">
      <alignment vertical="center" wrapText="1"/>
    </xf>
    <xf numFmtId="165" fontId="36" fillId="4" borderId="1" xfId="1" applyNumberFormat="1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34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36" fillId="0" borderId="2" xfId="0" applyFont="1" applyBorder="1" applyAlignment="1">
      <alignment wrapText="1"/>
    </xf>
    <xf numFmtId="165" fontId="36" fillId="2" borderId="2" xfId="1" applyNumberFormat="1" applyFont="1" applyFill="1" applyBorder="1" applyAlignment="1">
      <alignment vertical="center" wrapText="1"/>
    </xf>
    <xf numFmtId="0" fontId="34" fillId="2" borderId="1" xfId="0" applyFont="1" applyFill="1" applyBorder="1" applyAlignment="1">
      <alignment horizontal="center" wrapText="1"/>
    </xf>
    <xf numFmtId="0" fontId="34" fillId="2" borderId="3" xfId="0" applyFont="1" applyFill="1" applyBorder="1" applyAlignment="1">
      <alignment vertical="center" wrapText="1"/>
    </xf>
    <xf numFmtId="0" fontId="34" fillId="2" borderId="8" xfId="0" applyFont="1" applyFill="1" applyBorder="1" applyAlignment="1">
      <alignment vertical="center" wrapText="1"/>
    </xf>
    <xf numFmtId="0" fontId="34" fillId="2" borderId="4" xfId="0" applyFont="1" applyFill="1" applyBorder="1" applyAlignment="1">
      <alignment vertical="center" wrapText="1"/>
    </xf>
    <xf numFmtId="0" fontId="36" fillId="0" borderId="5" xfId="0" applyFont="1" applyBorder="1" applyAlignment="1">
      <alignment horizontal="center" vertical="center"/>
    </xf>
    <xf numFmtId="165" fontId="36" fillId="2" borderId="5" xfId="1" applyNumberFormat="1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36" fillId="0" borderId="1" xfId="0" applyFont="1" applyBorder="1" applyAlignment="1">
      <alignment horizontal="left" vertical="center" wrapText="1"/>
    </xf>
    <xf numFmtId="165" fontId="36" fillId="2" borderId="1" xfId="1" applyNumberFormat="1" applyFont="1" applyFill="1" applyBorder="1" applyAlignment="1">
      <alignment wrapText="1"/>
    </xf>
    <xf numFmtId="0" fontId="51" fillId="0" borderId="1" xfId="0" applyFont="1" applyBorder="1" applyAlignment="1">
      <alignment vertical="center" wrapText="1"/>
    </xf>
    <xf numFmtId="0" fontId="36" fillId="0" borderId="2" xfId="0" applyFont="1" applyBorder="1" applyAlignment="1">
      <alignment horizontal="left" vertical="center" wrapText="1"/>
    </xf>
    <xf numFmtId="165" fontId="36" fillId="2" borderId="2" xfId="1" applyNumberFormat="1" applyFont="1" applyFill="1" applyBorder="1" applyAlignment="1">
      <alignment wrapText="1"/>
    </xf>
    <xf numFmtId="0" fontId="13" fillId="0" borderId="1" xfId="0" applyFont="1" applyBorder="1" applyAlignment="1">
      <alignment vertical="center" wrapText="1"/>
    </xf>
    <xf numFmtId="165" fontId="36" fillId="2" borderId="5" xfId="1" applyNumberFormat="1" applyFont="1" applyFill="1" applyBorder="1" applyAlignment="1">
      <alignment wrapText="1"/>
    </xf>
    <xf numFmtId="0" fontId="36" fillId="0" borderId="1" xfId="0" applyFont="1" applyBorder="1" applyAlignment="1">
      <alignment horizontal="left" wrapText="1"/>
    </xf>
    <xf numFmtId="0" fontId="51" fillId="0" borderId="1" xfId="0" applyFont="1" applyBorder="1" applyAlignment="1">
      <alignment horizontal="center" vertical="center" wrapText="1"/>
    </xf>
    <xf numFmtId="0" fontId="36" fillId="0" borderId="10" xfId="0" applyFont="1" applyBorder="1" applyAlignment="1">
      <alignment wrapText="1"/>
    </xf>
    <xf numFmtId="0" fontId="34" fillId="2" borderId="1" xfId="0" applyFont="1" applyFill="1" applyBorder="1" applyAlignment="1">
      <alignment horizontal="center"/>
    </xf>
    <xf numFmtId="0" fontId="36" fillId="5" borderId="1" xfId="0" applyFont="1" applyFill="1" applyBorder="1" applyAlignment="1">
      <alignment horizontal="center"/>
    </xf>
    <xf numFmtId="43" fontId="34" fillId="5" borderId="1" xfId="1" applyFont="1" applyFill="1" applyBorder="1" applyAlignment="1">
      <alignment horizontal="center" vertical="center"/>
    </xf>
    <xf numFmtId="0" fontId="36" fillId="5" borderId="0" xfId="0" applyFont="1" applyFill="1"/>
    <xf numFmtId="43" fontId="34" fillId="2" borderId="1" xfId="1" applyFont="1" applyFill="1" applyBorder="1" applyAlignment="1">
      <alignment horizontal="center" vertical="center"/>
    </xf>
    <xf numFmtId="9" fontId="36" fillId="5" borderId="1" xfId="5" applyFont="1" applyFill="1" applyBorder="1"/>
    <xf numFmtId="0" fontId="10" fillId="0" borderId="0" xfId="0" applyFont="1" applyAlignment="1">
      <alignment horizontal="center" vertical="center"/>
    </xf>
    <xf numFmtId="0" fontId="21" fillId="4" borderId="4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36" fillId="2" borderId="8" xfId="0" applyFont="1" applyFill="1" applyBorder="1" applyAlignment="1">
      <alignment horizontal="left" vertical="center" wrapText="1"/>
    </xf>
    <xf numFmtId="0" fontId="36" fillId="2" borderId="8" xfId="0" applyFont="1" applyFill="1" applyBorder="1" applyAlignment="1">
      <alignment horizontal="left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right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/>
    </xf>
    <xf numFmtId="0" fontId="13" fillId="15" borderId="1" xfId="0" applyFont="1" applyFill="1" applyBorder="1"/>
    <xf numFmtId="0" fontId="13" fillId="15" borderId="1" xfId="0" applyFont="1" applyFill="1" applyBorder="1" applyAlignment="1">
      <alignment horizontal="center" vertical="center"/>
    </xf>
    <xf numFmtId="165" fontId="13" fillId="15" borderId="1" xfId="1" applyNumberFormat="1" applyFont="1" applyFill="1" applyBorder="1"/>
    <xf numFmtId="165" fontId="13" fillId="15" borderId="1" xfId="1" applyNumberFormat="1" applyFont="1" applyFill="1" applyBorder="1" applyAlignment="1">
      <alignment horizontal="center" vertical="center"/>
    </xf>
    <xf numFmtId="9" fontId="13" fillId="15" borderId="1" xfId="5" applyFont="1" applyFill="1" applyBorder="1"/>
    <xf numFmtId="0" fontId="13" fillId="15" borderId="0" xfId="0" applyFont="1" applyFill="1"/>
    <xf numFmtId="0" fontId="13" fillId="2" borderId="1" xfId="0" applyFont="1" applyFill="1" applyBorder="1" applyAlignment="1">
      <alignment horizontal="center"/>
    </xf>
    <xf numFmtId="165" fontId="13" fillId="2" borderId="1" xfId="1" applyNumberFormat="1" applyFont="1" applyFill="1" applyBorder="1"/>
    <xf numFmtId="165" fontId="13" fillId="2" borderId="1" xfId="1" applyNumberFormat="1" applyFont="1" applyFill="1" applyBorder="1" applyAlignment="1">
      <alignment horizontal="center" vertical="center"/>
    </xf>
    <xf numFmtId="9" fontId="13" fillId="2" borderId="1" xfId="5" applyFont="1" applyFill="1" applyBorder="1"/>
    <xf numFmtId="0" fontId="30" fillId="4" borderId="1" xfId="0" applyFont="1" applyFill="1" applyBorder="1" applyAlignment="1">
      <alignment horizontal="center"/>
    </xf>
    <xf numFmtId="16" fontId="10" fillId="4" borderId="1" xfId="0" quotePrefix="1" applyNumberFormat="1" applyFont="1" applyFill="1" applyBorder="1" applyAlignment="1">
      <alignment horizontal="right"/>
    </xf>
    <xf numFmtId="2" fontId="10" fillId="4" borderId="1" xfId="0" applyNumberFormat="1" applyFont="1" applyFill="1" applyBorder="1" applyAlignment="1">
      <alignment horizontal="right"/>
    </xf>
    <xf numFmtId="166" fontId="10" fillId="4" borderId="1" xfId="0" applyNumberFormat="1" applyFont="1" applyFill="1" applyBorder="1" applyAlignment="1">
      <alignment horizontal="right"/>
    </xf>
    <xf numFmtId="0" fontId="27" fillId="2" borderId="1" xfId="0" applyFont="1" applyFill="1" applyBorder="1" applyAlignment="1">
      <alignment horizontal="center" wrapText="1"/>
    </xf>
    <xf numFmtId="0" fontId="28" fillId="4" borderId="3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53" fillId="4" borderId="14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left" wrapText="1"/>
    </xf>
    <xf numFmtId="0" fontId="26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1" fillId="4" borderId="2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5" fillId="4" borderId="14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4" fillId="5" borderId="3" xfId="0" applyFont="1" applyFill="1" applyBorder="1" applyAlignment="1">
      <alignment horizontal="center" vertical="center"/>
    </xf>
    <xf numFmtId="0" fontId="34" fillId="5" borderId="8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left" vertical="center" wrapText="1"/>
    </xf>
    <xf numFmtId="0" fontId="36" fillId="2" borderId="8" xfId="0" applyFont="1" applyFill="1" applyBorder="1" applyAlignment="1">
      <alignment horizontal="left" vertical="center" wrapText="1"/>
    </xf>
    <xf numFmtId="0" fontId="36" fillId="2" borderId="4" xfId="0" applyFont="1" applyFill="1" applyBorder="1" applyAlignment="1">
      <alignment horizontal="left" vertical="center" wrapText="1"/>
    </xf>
    <xf numFmtId="0" fontId="36" fillId="2" borderId="3" xfId="0" applyFont="1" applyFill="1" applyBorder="1" applyAlignment="1">
      <alignment horizontal="left" wrapText="1"/>
    </xf>
    <xf numFmtId="0" fontId="36" fillId="2" borderId="8" xfId="0" applyFont="1" applyFill="1" applyBorder="1" applyAlignment="1">
      <alignment horizontal="left" wrapText="1"/>
    </xf>
    <xf numFmtId="0" fontId="36" fillId="2" borderId="4" xfId="0" applyFont="1" applyFill="1" applyBorder="1" applyAlignment="1">
      <alignment horizontal="left" wrapText="1"/>
    </xf>
    <xf numFmtId="0" fontId="36" fillId="2" borderId="3" xfId="0" applyFont="1" applyFill="1" applyBorder="1" applyAlignment="1">
      <alignment horizontal="left" vertical="center"/>
    </xf>
    <xf numFmtId="0" fontId="36" fillId="2" borderId="8" xfId="0" applyFont="1" applyFill="1" applyBorder="1" applyAlignment="1">
      <alignment horizontal="left" vertical="center"/>
    </xf>
    <xf numFmtId="0" fontId="36" fillId="2" borderId="4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horizontal="left" vertical="center"/>
    </xf>
    <xf numFmtId="0" fontId="34" fillId="2" borderId="8" xfId="0" applyFont="1" applyFill="1" applyBorder="1" applyAlignment="1">
      <alignment horizontal="left" vertical="center"/>
    </xf>
    <xf numFmtId="0" fontId="34" fillId="2" borderId="4" xfId="0" applyFont="1" applyFill="1" applyBorder="1" applyAlignment="1">
      <alignment horizontal="left" vertical="center"/>
    </xf>
    <xf numFmtId="0" fontId="36" fillId="2" borderId="3" xfId="0" applyFont="1" applyFill="1" applyBorder="1" applyAlignment="1">
      <alignment horizontal="left"/>
    </xf>
    <xf numFmtId="0" fontId="36" fillId="2" borderId="8" xfId="0" applyFont="1" applyFill="1" applyBorder="1" applyAlignment="1">
      <alignment horizontal="left"/>
    </xf>
    <xf numFmtId="0" fontId="36" fillId="2" borderId="4" xfId="0" applyFont="1" applyFill="1" applyBorder="1" applyAlignment="1">
      <alignment horizontal="left"/>
    </xf>
    <xf numFmtId="0" fontId="21" fillId="6" borderId="3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1" fillId="6" borderId="2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37" fillId="4" borderId="15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/>
    </xf>
    <xf numFmtId="0" fontId="48" fillId="4" borderId="0" xfId="0" applyFont="1" applyFill="1" applyAlignment="1">
      <alignment horizontal="left" vertical="center"/>
    </xf>
    <xf numFmtId="0" fontId="49" fillId="4" borderId="0" xfId="0" applyFont="1" applyFill="1" applyAlignment="1">
      <alignment horizontal="left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8" xfId="3" applyFont="1" applyFill="1" applyBorder="1" applyAlignment="1">
      <alignment horizontal="center" vertical="center"/>
    </xf>
    <xf numFmtId="0" fontId="27" fillId="4" borderId="4" xfId="3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left" vertical="center"/>
    </xf>
    <xf numFmtId="0" fontId="13" fillId="4" borderId="13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10" fillId="4" borderId="11" xfId="0" quotePrefix="1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6">
    <cellStyle name="Comma" xfId="1" builtinId="3"/>
    <cellStyle name="Comma 2" xfId="4" xr:uid="{00000000-0005-0000-0000-000001000000}"/>
    <cellStyle name="Comma 2 2" xfId="12" xr:uid="{B407074E-F25B-4CD4-88FE-9DA1F41C5590}"/>
    <cellStyle name="Comma 3" xfId="6" xr:uid="{BB223386-8F08-468C-98A8-E5AF38F45D8D}"/>
    <cellStyle name="Comma 3 2" xfId="14" xr:uid="{9B27A7DB-8132-4A9F-A8E1-5D4AAB35D59E}"/>
    <cellStyle name="Comma 4" xfId="10" xr:uid="{72801E50-DBEE-4838-8C24-07D226F85215}"/>
    <cellStyle name="Normal" xfId="0" builtinId="0"/>
    <cellStyle name="Normal 2" xfId="8" xr:uid="{F8B98EBC-E736-4D5F-B180-F7879B307F76}"/>
    <cellStyle name="Normal 2 11 4" xfId="2" xr:uid="{00000000-0005-0000-0000-000003000000}"/>
    <cellStyle name="Normal 3" xfId="3" xr:uid="{00000000-0005-0000-0000-000004000000}"/>
    <cellStyle name="Normal 3 2" xfId="11" xr:uid="{02D72EE1-5C89-4CAB-82F3-DC356F955A1F}"/>
    <cellStyle name="Normal 9" xfId="9" xr:uid="{F6505BA1-99FD-4CC3-B8E2-A2F8AF4F51C9}"/>
    <cellStyle name="Percent" xfId="5" builtinId="5"/>
    <cellStyle name="Percent 2" xfId="7" xr:uid="{58A90058-DCE1-417E-9B7C-C78AC42841F0}"/>
    <cellStyle name="Percent 2 2" xfId="15" xr:uid="{FB3BBB2A-006C-4DA4-8C4C-7CEB44CBE99F}"/>
    <cellStyle name="Percent 3" xfId="13" xr:uid="{3F44AA70-65C6-4ED3-B3D0-A3C67D62A1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"/>
  <sheetViews>
    <sheetView view="pageBreakPreview" zoomScale="60" zoomScaleNormal="55" workbookViewId="0">
      <pane ySplit="1" topLeftCell="A2" activePane="bottomLeft" state="frozen"/>
      <selection pane="bottomLeft" activeCell="R14" sqref="R14"/>
    </sheetView>
  </sheetViews>
  <sheetFormatPr defaultColWidth="8.7109375" defaultRowHeight="15"/>
  <cols>
    <col min="1" max="1" width="5.42578125" style="53" customWidth="1"/>
    <col min="2" max="2" width="24" style="316" customWidth="1"/>
    <col min="3" max="7" width="11.42578125" style="39" customWidth="1"/>
    <col min="8" max="11" width="9.140625" style="53" customWidth="1"/>
    <col min="12" max="12" width="44.7109375" style="53" bestFit="1" customWidth="1"/>
    <col min="13" max="13" width="11.140625" style="39" customWidth="1"/>
    <col min="14" max="17" width="9.140625" style="53" customWidth="1"/>
    <col min="18" max="18" width="42.140625" style="317" customWidth="1"/>
    <col min="19" max="19" width="11.140625" style="39" customWidth="1"/>
    <col min="20" max="23" width="9.140625" style="53" customWidth="1"/>
    <col min="24" max="24" width="36.28515625" style="317" customWidth="1"/>
    <col min="25" max="25" width="11.140625" style="39" customWidth="1"/>
    <col min="26" max="29" width="9.140625" style="53" customWidth="1"/>
    <col min="30" max="30" width="33.7109375" style="317" customWidth="1"/>
    <col min="31" max="31" width="11.140625" style="39" customWidth="1"/>
    <col min="32" max="32" width="15.140625" style="39" hidden="1" customWidth="1"/>
    <col min="33" max="34" width="13.42578125" style="39" hidden="1" customWidth="1"/>
    <col min="35" max="35" width="14" style="39" hidden="1" customWidth="1"/>
    <col min="36" max="36" width="12.140625" style="318" hidden="1" customWidth="1"/>
    <col min="37" max="39" width="12.140625" style="88" hidden="1" customWidth="1"/>
    <col min="40" max="40" width="15" style="39" hidden="1" customWidth="1"/>
    <col min="41" max="43" width="12.140625" style="39" hidden="1" customWidth="1"/>
    <col min="44" max="16384" width="8.7109375" style="39"/>
  </cols>
  <sheetData>
    <row r="1" spans="1:43" s="10" customFormat="1" ht="25.5">
      <c r="A1" s="725" t="s">
        <v>614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725"/>
      <c r="AD1" s="725"/>
      <c r="AE1" s="725"/>
      <c r="AF1" s="725"/>
      <c r="AG1" s="725"/>
      <c r="AH1" s="725"/>
      <c r="AI1" s="725"/>
      <c r="AJ1" s="725"/>
      <c r="AK1" s="725"/>
      <c r="AL1" s="725"/>
      <c r="AM1" s="307"/>
      <c r="AN1" s="38"/>
      <c r="AO1" s="38"/>
      <c r="AP1" s="38"/>
      <c r="AQ1" s="38"/>
    </row>
    <row r="2" spans="1:43" ht="15.75">
      <c r="A2" s="717" t="s">
        <v>1</v>
      </c>
      <c r="B2" s="717" t="s">
        <v>2</v>
      </c>
      <c r="C2" s="717" t="s">
        <v>494</v>
      </c>
      <c r="D2" s="716" t="s">
        <v>862</v>
      </c>
      <c r="E2" s="716"/>
      <c r="F2" s="716"/>
      <c r="G2" s="716"/>
      <c r="H2" s="726" t="s">
        <v>505</v>
      </c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726"/>
      <c r="AE2" s="727"/>
      <c r="AF2" s="726" t="s">
        <v>501</v>
      </c>
      <c r="AG2" s="726"/>
      <c r="AH2" s="726"/>
      <c r="AI2" s="727"/>
      <c r="AJ2" s="726" t="s">
        <v>502</v>
      </c>
      <c r="AK2" s="726"/>
      <c r="AL2" s="726"/>
      <c r="AM2" s="727"/>
      <c r="AN2" s="726" t="s">
        <v>503</v>
      </c>
      <c r="AO2" s="726"/>
      <c r="AP2" s="726"/>
      <c r="AQ2" s="727"/>
    </row>
    <row r="3" spans="1:43" ht="15.75">
      <c r="A3" s="723"/>
      <c r="B3" s="723"/>
      <c r="C3" s="723"/>
      <c r="D3" s="717" t="s">
        <v>612</v>
      </c>
      <c r="E3" s="717" t="s">
        <v>613</v>
      </c>
      <c r="F3" s="717" t="s">
        <v>534</v>
      </c>
      <c r="G3" s="717" t="s">
        <v>535</v>
      </c>
      <c r="H3" s="719" t="s">
        <v>612</v>
      </c>
      <c r="I3" s="720"/>
      <c r="J3" s="720"/>
      <c r="K3" s="720"/>
      <c r="L3" s="720"/>
      <c r="M3" s="721"/>
      <c r="N3" s="719" t="s">
        <v>613</v>
      </c>
      <c r="O3" s="720"/>
      <c r="P3" s="720"/>
      <c r="Q3" s="720"/>
      <c r="R3" s="720"/>
      <c r="S3" s="721"/>
      <c r="T3" s="724" t="s">
        <v>534</v>
      </c>
      <c r="U3" s="724"/>
      <c r="V3" s="724"/>
      <c r="W3" s="724"/>
      <c r="X3" s="724"/>
      <c r="Y3" s="724"/>
      <c r="Z3" s="724" t="s">
        <v>535</v>
      </c>
      <c r="AA3" s="724"/>
      <c r="AB3" s="724"/>
      <c r="AC3" s="724"/>
      <c r="AD3" s="724"/>
      <c r="AE3" s="724"/>
      <c r="AF3" s="714" t="s">
        <v>612</v>
      </c>
      <c r="AG3" s="714" t="s">
        <v>613</v>
      </c>
      <c r="AH3" s="714" t="s">
        <v>534</v>
      </c>
      <c r="AI3" s="714" t="s">
        <v>535</v>
      </c>
      <c r="AJ3" s="714" t="s">
        <v>612</v>
      </c>
      <c r="AK3" s="714" t="s">
        <v>613</v>
      </c>
      <c r="AL3" s="714" t="s">
        <v>534</v>
      </c>
      <c r="AM3" s="714" t="s">
        <v>535</v>
      </c>
      <c r="AN3" s="714" t="s">
        <v>612</v>
      </c>
      <c r="AO3" s="714" t="s">
        <v>613</v>
      </c>
      <c r="AP3" s="714" t="s">
        <v>534</v>
      </c>
      <c r="AQ3" s="714" t="s">
        <v>535</v>
      </c>
    </row>
    <row r="4" spans="1:43" ht="90.6" customHeight="1">
      <c r="A4" s="718"/>
      <c r="B4" s="718"/>
      <c r="C4" s="718"/>
      <c r="D4" s="718"/>
      <c r="E4" s="718"/>
      <c r="F4" s="718"/>
      <c r="G4" s="718"/>
      <c r="H4" s="308" t="s">
        <v>272</v>
      </c>
      <c r="I4" s="308" t="s">
        <v>269</v>
      </c>
      <c r="J4" s="308" t="s">
        <v>270</v>
      </c>
      <c r="K4" s="308" t="s">
        <v>271</v>
      </c>
      <c r="L4" s="308" t="s">
        <v>496</v>
      </c>
      <c r="M4" s="291" t="s">
        <v>5</v>
      </c>
      <c r="N4" s="308" t="s">
        <v>272</v>
      </c>
      <c r="O4" s="308" t="s">
        <v>269</v>
      </c>
      <c r="P4" s="308" t="s">
        <v>270</v>
      </c>
      <c r="Q4" s="308" t="s">
        <v>271</v>
      </c>
      <c r="R4" s="308" t="s">
        <v>496</v>
      </c>
      <c r="S4" s="291" t="s">
        <v>5</v>
      </c>
      <c r="T4" s="308" t="s">
        <v>272</v>
      </c>
      <c r="U4" s="308" t="s">
        <v>269</v>
      </c>
      <c r="V4" s="308" t="s">
        <v>270</v>
      </c>
      <c r="W4" s="308" t="s">
        <v>271</v>
      </c>
      <c r="X4" s="308" t="s">
        <v>496</v>
      </c>
      <c r="Y4" s="291" t="s">
        <v>5</v>
      </c>
      <c r="Z4" s="308" t="s">
        <v>272</v>
      </c>
      <c r="AA4" s="308" t="s">
        <v>269</v>
      </c>
      <c r="AB4" s="308" t="s">
        <v>270</v>
      </c>
      <c r="AC4" s="308" t="s">
        <v>271</v>
      </c>
      <c r="AD4" s="308" t="s">
        <v>496</v>
      </c>
      <c r="AE4" s="291" t="s">
        <v>5</v>
      </c>
      <c r="AF4" s="715"/>
      <c r="AG4" s="715"/>
      <c r="AH4" s="715"/>
      <c r="AI4" s="715"/>
      <c r="AJ4" s="715"/>
      <c r="AK4" s="715"/>
      <c r="AL4" s="715"/>
      <c r="AM4" s="715"/>
      <c r="AN4" s="715"/>
      <c r="AO4" s="715"/>
      <c r="AP4" s="715"/>
      <c r="AQ4" s="715"/>
    </row>
    <row r="5" spans="1:43" s="10" customFormat="1" ht="4.9000000000000004" customHeight="1">
      <c r="A5" s="13">
        <v>1</v>
      </c>
      <c r="B5" s="311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>
        <v>12</v>
      </c>
      <c r="N5" s="13"/>
      <c r="O5" s="13"/>
      <c r="P5" s="13"/>
      <c r="Q5" s="13"/>
      <c r="R5" s="13"/>
      <c r="S5" s="13">
        <v>12</v>
      </c>
      <c r="T5" s="13"/>
      <c r="U5" s="13"/>
      <c r="V5" s="13"/>
      <c r="W5" s="13"/>
      <c r="X5" s="13"/>
      <c r="Y5" s="13">
        <v>12</v>
      </c>
      <c r="Z5" s="13"/>
      <c r="AA5" s="13"/>
      <c r="AB5" s="13"/>
      <c r="AC5" s="13"/>
      <c r="AD5" s="13"/>
      <c r="AE5" s="13">
        <v>12</v>
      </c>
      <c r="AF5" s="13"/>
      <c r="AG5" s="22"/>
      <c r="AH5" s="22"/>
      <c r="AI5" s="22"/>
      <c r="AJ5" s="312"/>
      <c r="AK5" s="79"/>
      <c r="AL5" s="79"/>
      <c r="AM5" s="79"/>
      <c r="AN5" s="13"/>
      <c r="AO5" s="22"/>
      <c r="AP5" s="22"/>
      <c r="AQ5" s="22"/>
    </row>
    <row r="6" spans="1:43" s="10" customFormat="1" ht="28.5">
      <c r="A6" s="50">
        <v>1</v>
      </c>
      <c r="B6" s="47" t="s">
        <v>489</v>
      </c>
      <c r="C6" s="109">
        <v>982.41</v>
      </c>
      <c r="D6" s="110">
        <v>450</v>
      </c>
      <c r="E6" s="110">
        <v>450</v>
      </c>
      <c r="F6" s="110">
        <v>450</v>
      </c>
      <c r="G6" s="110">
        <v>450</v>
      </c>
      <c r="H6" s="9">
        <v>0</v>
      </c>
      <c r="I6" s="9">
        <v>2</v>
      </c>
      <c r="J6" s="9">
        <v>1</v>
      </c>
      <c r="K6" s="9">
        <v>0.25</v>
      </c>
      <c r="L6" s="273" t="s">
        <v>863</v>
      </c>
      <c r="M6" s="50">
        <v>30</v>
      </c>
      <c r="N6" s="274"/>
      <c r="O6" s="274" t="s">
        <v>864</v>
      </c>
      <c r="P6" s="274">
        <v>1</v>
      </c>
      <c r="Q6" s="274">
        <v>0</v>
      </c>
      <c r="R6" s="273" t="s">
        <v>863</v>
      </c>
      <c r="S6" s="50">
        <v>0</v>
      </c>
      <c r="T6" s="274">
        <v>6</v>
      </c>
      <c r="U6" s="274">
        <v>0.5</v>
      </c>
      <c r="V6" s="274">
        <v>1</v>
      </c>
      <c r="W6" s="274">
        <v>0</v>
      </c>
      <c r="X6" s="273" t="s">
        <v>865</v>
      </c>
      <c r="Y6" s="50">
        <v>30</v>
      </c>
      <c r="Z6" s="274">
        <v>6</v>
      </c>
      <c r="AA6" s="274">
        <v>1</v>
      </c>
      <c r="AB6" s="274">
        <v>1</v>
      </c>
      <c r="AC6" s="274">
        <v>0</v>
      </c>
      <c r="AD6" s="273" t="s">
        <v>865</v>
      </c>
      <c r="AE6" s="17">
        <v>30</v>
      </c>
      <c r="AF6" s="74">
        <f t="shared" ref="AF6:AF14" si="0">(H6+I6+J6+K6)*C6*M6</f>
        <v>95784.975000000006</v>
      </c>
      <c r="AG6" s="78">
        <f t="shared" ref="AG6:AG14" si="1">(N6+O6+P6+Q6)*C6*S6</f>
        <v>0</v>
      </c>
      <c r="AH6" s="78">
        <f t="shared" ref="AH6:AH14" si="2">(T6+U6+V6+W6)*C6*Y6</f>
        <v>221042.25</v>
      </c>
      <c r="AI6" s="78">
        <f t="shared" ref="AI6:AI14" si="3">(Z6+AA6+AB6+AC6)*C6*AE6</f>
        <v>235778.4</v>
      </c>
      <c r="AJ6" s="89">
        <f t="shared" ref="AJ6:AJ14" si="4">(H6+I6+J6+K6)*D6*M6</f>
        <v>43875</v>
      </c>
      <c r="AK6" s="89">
        <f t="shared" ref="AK6:AK14" si="5">(N6+O6+P6+Q6)*E6*S6</f>
        <v>0</v>
      </c>
      <c r="AL6" s="89">
        <f t="shared" ref="AL6:AL14" si="6">(T6+U6+V6+W6)*F6*Y6</f>
        <v>101250</v>
      </c>
      <c r="AM6" s="89">
        <f t="shared" ref="AM6:AM14" si="7">(Z6+AA6+AB6+AC6)*G6*S6</f>
        <v>0</v>
      </c>
      <c r="AN6" s="46">
        <f t="shared" ref="AN6:AQ15" si="8">AJ6/AF6</f>
        <v>0.45805722661617854</v>
      </c>
      <c r="AO6" s="46" t="e">
        <f t="shared" si="8"/>
        <v>#DIV/0!</v>
      </c>
      <c r="AP6" s="46">
        <f t="shared" si="8"/>
        <v>0.45805722661617859</v>
      </c>
      <c r="AQ6" s="46">
        <f t="shared" si="8"/>
        <v>0</v>
      </c>
    </row>
    <row r="7" spans="1:43" s="10" customFormat="1" ht="28.5">
      <c r="A7" s="50">
        <v>2</v>
      </c>
      <c r="B7" s="47" t="s">
        <v>490</v>
      </c>
      <c r="C7" s="166">
        <v>194.91</v>
      </c>
      <c r="D7" s="167">
        <v>190</v>
      </c>
      <c r="E7" s="167">
        <v>190</v>
      </c>
      <c r="F7" s="167">
        <v>190</v>
      </c>
      <c r="G7" s="167">
        <v>190</v>
      </c>
      <c r="H7" s="168">
        <v>0</v>
      </c>
      <c r="I7" s="168" t="s">
        <v>866</v>
      </c>
      <c r="J7" s="168" t="s">
        <v>864</v>
      </c>
      <c r="K7" s="168" t="s">
        <v>866</v>
      </c>
      <c r="L7" s="273" t="s">
        <v>863</v>
      </c>
      <c r="M7" s="50">
        <v>30</v>
      </c>
      <c r="N7" s="25">
        <v>2.5</v>
      </c>
      <c r="O7" s="25" t="s">
        <v>864</v>
      </c>
      <c r="P7" s="25" t="s">
        <v>864</v>
      </c>
      <c r="Q7" s="25">
        <v>0</v>
      </c>
      <c r="R7" s="273" t="s">
        <v>867</v>
      </c>
      <c r="S7" s="25">
        <v>30</v>
      </c>
      <c r="T7" s="25" t="s">
        <v>868</v>
      </c>
      <c r="U7" s="25">
        <v>0.5</v>
      </c>
      <c r="V7" s="25">
        <v>0.5</v>
      </c>
      <c r="W7" s="25">
        <v>0</v>
      </c>
      <c r="X7" s="273" t="s">
        <v>869</v>
      </c>
      <c r="Y7" s="25">
        <v>30</v>
      </c>
      <c r="Z7" s="25" t="s">
        <v>868</v>
      </c>
      <c r="AA7" s="25">
        <v>0.5</v>
      </c>
      <c r="AB7" s="25">
        <v>0.5</v>
      </c>
      <c r="AC7" s="25">
        <v>0</v>
      </c>
      <c r="AD7" s="273" t="s">
        <v>869</v>
      </c>
      <c r="AE7" s="168">
        <v>30</v>
      </c>
      <c r="AF7" s="74">
        <f t="shared" si="0"/>
        <v>5847.3</v>
      </c>
      <c r="AG7" s="78">
        <f t="shared" si="1"/>
        <v>20465.55</v>
      </c>
      <c r="AH7" s="78">
        <f t="shared" si="2"/>
        <v>38007.449999999997</v>
      </c>
      <c r="AI7" s="78">
        <f t="shared" si="3"/>
        <v>38007.449999999997</v>
      </c>
      <c r="AJ7" s="89">
        <f t="shared" si="4"/>
        <v>5700</v>
      </c>
      <c r="AK7" s="89">
        <f t="shared" si="5"/>
        <v>19950</v>
      </c>
      <c r="AL7" s="89">
        <f t="shared" si="6"/>
        <v>37050</v>
      </c>
      <c r="AM7" s="89">
        <f t="shared" si="7"/>
        <v>37050</v>
      </c>
      <c r="AN7" s="46">
        <f t="shared" si="8"/>
        <v>0.97480888615258321</v>
      </c>
      <c r="AO7" s="46">
        <f t="shared" si="8"/>
        <v>0.97480888615258332</v>
      </c>
      <c r="AP7" s="46">
        <f t="shared" si="8"/>
        <v>0.97480888615258332</v>
      </c>
      <c r="AQ7" s="46">
        <f t="shared" si="8"/>
        <v>0.97480888615258332</v>
      </c>
    </row>
    <row r="8" spans="1:43" s="10" customFormat="1" ht="74.45" customHeight="1">
      <c r="A8" s="50">
        <v>3</v>
      </c>
      <c r="B8" s="47" t="s">
        <v>870</v>
      </c>
      <c r="C8" s="166">
        <v>1229.51</v>
      </c>
      <c r="D8" s="167">
        <v>550</v>
      </c>
      <c r="E8" s="167">
        <v>550</v>
      </c>
      <c r="F8" s="167">
        <v>550</v>
      </c>
      <c r="G8" s="167">
        <v>550</v>
      </c>
      <c r="H8" s="168">
        <v>11.5</v>
      </c>
      <c r="I8" s="168">
        <v>1</v>
      </c>
      <c r="J8" s="168">
        <v>1</v>
      </c>
      <c r="K8" s="168">
        <v>0</v>
      </c>
      <c r="L8" s="273" t="s">
        <v>871</v>
      </c>
      <c r="M8" s="50">
        <v>30</v>
      </c>
      <c r="N8" s="25">
        <v>11.5</v>
      </c>
      <c r="O8" s="25">
        <v>1</v>
      </c>
      <c r="P8" s="25">
        <v>1</v>
      </c>
      <c r="Q8" s="25">
        <v>0</v>
      </c>
      <c r="R8" s="273" t="s">
        <v>872</v>
      </c>
      <c r="S8" s="25">
        <v>30</v>
      </c>
      <c r="T8" s="25">
        <v>12</v>
      </c>
      <c r="U8" s="25">
        <v>1</v>
      </c>
      <c r="V8" s="25">
        <v>1</v>
      </c>
      <c r="W8" s="25">
        <v>0</v>
      </c>
      <c r="X8" s="273" t="s">
        <v>873</v>
      </c>
      <c r="Y8" s="25">
        <v>30</v>
      </c>
      <c r="Z8" s="25">
        <v>14.5</v>
      </c>
      <c r="AA8" s="25">
        <v>1</v>
      </c>
      <c r="AB8" s="25">
        <v>1</v>
      </c>
      <c r="AC8" s="25">
        <v>0</v>
      </c>
      <c r="AD8" s="273" t="s">
        <v>874</v>
      </c>
      <c r="AE8" s="168">
        <v>30</v>
      </c>
      <c r="AF8" s="74">
        <f t="shared" si="0"/>
        <v>497951.54999999993</v>
      </c>
      <c r="AG8" s="78">
        <f t="shared" si="1"/>
        <v>497951.54999999993</v>
      </c>
      <c r="AH8" s="78">
        <f t="shared" si="2"/>
        <v>516394.19999999995</v>
      </c>
      <c r="AI8" s="78">
        <f t="shared" si="3"/>
        <v>608607.45000000007</v>
      </c>
      <c r="AJ8" s="89">
        <f t="shared" si="4"/>
        <v>222750</v>
      </c>
      <c r="AK8" s="89">
        <f t="shared" si="5"/>
        <v>222750</v>
      </c>
      <c r="AL8" s="89">
        <f t="shared" si="6"/>
        <v>231000</v>
      </c>
      <c r="AM8" s="89">
        <f t="shared" si="7"/>
        <v>272250</v>
      </c>
      <c r="AN8" s="46">
        <f t="shared" si="8"/>
        <v>0.44733267724540676</v>
      </c>
      <c r="AO8" s="46">
        <f t="shared" si="8"/>
        <v>0.44733267724540676</v>
      </c>
      <c r="AP8" s="46">
        <f t="shared" si="8"/>
        <v>0.44733267724540676</v>
      </c>
      <c r="AQ8" s="46">
        <f t="shared" si="8"/>
        <v>0.44733267724540665</v>
      </c>
    </row>
    <row r="9" spans="1:43" s="10" customFormat="1" ht="42.75">
      <c r="A9" s="50">
        <v>4</v>
      </c>
      <c r="B9" s="47" t="s">
        <v>875</v>
      </c>
      <c r="C9" s="109">
        <v>1938.49</v>
      </c>
      <c r="D9" s="169">
        <v>950</v>
      </c>
      <c r="E9" s="169">
        <v>950</v>
      </c>
      <c r="F9" s="169">
        <v>950</v>
      </c>
      <c r="G9" s="169">
        <v>950</v>
      </c>
      <c r="H9" s="17">
        <v>11.5</v>
      </c>
      <c r="I9" s="17">
        <v>2</v>
      </c>
      <c r="J9" s="17">
        <f>1</f>
        <v>1</v>
      </c>
      <c r="K9" s="17">
        <f>0*60/20</f>
        <v>0</v>
      </c>
      <c r="L9" s="273" t="s">
        <v>876</v>
      </c>
      <c r="M9" s="50">
        <v>30</v>
      </c>
      <c r="N9" s="50">
        <v>11.5</v>
      </c>
      <c r="O9" s="50">
        <v>2</v>
      </c>
      <c r="P9" s="50">
        <f>1</f>
        <v>1</v>
      </c>
      <c r="Q9" s="50">
        <f>0*60/20</f>
        <v>0</v>
      </c>
      <c r="R9" s="273" t="s">
        <v>876</v>
      </c>
      <c r="S9" s="50">
        <v>30</v>
      </c>
      <c r="T9" s="50">
        <v>11.5</v>
      </c>
      <c r="U9" s="50">
        <v>2</v>
      </c>
      <c r="V9" s="50">
        <f>1</f>
        <v>1</v>
      </c>
      <c r="W9" s="50">
        <f>0*60/20</f>
        <v>0</v>
      </c>
      <c r="X9" s="273" t="s">
        <v>876</v>
      </c>
      <c r="Y9" s="50">
        <v>30</v>
      </c>
      <c r="Z9" s="50">
        <v>11.5</v>
      </c>
      <c r="AA9" s="50">
        <f>1</f>
        <v>1</v>
      </c>
      <c r="AB9" s="50">
        <f>1</f>
        <v>1</v>
      </c>
      <c r="AC9" s="50">
        <f>0*60/20</f>
        <v>0</v>
      </c>
      <c r="AD9" s="273" t="s">
        <v>876</v>
      </c>
      <c r="AE9" s="168">
        <v>30</v>
      </c>
      <c r="AF9" s="74">
        <f t="shared" si="0"/>
        <v>843243.15</v>
      </c>
      <c r="AG9" s="78">
        <f t="shared" si="1"/>
        <v>843243.15</v>
      </c>
      <c r="AH9" s="78">
        <f t="shared" si="2"/>
        <v>843243.15</v>
      </c>
      <c r="AI9" s="78">
        <f t="shared" si="3"/>
        <v>785088.45000000007</v>
      </c>
      <c r="AJ9" s="89">
        <f t="shared" si="4"/>
        <v>413250</v>
      </c>
      <c r="AK9" s="89">
        <f t="shared" si="5"/>
        <v>413250</v>
      </c>
      <c r="AL9" s="89">
        <f t="shared" si="6"/>
        <v>413250</v>
      </c>
      <c r="AM9" s="89">
        <f t="shared" si="7"/>
        <v>384750</v>
      </c>
      <c r="AN9" s="46">
        <f t="shared" si="8"/>
        <v>0.49007216957528799</v>
      </c>
      <c r="AO9" s="46">
        <f t="shared" si="8"/>
        <v>0.49007216957528799</v>
      </c>
      <c r="AP9" s="46">
        <f t="shared" si="8"/>
        <v>0.49007216957528799</v>
      </c>
      <c r="AQ9" s="46">
        <f t="shared" si="8"/>
        <v>0.49007216957528793</v>
      </c>
    </row>
    <row r="10" spans="1:43" s="10" customFormat="1" ht="76.900000000000006" customHeight="1">
      <c r="A10" s="50">
        <v>5</v>
      </c>
      <c r="B10" s="47" t="s">
        <v>491</v>
      </c>
      <c r="C10" s="109">
        <v>243.07</v>
      </c>
      <c r="D10" s="110">
        <v>200</v>
      </c>
      <c r="E10" s="110">
        <v>200</v>
      </c>
      <c r="F10" s="110">
        <v>200</v>
      </c>
      <c r="G10" s="110">
        <v>200</v>
      </c>
      <c r="H10" s="9">
        <v>13.5</v>
      </c>
      <c r="I10" s="9">
        <f>0.5</f>
        <v>0.5</v>
      </c>
      <c r="J10" s="9">
        <f>0.5</f>
        <v>0.5</v>
      </c>
      <c r="K10" s="9">
        <f>0*60/3</f>
        <v>0</v>
      </c>
      <c r="L10" s="273" t="s">
        <v>877</v>
      </c>
      <c r="M10" s="50">
        <v>30</v>
      </c>
      <c r="N10" s="274">
        <v>13.5</v>
      </c>
      <c r="O10" s="274">
        <f>0.5</f>
        <v>0.5</v>
      </c>
      <c r="P10" s="274">
        <f>0.5</f>
        <v>0.5</v>
      </c>
      <c r="Q10" s="274">
        <f>0*60/3</f>
        <v>0</v>
      </c>
      <c r="R10" s="273" t="s">
        <v>877</v>
      </c>
      <c r="S10" s="50">
        <v>30</v>
      </c>
      <c r="T10" s="274">
        <v>13.5</v>
      </c>
      <c r="U10" s="274">
        <f>0.5</f>
        <v>0.5</v>
      </c>
      <c r="V10" s="274">
        <f>0.5</f>
        <v>0.5</v>
      </c>
      <c r="W10" s="274">
        <f>0*60/3</f>
        <v>0</v>
      </c>
      <c r="X10" s="273" t="s">
        <v>877</v>
      </c>
      <c r="Y10" s="50">
        <v>30</v>
      </c>
      <c r="Z10" s="274">
        <v>13.5</v>
      </c>
      <c r="AA10" s="274">
        <v>0.25</v>
      </c>
      <c r="AB10" s="274">
        <f>0.5</f>
        <v>0.5</v>
      </c>
      <c r="AC10" s="274">
        <f>0*60/3</f>
        <v>0</v>
      </c>
      <c r="AD10" s="273" t="s">
        <v>877</v>
      </c>
      <c r="AE10" s="168">
        <v>30</v>
      </c>
      <c r="AF10" s="74">
        <f t="shared" si="0"/>
        <v>105735.45</v>
      </c>
      <c r="AG10" s="78">
        <f t="shared" si="1"/>
        <v>105735.45</v>
      </c>
      <c r="AH10" s="78">
        <f t="shared" si="2"/>
        <v>105735.45</v>
      </c>
      <c r="AI10" s="78">
        <f t="shared" si="3"/>
        <v>103912.425</v>
      </c>
      <c r="AJ10" s="89">
        <f t="shared" si="4"/>
        <v>87000</v>
      </c>
      <c r="AK10" s="89">
        <f t="shared" si="5"/>
        <v>87000</v>
      </c>
      <c r="AL10" s="89">
        <f t="shared" si="6"/>
        <v>87000</v>
      </c>
      <c r="AM10" s="89">
        <f t="shared" si="7"/>
        <v>85500</v>
      </c>
      <c r="AN10" s="46">
        <f t="shared" si="8"/>
        <v>0.82280824453861034</v>
      </c>
      <c r="AO10" s="46">
        <f t="shared" si="8"/>
        <v>0.82280824453861034</v>
      </c>
      <c r="AP10" s="46">
        <f t="shared" si="8"/>
        <v>0.82280824453861034</v>
      </c>
      <c r="AQ10" s="46">
        <f t="shared" si="8"/>
        <v>0.82280824453861023</v>
      </c>
    </row>
    <row r="11" spans="1:43" s="10" customFormat="1" ht="69.599999999999994" customHeight="1">
      <c r="A11" s="50">
        <v>6</v>
      </c>
      <c r="B11" s="47" t="s">
        <v>492</v>
      </c>
      <c r="C11" s="166">
        <v>2009.42</v>
      </c>
      <c r="D11" s="167">
        <v>1050</v>
      </c>
      <c r="E11" s="167">
        <v>1050</v>
      </c>
      <c r="F11" s="167">
        <v>1050</v>
      </c>
      <c r="G11" s="167">
        <v>1050</v>
      </c>
      <c r="H11" s="168">
        <v>0</v>
      </c>
      <c r="I11" s="168">
        <v>1</v>
      </c>
      <c r="J11" s="168">
        <v>1</v>
      </c>
      <c r="K11" s="168">
        <v>0</v>
      </c>
      <c r="L11" s="273" t="s">
        <v>863</v>
      </c>
      <c r="M11" s="50">
        <v>30</v>
      </c>
      <c r="N11" s="25">
        <v>8.5</v>
      </c>
      <c r="O11" s="25">
        <v>1</v>
      </c>
      <c r="P11" s="25">
        <v>1</v>
      </c>
      <c r="Q11" s="25">
        <v>0</v>
      </c>
      <c r="R11" s="273" t="s">
        <v>878</v>
      </c>
      <c r="S11" s="25">
        <v>30</v>
      </c>
      <c r="T11" s="25">
        <v>9.5</v>
      </c>
      <c r="U11" s="25">
        <v>1</v>
      </c>
      <c r="V11" s="25">
        <v>1</v>
      </c>
      <c r="W11" s="25">
        <v>0</v>
      </c>
      <c r="X11" s="273" t="s">
        <v>879</v>
      </c>
      <c r="Y11" s="25">
        <v>30</v>
      </c>
      <c r="Z11" s="25">
        <v>11.5</v>
      </c>
      <c r="AA11" s="25">
        <v>1</v>
      </c>
      <c r="AB11" s="25">
        <v>1</v>
      </c>
      <c r="AC11" s="25">
        <v>0</v>
      </c>
      <c r="AD11" s="273" t="s">
        <v>880</v>
      </c>
      <c r="AE11" s="168">
        <v>30</v>
      </c>
      <c r="AF11" s="74">
        <f t="shared" si="0"/>
        <v>120565.20000000001</v>
      </c>
      <c r="AG11" s="78">
        <f t="shared" si="1"/>
        <v>632967.30000000005</v>
      </c>
      <c r="AH11" s="78">
        <f t="shared" si="2"/>
        <v>693249.9</v>
      </c>
      <c r="AI11" s="78">
        <f t="shared" si="3"/>
        <v>813815.10000000009</v>
      </c>
      <c r="AJ11" s="89">
        <f t="shared" si="4"/>
        <v>63000</v>
      </c>
      <c r="AK11" s="89">
        <f t="shared" si="5"/>
        <v>330750</v>
      </c>
      <c r="AL11" s="89">
        <f t="shared" si="6"/>
        <v>362250</v>
      </c>
      <c r="AM11" s="89">
        <f t="shared" si="7"/>
        <v>425250</v>
      </c>
      <c r="AN11" s="46">
        <f t="shared" si="8"/>
        <v>0.52253884205392598</v>
      </c>
      <c r="AO11" s="46">
        <f t="shared" si="8"/>
        <v>0.52253884205392598</v>
      </c>
      <c r="AP11" s="46">
        <f t="shared" si="8"/>
        <v>0.52253884205392598</v>
      </c>
      <c r="AQ11" s="46">
        <f t="shared" si="8"/>
        <v>0.52253884205392598</v>
      </c>
    </row>
    <row r="12" spans="1:43" s="10" customFormat="1" ht="16.5">
      <c r="A12" s="50">
        <v>7</v>
      </c>
      <c r="B12" s="47" t="s">
        <v>881</v>
      </c>
      <c r="C12" s="166">
        <v>2009.42</v>
      </c>
      <c r="D12" s="167">
        <v>1050</v>
      </c>
      <c r="E12" s="167">
        <v>1050</v>
      </c>
      <c r="F12" s="167">
        <v>1050</v>
      </c>
      <c r="G12" s="167">
        <v>1050</v>
      </c>
      <c r="H12" s="168">
        <v>0</v>
      </c>
      <c r="I12" s="168">
        <v>1</v>
      </c>
      <c r="J12" s="168">
        <v>0</v>
      </c>
      <c r="K12" s="168">
        <v>0</v>
      </c>
      <c r="L12" s="273" t="s">
        <v>863</v>
      </c>
      <c r="M12" s="50">
        <v>30</v>
      </c>
      <c r="N12" s="25">
        <v>0</v>
      </c>
      <c r="O12" s="25">
        <v>1</v>
      </c>
      <c r="P12" s="25">
        <v>0</v>
      </c>
      <c r="Q12" s="25">
        <v>0</v>
      </c>
      <c r="R12" s="313" t="s">
        <v>863</v>
      </c>
      <c r="S12" s="25">
        <v>30</v>
      </c>
      <c r="T12" s="25">
        <v>0</v>
      </c>
      <c r="U12" s="25">
        <v>1</v>
      </c>
      <c r="V12" s="25">
        <v>0</v>
      </c>
      <c r="W12" s="25">
        <v>0</v>
      </c>
      <c r="X12" s="313" t="s">
        <v>863</v>
      </c>
      <c r="Y12" s="25">
        <v>30</v>
      </c>
      <c r="Z12" s="25">
        <v>0</v>
      </c>
      <c r="AA12" s="25">
        <v>1</v>
      </c>
      <c r="AB12" s="25">
        <v>0</v>
      </c>
      <c r="AC12" s="25">
        <v>0</v>
      </c>
      <c r="AD12" s="313" t="s">
        <v>863</v>
      </c>
      <c r="AE12" s="168">
        <v>30</v>
      </c>
      <c r="AF12" s="74">
        <f t="shared" si="0"/>
        <v>60282.600000000006</v>
      </c>
      <c r="AG12" s="78">
        <f t="shared" si="1"/>
        <v>60282.600000000006</v>
      </c>
      <c r="AH12" s="78">
        <f t="shared" si="2"/>
        <v>60282.600000000006</v>
      </c>
      <c r="AI12" s="78">
        <f t="shared" si="3"/>
        <v>60282.600000000006</v>
      </c>
      <c r="AJ12" s="89">
        <f t="shared" si="4"/>
        <v>31500</v>
      </c>
      <c r="AK12" s="89">
        <f t="shared" si="5"/>
        <v>31500</v>
      </c>
      <c r="AL12" s="89">
        <f t="shared" si="6"/>
        <v>31500</v>
      </c>
      <c r="AM12" s="89">
        <f t="shared" si="7"/>
        <v>31500</v>
      </c>
      <c r="AN12" s="46">
        <f t="shared" si="8"/>
        <v>0.52253884205392598</v>
      </c>
      <c r="AO12" s="46">
        <f t="shared" si="8"/>
        <v>0.52253884205392598</v>
      </c>
      <c r="AP12" s="46">
        <f t="shared" si="8"/>
        <v>0.52253884205392598</v>
      </c>
      <c r="AQ12" s="46">
        <f t="shared" si="8"/>
        <v>0.52253884205392598</v>
      </c>
    </row>
    <row r="13" spans="1:43" s="10" customFormat="1" ht="43.15" customHeight="1">
      <c r="A13" s="50">
        <v>8</v>
      </c>
      <c r="B13" s="47" t="s">
        <v>493</v>
      </c>
      <c r="C13" s="109">
        <v>198</v>
      </c>
      <c r="D13" s="110">
        <v>150</v>
      </c>
      <c r="E13" s="110">
        <v>150</v>
      </c>
      <c r="F13" s="110">
        <v>150</v>
      </c>
      <c r="G13" s="110">
        <v>150</v>
      </c>
      <c r="H13" s="17">
        <v>0</v>
      </c>
      <c r="I13" s="168">
        <v>0.5</v>
      </c>
      <c r="J13" s="168">
        <v>0.5</v>
      </c>
      <c r="K13" s="17">
        <v>0</v>
      </c>
      <c r="L13" s="273" t="s">
        <v>863</v>
      </c>
      <c r="M13" s="50">
        <v>30</v>
      </c>
      <c r="N13" s="50">
        <v>2.5</v>
      </c>
      <c r="O13" s="25">
        <v>0.5</v>
      </c>
      <c r="P13" s="25">
        <v>0.5</v>
      </c>
      <c r="Q13" s="50">
        <v>0</v>
      </c>
      <c r="R13" s="273" t="s">
        <v>867</v>
      </c>
      <c r="S13" s="50">
        <v>30</v>
      </c>
      <c r="T13" s="50">
        <v>3.5</v>
      </c>
      <c r="U13" s="25">
        <f>8/30</f>
        <v>0.26666666666666666</v>
      </c>
      <c r="V13" s="25">
        <v>0.5</v>
      </c>
      <c r="W13" s="50">
        <v>0</v>
      </c>
      <c r="X13" s="273" t="s">
        <v>882</v>
      </c>
      <c r="Y13" s="50">
        <v>30</v>
      </c>
      <c r="Z13" s="50">
        <v>3.5</v>
      </c>
      <c r="AA13" s="25">
        <v>0.5</v>
      </c>
      <c r="AB13" s="25">
        <v>0.5</v>
      </c>
      <c r="AC13" s="50">
        <v>0</v>
      </c>
      <c r="AD13" s="273" t="s">
        <v>883</v>
      </c>
      <c r="AE13" s="17">
        <v>30</v>
      </c>
      <c r="AF13" s="74">
        <f t="shared" si="0"/>
        <v>5940</v>
      </c>
      <c r="AG13" s="78">
        <f t="shared" si="1"/>
        <v>20790</v>
      </c>
      <c r="AH13" s="78">
        <f t="shared" si="2"/>
        <v>25344</v>
      </c>
      <c r="AI13" s="78">
        <f t="shared" si="3"/>
        <v>26730</v>
      </c>
      <c r="AJ13" s="89">
        <f t="shared" si="4"/>
        <v>4500</v>
      </c>
      <c r="AK13" s="89">
        <f t="shared" si="5"/>
        <v>15750</v>
      </c>
      <c r="AL13" s="89">
        <f t="shared" si="6"/>
        <v>19200</v>
      </c>
      <c r="AM13" s="89">
        <f t="shared" si="7"/>
        <v>20250</v>
      </c>
      <c r="AN13" s="46">
        <f t="shared" si="8"/>
        <v>0.75757575757575757</v>
      </c>
      <c r="AO13" s="46">
        <f t="shared" si="8"/>
        <v>0.75757575757575757</v>
      </c>
      <c r="AP13" s="46">
        <f t="shared" si="8"/>
        <v>0.75757575757575757</v>
      </c>
      <c r="AQ13" s="46">
        <f t="shared" si="8"/>
        <v>0.75757575757575757</v>
      </c>
    </row>
    <row r="14" spans="1:43" s="10" customFormat="1" ht="35.450000000000003" customHeight="1">
      <c r="A14" s="50">
        <v>9</v>
      </c>
      <c r="B14" s="47" t="s">
        <v>495</v>
      </c>
      <c r="C14" s="109">
        <v>198</v>
      </c>
      <c r="D14" s="110">
        <v>150</v>
      </c>
      <c r="E14" s="110">
        <v>150</v>
      </c>
      <c r="F14" s="110">
        <v>150</v>
      </c>
      <c r="G14" s="110">
        <v>150</v>
      </c>
      <c r="H14" s="17">
        <v>9</v>
      </c>
      <c r="I14" s="168">
        <v>0.5</v>
      </c>
      <c r="J14" s="168">
        <v>0.5</v>
      </c>
      <c r="K14" s="17">
        <v>0</v>
      </c>
      <c r="L14" s="273" t="s">
        <v>884</v>
      </c>
      <c r="M14" s="50">
        <v>30</v>
      </c>
      <c r="N14" s="50">
        <v>9</v>
      </c>
      <c r="O14" s="25">
        <v>0.5</v>
      </c>
      <c r="P14" s="25">
        <v>0.5</v>
      </c>
      <c r="Q14" s="50">
        <v>0</v>
      </c>
      <c r="R14" s="273" t="s">
        <v>884</v>
      </c>
      <c r="S14" s="50">
        <v>30</v>
      </c>
      <c r="T14" s="50">
        <v>9</v>
      </c>
      <c r="U14" s="25">
        <v>0.5</v>
      </c>
      <c r="V14" s="25">
        <v>0.5</v>
      </c>
      <c r="W14" s="50">
        <v>0</v>
      </c>
      <c r="X14" s="273" t="s">
        <v>884</v>
      </c>
      <c r="Y14" s="50">
        <v>30</v>
      </c>
      <c r="Z14" s="50">
        <v>9</v>
      </c>
      <c r="AA14" s="25">
        <v>0.5</v>
      </c>
      <c r="AB14" s="25">
        <v>0.5</v>
      </c>
      <c r="AC14" s="50">
        <v>0</v>
      </c>
      <c r="AD14" s="273" t="s">
        <v>884</v>
      </c>
      <c r="AE14" s="17">
        <v>30</v>
      </c>
      <c r="AF14" s="74">
        <f t="shared" si="0"/>
        <v>59400</v>
      </c>
      <c r="AG14" s="78">
        <f t="shared" si="1"/>
        <v>59400</v>
      </c>
      <c r="AH14" s="78">
        <f t="shared" si="2"/>
        <v>59400</v>
      </c>
      <c r="AI14" s="78">
        <f t="shared" si="3"/>
        <v>59400</v>
      </c>
      <c r="AJ14" s="89">
        <f t="shared" si="4"/>
        <v>45000</v>
      </c>
      <c r="AK14" s="89">
        <f t="shared" si="5"/>
        <v>45000</v>
      </c>
      <c r="AL14" s="89">
        <f t="shared" si="6"/>
        <v>45000</v>
      </c>
      <c r="AM14" s="89">
        <f t="shared" si="7"/>
        <v>45000</v>
      </c>
      <c r="AN14" s="46">
        <f t="shared" si="8"/>
        <v>0.75757575757575757</v>
      </c>
      <c r="AO14" s="46">
        <f t="shared" si="8"/>
        <v>0.75757575757575757</v>
      </c>
      <c r="AP14" s="46">
        <f t="shared" si="8"/>
        <v>0.75757575757575757</v>
      </c>
      <c r="AQ14" s="46">
        <f t="shared" si="8"/>
        <v>0.75757575757575757</v>
      </c>
    </row>
    <row r="15" spans="1:43" s="305" customFormat="1" ht="15.75">
      <c r="A15" s="722" t="s">
        <v>7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2"/>
      <c r="N15" s="722"/>
      <c r="O15" s="722"/>
      <c r="P15" s="722"/>
      <c r="Q15" s="722"/>
      <c r="R15" s="722"/>
      <c r="S15" s="722"/>
      <c r="T15" s="722"/>
      <c r="U15" s="722"/>
      <c r="V15" s="722"/>
      <c r="W15" s="722"/>
      <c r="X15" s="722"/>
      <c r="Y15" s="722"/>
      <c r="Z15" s="303"/>
      <c r="AA15" s="303"/>
      <c r="AB15" s="303"/>
      <c r="AC15" s="303"/>
      <c r="AD15" s="290"/>
      <c r="AE15" s="303"/>
      <c r="AF15" s="314">
        <f t="shared" ref="AF15:AM15" si="9">SUM(AF6:AF14)</f>
        <v>1794750.2250000001</v>
      </c>
      <c r="AG15" s="314">
        <f t="shared" si="9"/>
        <v>2240835.6</v>
      </c>
      <c r="AH15" s="314">
        <f t="shared" si="9"/>
        <v>2562699</v>
      </c>
      <c r="AI15" s="314">
        <f t="shared" si="9"/>
        <v>2731621.8750000005</v>
      </c>
      <c r="AJ15" s="315">
        <f t="shared" si="9"/>
        <v>916575</v>
      </c>
      <c r="AK15" s="315">
        <f t="shared" si="9"/>
        <v>1165950</v>
      </c>
      <c r="AL15" s="315">
        <f t="shared" si="9"/>
        <v>1327500</v>
      </c>
      <c r="AM15" s="315">
        <f t="shared" si="9"/>
        <v>1301550</v>
      </c>
      <c r="AN15" s="46">
        <f t="shared" si="8"/>
        <v>0.51069780475999105</v>
      </c>
      <c r="AO15" s="46">
        <f t="shared" si="8"/>
        <v>0.52031929517720976</v>
      </c>
      <c r="AP15" s="46">
        <f t="shared" si="8"/>
        <v>0.51800855270166335</v>
      </c>
      <c r="AQ15" s="46">
        <f t="shared" si="8"/>
        <v>0.47647517100074466</v>
      </c>
    </row>
  </sheetData>
  <mergeCells count="30">
    <mergeCell ref="A1:AL1"/>
    <mergeCell ref="H2:AE2"/>
    <mergeCell ref="AF2:AI2"/>
    <mergeCell ref="AJ2:AM2"/>
    <mergeCell ref="AN2:AQ2"/>
    <mergeCell ref="A15:Y15"/>
    <mergeCell ref="AO3:AO4"/>
    <mergeCell ref="AN3:AN4"/>
    <mergeCell ref="AQ3:AQ4"/>
    <mergeCell ref="AF3:AF4"/>
    <mergeCell ref="AG3:AG4"/>
    <mergeCell ref="AH3:AH4"/>
    <mergeCell ref="AI3:AI4"/>
    <mergeCell ref="AJ3:AJ4"/>
    <mergeCell ref="AK3:AK4"/>
    <mergeCell ref="A2:A4"/>
    <mergeCell ref="B2:B4"/>
    <mergeCell ref="C2:C4"/>
    <mergeCell ref="N3:S3"/>
    <mergeCell ref="T3:Y3"/>
    <mergeCell ref="Z3:AE3"/>
    <mergeCell ref="AP3:AP4"/>
    <mergeCell ref="AL3:AL4"/>
    <mergeCell ref="AM3:AM4"/>
    <mergeCell ref="D2:G2"/>
    <mergeCell ref="D3:D4"/>
    <mergeCell ref="E3:E4"/>
    <mergeCell ref="F3:F4"/>
    <mergeCell ref="G3:G4"/>
    <mergeCell ref="H3:M3"/>
  </mergeCells>
  <pageMargins left="0.2" right="0.2" top="0.75" bottom="0.75" header="0.3" footer="0.3"/>
  <pageSetup scale="3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R132"/>
  <sheetViews>
    <sheetView showZeros="0" view="pageBreakPreview" zoomScale="70" zoomScaleNormal="55" zoomScaleSheetLayoutView="70" workbookViewId="0">
      <pane xSplit="2" ySplit="5" topLeftCell="D51" activePane="bottomRight" state="frozen"/>
      <selection pane="topRight"/>
      <selection pane="bottomLeft"/>
      <selection pane="bottomRight" activeCell="N10" sqref="N10"/>
    </sheetView>
  </sheetViews>
  <sheetFormatPr defaultColWidth="8.85546875" defaultRowHeight="15"/>
  <cols>
    <col min="1" max="1" width="9.140625" style="53" customWidth="1"/>
    <col min="2" max="2" width="37.5703125" style="39" customWidth="1"/>
    <col min="3" max="3" width="10.42578125" style="39" customWidth="1"/>
    <col min="4" max="4" width="11.42578125" style="39" customWidth="1"/>
    <col min="5" max="6" width="10.42578125" style="39" customWidth="1"/>
    <col min="7" max="11" width="15.42578125" style="39" customWidth="1"/>
    <col min="12" max="12" width="10.5703125" style="53" customWidth="1"/>
    <col min="13" max="13" width="20.42578125" style="53" customWidth="1"/>
    <col min="14" max="14" width="11.42578125" style="39" bestFit="1" customWidth="1"/>
    <col min="15" max="15" width="20.7109375" style="39" customWidth="1"/>
    <col min="16" max="16" width="10.42578125" style="39" customWidth="1"/>
    <col min="17" max="17" width="18.85546875" style="39" customWidth="1"/>
    <col min="18" max="18" width="10.42578125" style="39" customWidth="1"/>
    <col min="19" max="19" width="18.85546875" style="39" customWidth="1"/>
    <col min="20" max="20" width="11.85546875" style="39" customWidth="1"/>
    <col min="21" max="32" width="13.7109375" style="39" hidden="1" customWidth="1"/>
    <col min="33" max="33" width="41.28515625" style="39" customWidth="1"/>
    <col min="34" max="16384" width="8.85546875" style="39"/>
  </cols>
  <sheetData>
    <row r="1" spans="1:44" s="10" customFormat="1" ht="25.5">
      <c r="A1" s="725" t="s">
        <v>1656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725"/>
      <c r="AD1" s="725"/>
      <c r="AE1" s="725"/>
      <c r="AF1" s="288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</row>
    <row r="2" spans="1:44" ht="15.75">
      <c r="A2" s="717" t="s">
        <v>1</v>
      </c>
      <c r="B2" s="717" t="s">
        <v>2</v>
      </c>
      <c r="C2" s="726" t="s">
        <v>536</v>
      </c>
      <c r="D2" s="726"/>
      <c r="E2" s="726"/>
      <c r="F2" s="727"/>
      <c r="G2" s="716" t="s">
        <v>8</v>
      </c>
      <c r="H2" s="732" t="s">
        <v>497</v>
      </c>
      <c r="I2" s="732"/>
      <c r="J2" s="732"/>
      <c r="K2" s="733"/>
      <c r="L2" s="726" t="s">
        <v>616</v>
      </c>
      <c r="M2" s="726"/>
      <c r="N2" s="726"/>
      <c r="O2" s="726"/>
      <c r="P2" s="726"/>
      <c r="Q2" s="726"/>
      <c r="R2" s="726"/>
      <c r="S2" s="727"/>
      <c r="T2" s="717" t="s">
        <v>5</v>
      </c>
      <c r="U2" s="726" t="s">
        <v>501</v>
      </c>
      <c r="V2" s="726"/>
      <c r="W2" s="726"/>
      <c r="X2" s="727"/>
      <c r="Y2" s="726" t="s">
        <v>502</v>
      </c>
      <c r="Z2" s="726"/>
      <c r="AA2" s="726"/>
      <c r="AB2" s="727"/>
      <c r="AC2" s="726" t="s">
        <v>503</v>
      </c>
      <c r="AD2" s="726"/>
      <c r="AE2" s="726"/>
      <c r="AF2" s="727"/>
    </row>
    <row r="3" spans="1:44" ht="47.25">
      <c r="A3" s="718"/>
      <c r="B3" s="718"/>
      <c r="C3" s="290" t="s">
        <v>612</v>
      </c>
      <c r="D3" s="290" t="s">
        <v>613</v>
      </c>
      <c r="E3" s="290" t="s">
        <v>534</v>
      </c>
      <c r="F3" s="290" t="s">
        <v>535</v>
      </c>
      <c r="G3" s="716"/>
      <c r="H3" s="290" t="s">
        <v>612</v>
      </c>
      <c r="I3" s="290" t="s">
        <v>613</v>
      </c>
      <c r="J3" s="290" t="s">
        <v>534</v>
      </c>
      <c r="K3" s="290" t="s">
        <v>535</v>
      </c>
      <c r="L3" s="726" t="s">
        <v>612</v>
      </c>
      <c r="M3" s="727"/>
      <c r="N3" s="728" t="s">
        <v>613</v>
      </c>
      <c r="O3" s="727"/>
      <c r="P3" s="716" t="s">
        <v>534</v>
      </c>
      <c r="Q3" s="716"/>
      <c r="R3" s="716" t="s">
        <v>535</v>
      </c>
      <c r="S3" s="716"/>
      <c r="T3" s="718"/>
      <c r="U3" s="290" t="s">
        <v>612</v>
      </c>
      <c r="V3" s="290" t="s">
        <v>613</v>
      </c>
      <c r="W3" s="290" t="s">
        <v>534</v>
      </c>
      <c r="X3" s="290" t="s">
        <v>535</v>
      </c>
      <c r="Y3" s="290" t="s">
        <v>612</v>
      </c>
      <c r="Z3" s="290" t="s">
        <v>613</v>
      </c>
      <c r="AA3" s="290" t="s">
        <v>534</v>
      </c>
      <c r="AB3" s="290" t="s">
        <v>535</v>
      </c>
      <c r="AC3" s="290" t="s">
        <v>612</v>
      </c>
      <c r="AD3" s="290" t="s">
        <v>613</v>
      </c>
      <c r="AE3" s="290" t="s">
        <v>534</v>
      </c>
      <c r="AF3" s="290" t="s">
        <v>535</v>
      </c>
    </row>
    <row r="4" spans="1:44" ht="63" customHeight="1">
      <c r="A4" s="291"/>
      <c r="B4" s="291"/>
      <c r="C4" s="292"/>
      <c r="D4" s="292"/>
      <c r="E4" s="292"/>
      <c r="F4" s="292"/>
      <c r="G4" s="293"/>
      <c r="H4" s="293"/>
      <c r="I4" s="293"/>
      <c r="J4" s="293"/>
      <c r="K4" s="290"/>
      <c r="L4" s="294" t="s">
        <v>498</v>
      </c>
      <c r="M4" s="294" t="s">
        <v>496</v>
      </c>
      <c r="N4" s="295" t="s">
        <v>498</v>
      </c>
      <c r="O4" s="292" t="s">
        <v>496</v>
      </c>
      <c r="P4" s="295" t="s">
        <v>498</v>
      </c>
      <c r="Q4" s="292" t="s">
        <v>496</v>
      </c>
      <c r="R4" s="295" t="s">
        <v>498</v>
      </c>
      <c r="S4" s="292" t="s">
        <v>496</v>
      </c>
      <c r="T4" s="291"/>
      <c r="U4" s="295"/>
      <c r="V4" s="292"/>
      <c r="W4" s="292"/>
      <c r="X4" s="292"/>
      <c r="Y4" s="295"/>
      <c r="Z4" s="292"/>
      <c r="AA4" s="292"/>
      <c r="AB4" s="292"/>
      <c r="AC4" s="295"/>
      <c r="AD4" s="292"/>
      <c r="AE4" s="292"/>
      <c r="AF4" s="294"/>
    </row>
    <row r="5" spans="1:44" s="10" customFormat="1" ht="15.75" hidden="1">
      <c r="A5" s="13">
        <v>1</v>
      </c>
      <c r="B5" s="13">
        <v>2</v>
      </c>
      <c r="C5" s="22"/>
      <c r="D5" s="22"/>
      <c r="E5" s="22"/>
      <c r="F5" s="22"/>
      <c r="G5" s="22">
        <v>5</v>
      </c>
      <c r="H5" s="22"/>
      <c r="I5" s="22"/>
      <c r="J5" s="22"/>
      <c r="K5" s="290"/>
      <c r="L5" s="296"/>
      <c r="M5" s="22"/>
      <c r="N5" s="22"/>
      <c r="O5" s="22"/>
      <c r="P5" s="22"/>
      <c r="Q5" s="22"/>
      <c r="R5" s="22"/>
      <c r="S5" s="22"/>
      <c r="T5" s="13">
        <v>8</v>
      </c>
      <c r="U5" s="13"/>
      <c r="V5" s="22"/>
      <c r="W5" s="22"/>
      <c r="X5" s="22"/>
      <c r="Y5" s="13"/>
      <c r="Z5" s="22"/>
      <c r="AA5" s="22"/>
      <c r="AB5" s="22"/>
      <c r="AC5" s="13"/>
      <c r="AD5" s="22"/>
      <c r="AE5" s="22"/>
      <c r="AF5" s="22"/>
    </row>
    <row r="6" spans="1:44" s="10" customFormat="1" ht="15.75">
      <c r="A6" s="50" t="s">
        <v>6</v>
      </c>
      <c r="B6" s="51" t="s">
        <v>9</v>
      </c>
      <c r="C6" s="18"/>
      <c r="D6" s="18"/>
      <c r="E6" s="18"/>
      <c r="F6" s="18"/>
      <c r="G6" s="297"/>
      <c r="H6" s="297"/>
      <c r="I6" s="297"/>
      <c r="J6" s="297"/>
      <c r="K6" s="13"/>
      <c r="L6" s="29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44" s="10" customFormat="1" ht="45">
      <c r="A7" s="17">
        <v>1</v>
      </c>
      <c r="B7" s="16" t="s">
        <v>10</v>
      </c>
      <c r="C7" s="17">
        <v>1</v>
      </c>
      <c r="D7" s="17">
        <v>1</v>
      </c>
      <c r="E7" s="17">
        <v>1</v>
      </c>
      <c r="F7" s="17">
        <v>1</v>
      </c>
      <c r="G7" s="64">
        <v>30</v>
      </c>
      <c r="H7" s="17">
        <v>25</v>
      </c>
      <c r="I7" s="17">
        <v>25</v>
      </c>
      <c r="J7" s="17">
        <v>25</v>
      </c>
      <c r="K7" s="17">
        <v>25</v>
      </c>
      <c r="L7" s="164">
        <v>5</v>
      </c>
      <c r="M7" s="163" t="s">
        <v>850</v>
      </c>
      <c r="N7" s="17">
        <v>7</v>
      </c>
      <c r="O7" s="163" t="s">
        <v>850</v>
      </c>
      <c r="P7" s="17">
        <v>10</v>
      </c>
      <c r="Q7" s="163" t="s">
        <v>850</v>
      </c>
      <c r="R7" s="17">
        <v>12</v>
      </c>
      <c r="S7" s="163" t="s">
        <v>850</v>
      </c>
      <c r="T7" s="17">
        <v>30</v>
      </c>
      <c r="U7" s="73">
        <f t="shared" ref="U7:U17" si="0">C7*G7*L7*T7</f>
        <v>4500</v>
      </c>
      <c r="V7" s="74">
        <f t="shared" ref="V7:V17" si="1">D7*G7*N7*T7</f>
        <v>6300</v>
      </c>
      <c r="W7" s="74">
        <f t="shared" ref="W7:W17" si="2">E7*G7*P7*T7</f>
        <v>9000</v>
      </c>
      <c r="X7" s="74">
        <f t="shared" ref="X7:X17" si="3">F7*K7*R7*T7</f>
        <v>9000</v>
      </c>
      <c r="Y7" s="73">
        <f t="shared" ref="Y7:Y17" si="4">C7*K7*L7*T7</f>
        <v>3750</v>
      </c>
      <c r="Z7" s="74">
        <f t="shared" ref="Z7:Z17" si="5">D7*K7*N7*T7</f>
        <v>5250</v>
      </c>
      <c r="AA7" s="74">
        <f t="shared" ref="AA7:AA17" si="6">E7*K7*P7*T7</f>
        <v>7500</v>
      </c>
      <c r="AB7" s="74">
        <f t="shared" ref="AB7:AB17" si="7">F7*K7*R7*T7</f>
        <v>9000</v>
      </c>
      <c r="AC7" s="72">
        <f t="shared" ref="AC7:AC14" si="8">Y7/U7</f>
        <v>0.83333333333333337</v>
      </c>
      <c r="AD7" s="72">
        <f t="shared" ref="AD7:AD14" si="9">Z7/V7</f>
        <v>0.83333333333333337</v>
      </c>
      <c r="AE7" s="72">
        <f t="shared" ref="AE7:AE14" si="10">AA7/W7</f>
        <v>0.83333333333333337</v>
      </c>
      <c r="AF7" s="72">
        <f t="shared" ref="AF7:AF14" si="11">AB7/X7</f>
        <v>1</v>
      </c>
    </row>
    <row r="8" spans="1:44" s="10" customFormat="1" ht="60">
      <c r="A8" s="17">
        <v>2</v>
      </c>
      <c r="B8" s="16" t="s">
        <v>417</v>
      </c>
      <c r="C8" s="17">
        <v>1</v>
      </c>
      <c r="D8" s="17">
        <v>1</v>
      </c>
      <c r="E8" s="17">
        <v>1</v>
      </c>
      <c r="F8" s="17">
        <v>1</v>
      </c>
      <c r="G8" s="64">
        <v>15</v>
      </c>
      <c r="H8" s="64">
        <v>15</v>
      </c>
      <c r="I8" s="64">
        <v>15</v>
      </c>
      <c r="J8" s="64">
        <v>15</v>
      </c>
      <c r="K8" s="17">
        <v>15</v>
      </c>
      <c r="L8" s="164">
        <v>8</v>
      </c>
      <c r="M8" s="163" t="s">
        <v>846</v>
      </c>
      <c r="N8" s="17">
        <v>10</v>
      </c>
      <c r="O8" s="163" t="s">
        <v>846</v>
      </c>
      <c r="P8" s="17">
        <v>12</v>
      </c>
      <c r="Q8" s="163" t="s">
        <v>846</v>
      </c>
      <c r="R8" s="17">
        <v>15</v>
      </c>
      <c r="S8" s="163" t="s">
        <v>846</v>
      </c>
      <c r="T8" s="15">
        <v>30</v>
      </c>
      <c r="U8" s="73">
        <f t="shared" si="0"/>
        <v>3600</v>
      </c>
      <c r="V8" s="74">
        <f t="shared" si="1"/>
        <v>4500</v>
      </c>
      <c r="W8" s="74">
        <f t="shared" si="2"/>
        <v>5400</v>
      </c>
      <c r="X8" s="74">
        <f t="shared" si="3"/>
        <v>6750</v>
      </c>
      <c r="Y8" s="73">
        <f t="shared" si="4"/>
        <v>3600</v>
      </c>
      <c r="Z8" s="74">
        <f t="shared" si="5"/>
        <v>4500</v>
      </c>
      <c r="AA8" s="74">
        <f t="shared" si="6"/>
        <v>5400</v>
      </c>
      <c r="AB8" s="74">
        <f t="shared" si="7"/>
        <v>6750</v>
      </c>
      <c r="AC8" s="72">
        <f t="shared" si="8"/>
        <v>1</v>
      </c>
      <c r="AD8" s="72">
        <f t="shared" si="9"/>
        <v>1</v>
      </c>
      <c r="AE8" s="72">
        <f t="shared" si="10"/>
        <v>1</v>
      </c>
      <c r="AF8" s="72">
        <f t="shared" si="11"/>
        <v>1</v>
      </c>
    </row>
    <row r="9" spans="1:44" s="10" customFormat="1" ht="45">
      <c r="A9" s="17">
        <v>3</v>
      </c>
      <c r="B9" s="16" t="s">
        <v>11</v>
      </c>
      <c r="C9" s="17">
        <v>1</v>
      </c>
      <c r="D9" s="17">
        <v>1</v>
      </c>
      <c r="E9" s="17">
        <v>1</v>
      </c>
      <c r="F9" s="17">
        <v>1</v>
      </c>
      <c r="G9" s="64">
        <v>7.5</v>
      </c>
      <c r="H9" s="17">
        <v>7.5</v>
      </c>
      <c r="I9" s="17">
        <v>7.5</v>
      </c>
      <c r="J9" s="17">
        <v>7.5</v>
      </c>
      <c r="K9" s="17">
        <v>7.5</v>
      </c>
      <c r="L9" s="164">
        <v>10</v>
      </c>
      <c r="M9" s="163" t="s">
        <v>847</v>
      </c>
      <c r="N9" s="17">
        <v>12</v>
      </c>
      <c r="O9" s="163" t="s">
        <v>847</v>
      </c>
      <c r="P9" s="17">
        <v>14</v>
      </c>
      <c r="Q9" s="163" t="s">
        <v>847</v>
      </c>
      <c r="R9" s="17">
        <v>15</v>
      </c>
      <c r="S9" s="163" t="s">
        <v>847</v>
      </c>
      <c r="T9" s="15">
        <v>30</v>
      </c>
      <c r="U9" s="73">
        <f t="shared" si="0"/>
        <v>2250</v>
      </c>
      <c r="V9" s="74">
        <f t="shared" si="1"/>
        <v>2700</v>
      </c>
      <c r="W9" s="74">
        <f t="shared" si="2"/>
        <v>3150</v>
      </c>
      <c r="X9" s="74">
        <f t="shared" si="3"/>
        <v>3375</v>
      </c>
      <c r="Y9" s="73">
        <f t="shared" si="4"/>
        <v>2250</v>
      </c>
      <c r="Z9" s="74">
        <f t="shared" si="5"/>
        <v>2700</v>
      </c>
      <c r="AA9" s="74">
        <f t="shared" si="6"/>
        <v>3150</v>
      </c>
      <c r="AB9" s="74">
        <f t="shared" si="7"/>
        <v>3375</v>
      </c>
      <c r="AC9" s="72">
        <f t="shared" si="8"/>
        <v>1</v>
      </c>
      <c r="AD9" s="72">
        <f t="shared" si="9"/>
        <v>1</v>
      </c>
      <c r="AE9" s="72">
        <f t="shared" si="10"/>
        <v>1</v>
      </c>
      <c r="AF9" s="72">
        <f t="shared" si="11"/>
        <v>1</v>
      </c>
    </row>
    <row r="10" spans="1:44" s="10" customFormat="1" ht="45">
      <c r="A10" s="17">
        <v>4</v>
      </c>
      <c r="B10" s="16" t="s">
        <v>12</v>
      </c>
      <c r="C10" s="17">
        <v>1</v>
      </c>
      <c r="D10" s="17">
        <v>1</v>
      </c>
      <c r="E10" s="17">
        <v>1</v>
      </c>
      <c r="F10" s="17">
        <v>1</v>
      </c>
      <c r="G10" s="64">
        <v>5.5</v>
      </c>
      <c r="H10" s="17">
        <v>5.5</v>
      </c>
      <c r="I10" s="17">
        <v>5.5</v>
      </c>
      <c r="J10" s="17">
        <v>5.5</v>
      </c>
      <c r="K10" s="17">
        <v>5.5</v>
      </c>
      <c r="L10" s="164">
        <v>4</v>
      </c>
      <c r="M10" s="163" t="s">
        <v>847</v>
      </c>
      <c r="N10" s="17">
        <v>5</v>
      </c>
      <c r="O10" s="163" t="s">
        <v>847</v>
      </c>
      <c r="P10" s="17">
        <v>6</v>
      </c>
      <c r="Q10" s="163" t="s">
        <v>847</v>
      </c>
      <c r="R10" s="17">
        <v>7</v>
      </c>
      <c r="S10" s="163" t="s">
        <v>847</v>
      </c>
      <c r="T10" s="15">
        <v>30</v>
      </c>
      <c r="U10" s="73">
        <f t="shared" si="0"/>
        <v>660</v>
      </c>
      <c r="V10" s="74">
        <f t="shared" si="1"/>
        <v>825</v>
      </c>
      <c r="W10" s="74">
        <f t="shared" si="2"/>
        <v>990</v>
      </c>
      <c r="X10" s="74">
        <f t="shared" si="3"/>
        <v>1155</v>
      </c>
      <c r="Y10" s="73">
        <f t="shared" si="4"/>
        <v>660</v>
      </c>
      <c r="Z10" s="74">
        <f t="shared" si="5"/>
        <v>825</v>
      </c>
      <c r="AA10" s="74">
        <f t="shared" si="6"/>
        <v>990</v>
      </c>
      <c r="AB10" s="74">
        <f t="shared" si="7"/>
        <v>1155</v>
      </c>
      <c r="AC10" s="72">
        <f t="shared" si="8"/>
        <v>1</v>
      </c>
      <c r="AD10" s="72">
        <f t="shared" si="9"/>
        <v>1</v>
      </c>
      <c r="AE10" s="72">
        <f t="shared" si="10"/>
        <v>1</v>
      </c>
      <c r="AF10" s="72">
        <f t="shared" si="11"/>
        <v>1</v>
      </c>
    </row>
    <row r="11" spans="1:44" s="96" customFormat="1" ht="99" customHeight="1">
      <c r="A11" s="14">
        <v>5</v>
      </c>
      <c r="B11" s="93" t="s">
        <v>13</v>
      </c>
      <c r="C11" s="14">
        <v>1</v>
      </c>
      <c r="D11" s="14">
        <v>1</v>
      </c>
      <c r="E11" s="14">
        <v>1</v>
      </c>
      <c r="F11" s="14">
        <v>1</v>
      </c>
      <c r="G11" s="94">
        <v>18.5</v>
      </c>
      <c r="H11" s="14">
        <v>18.5</v>
      </c>
      <c r="I11" s="14">
        <v>18.5</v>
      </c>
      <c r="J11" s="14">
        <v>18.5</v>
      </c>
      <c r="K11" s="14">
        <v>18.5</v>
      </c>
      <c r="L11" s="165">
        <v>6</v>
      </c>
      <c r="M11" s="245" t="s">
        <v>848</v>
      </c>
      <c r="N11" s="14">
        <v>8</v>
      </c>
      <c r="O11" s="245" t="s">
        <v>848</v>
      </c>
      <c r="P11" s="14">
        <v>9</v>
      </c>
      <c r="Q11" s="245" t="s">
        <v>848</v>
      </c>
      <c r="R11" s="14">
        <v>10</v>
      </c>
      <c r="S11" s="245" t="s">
        <v>848</v>
      </c>
      <c r="T11" s="92">
        <v>30</v>
      </c>
      <c r="U11" s="145">
        <f t="shared" si="0"/>
        <v>3330</v>
      </c>
      <c r="V11" s="146">
        <f t="shared" si="1"/>
        <v>4440</v>
      </c>
      <c r="W11" s="146">
        <f t="shared" si="2"/>
        <v>4995</v>
      </c>
      <c r="X11" s="146">
        <f t="shared" si="3"/>
        <v>5550</v>
      </c>
      <c r="Y11" s="145">
        <f t="shared" si="4"/>
        <v>3330</v>
      </c>
      <c r="Z11" s="146">
        <f t="shared" si="5"/>
        <v>4440</v>
      </c>
      <c r="AA11" s="146">
        <f t="shared" si="6"/>
        <v>4995</v>
      </c>
      <c r="AB11" s="146">
        <f t="shared" si="7"/>
        <v>5550</v>
      </c>
      <c r="AC11" s="95">
        <f t="shared" si="8"/>
        <v>1</v>
      </c>
      <c r="AD11" s="95">
        <f t="shared" si="9"/>
        <v>1</v>
      </c>
      <c r="AE11" s="95">
        <f t="shared" si="10"/>
        <v>1</v>
      </c>
      <c r="AF11" s="95">
        <f t="shared" si="11"/>
        <v>1</v>
      </c>
      <c r="AG11" s="246"/>
    </row>
    <row r="12" spans="1:44" s="10" customFormat="1" ht="105">
      <c r="A12" s="17">
        <v>7</v>
      </c>
      <c r="B12" s="93" t="s">
        <v>13</v>
      </c>
      <c r="C12" s="14">
        <v>1</v>
      </c>
      <c r="D12" s="14">
        <v>1</v>
      </c>
      <c r="E12" s="14">
        <v>1</v>
      </c>
      <c r="F12" s="14">
        <v>1</v>
      </c>
      <c r="G12" s="94">
        <v>18.5</v>
      </c>
      <c r="H12" s="14">
        <v>18.5</v>
      </c>
      <c r="I12" s="14">
        <v>18.5</v>
      </c>
      <c r="J12" s="14">
        <v>18.5</v>
      </c>
      <c r="K12" s="14">
        <v>18.5</v>
      </c>
      <c r="L12" s="165">
        <v>6</v>
      </c>
      <c r="M12" s="245" t="s">
        <v>848</v>
      </c>
      <c r="N12" s="14">
        <v>8</v>
      </c>
      <c r="O12" s="245" t="s">
        <v>848</v>
      </c>
      <c r="P12" s="14">
        <v>9</v>
      </c>
      <c r="Q12" s="245" t="s">
        <v>848</v>
      </c>
      <c r="R12" s="14">
        <v>10</v>
      </c>
      <c r="S12" s="245" t="s">
        <v>848</v>
      </c>
      <c r="T12" s="92">
        <v>30</v>
      </c>
      <c r="U12" s="73">
        <f t="shared" si="0"/>
        <v>3330</v>
      </c>
      <c r="V12" s="74">
        <f t="shared" si="1"/>
        <v>4440</v>
      </c>
      <c r="W12" s="74">
        <f t="shared" si="2"/>
        <v>4995</v>
      </c>
      <c r="X12" s="74">
        <f t="shared" si="3"/>
        <v>5550</v>
      </c>
      <c r="Y12" s="73">
        <f t="shared" si="4"/>
        <v>3330</v>
      </c>
      <c r="Z12" s="74">
        <f t="shared" si="5"/>
        <v>4440</v>
      </c>
      <c r="AA12" s="74">
        <f t="shared" si="6"/>
        <v>4995</v>
      </c>
      <c r="AB12" s="74">
        <f t="shared" si="7"/>
        <v>5550</v>
      </c>
      <c r="AC12" s="72">
        <f t="shared" si="8"/>
        <v>1</v>
      </c>
      <c r="AD12" s="72">
        <f t="shared" si="9"/>
        <v>1</v>
      </c>
      <c r="AE12" s="72">
        <f t="shared" si="10"/>
        <v>1</v>
      </c>
      <c r="AF12" s="72">
        <f t="shared" si="11"/>
        <v>1</v>
      </c>
    </row>
    <row r="13" spans="1:44" s="10" customFormat="1" ht="60">
      <c r="A13" s="17">
        <v>8</v>
      </c>
      <c r="B13" s="16" t="s">
        <v>14</v>
      </c>
      <c r="C13" s="17">
        <v>1</v>
      </c>
      <c r="D13" s="17">
        <v>1</v>
      </c>
      <c r="E13" s="17">
        <v>1</v>
      </c>
      <c r="F13" s="17">
        <v>1</v>
      </c>
      <c r="G13" s="64">
        <v>11</v>
      </c>
      <c r="H13" s="17">
        <v>11</v>
      </c>
      <c r="I13" s="17">
        <v>11</v>
      </c>
      <c r="J13" s="17">
        <v>11</v>
      </c>
      <c r="K13" s="17">
        <v>11</v>
      </c>
      <c r="L13" s="164">
        <v>0.5</v>
      </c>
      <c r="M13" s="163" t="s">
        <v>849</v>
      </c>
      <c r="N13" s="17">
        <v>1</v>
      </c>
      <c r="O13" s="163" t="s">
        <v>849</v>
      </c>
      <c r="P13" s="17">
        <v>2</v>
      </c>
      <c r="Q13" s="163" t="s">
        <v>849</v>
      </c>
      <c r="R13" s="17">
        <v>3</v>
      </c>
      <c r="S13" s="163" t="s">
        <v>849</v>
      </c>
      <c r="T13" s="15">
        <v>30</v>
      </c>
      <c r="U13" s="73">
        <f t="shared" si="0"/>
        <v>165</v>
      </c>
      <c r="V13" s="74">
        <f t="shared" si="1"/>
        <v>330</v>
      </c>
      <c r="W13" s="74">
        <f t="shared" si="2"/>
        <v>660</v>
      </c>
      <c r="X13" s="74">
        <f t="shared" si="3"/>
        <v>990</v>
      </c>
      <c r="Y13" s="73">
        <f t="shared" si="4"/>
        <v>165</v>
      </c>
      <c r="Z13" s="74">
        <f t="shared" si="5"/>
        <v>330</v>
      </c>
      <c r="AA13" s="74">
        <f t="shared" si="6"/>
        <v>660</v>
      </c>
      <c r="AB13" s="74">
        <f t="shared" si="7"/>
        <v>990</v>
      </c>
      <c r="AC13" s="72">
        <f t="shared" si="8"/>
        <v>1</v>
      </c>
      <c r="AD13" s="72">
        <f t="shared" si="9"/>
        <v>1</v>
      </c>
      <c r="AE13" s="72">
        <f t="shared" si="10"/>
        <v>1</v>
      </c>
      <c r="AF13" s="72">
        <f t="shared" si="11"/>
        <v>1</v>
      </c>
    </row>
    <row r="14" spans="1:44" s="10" customFormat="1" ht="60">
      <c r="A14" s="17">
        <v>9</v>
      </c>
      <c r="B14" s="16" t="s">
        <v>15</v>
      </c>
      <c r="C14" s="17">
        <v>1</v>
      </c>
      <c r="D14" s="17">
        <v>1</v>
      </c>
      <c r="E14" s="17">
        <v>1</v>
      </c>
      <c r="F14" s="17">
        <v>1</v>
      </c>
      <c r="G14" s="64">
        <v>1.5</v>
      </c>
      <c r="H14" s="17">
        <v>1.5</v>
      </c>
      <c r="I14" s="17">
        <v>1.5</v>
      </c>
      <c r="J14" s="17">
        <v>1.5</v>
      </c>
      <c r="K14" s="17">
        <v>1.5</v>
      </c>
      <c r="L14" s="164">
        <v>2</v>
      </c>
      <c r="M14" s="163" t="s">
        <v>849</v>
      </c>
      <c r="N14" s="17">
        <v>2</v>
      </c>
      <c r="O14" s="163" t="s">
        <v>849</v>
      </c>
      <c r="P14" s="17">
        <v>2</v>
      </c>
      <c r="Q14" s="163" t="s">
        <v>849</v>
      </c>
      <c r="R14" s="17">
        <v>2</v>
      </c>
      <c r="S14" s="163" t="s">
        <v>849</v>
      </c>
      <c r="T14" s="15">
        <v>30</v>
      </c>
      <c r="U14" s="73">
        <f t="shared" si="0"/>
        <v>90</v>
      </c>
      <c r="V14" s="74">
        <f t="shared" si="1"/>
        <v>90</v>
      </c>
      <c r="W14" s="74">
        <f t="shared" si="2"/>
        <v>90</v>
      </c>
      <c r="X14" s="74">
        <f t="shared" si="3"/>
        <v>90</v>
      </c>
      <c r="Y14" s="73">
        <f t="shared" si="4"/>
        <v>90</v>
      </c>
      <c r="Z14" s="74">
        <f t="shared" si="5"/>
        <v>90</v>
      </c>
      <c r="AA14" s="74">
        <f t="shared" si="6"/>
        <v>90</v>
      </c>
      <c r="AB14" s="74">
        <f t="shared" si="7"/>
        <v>90</v>
      </c>
      <c r="AC14" s="72">
        <f t="shared" si="8"/>
        <v>1</v>
      </c>
      <c r="AD14" s="72">
        <f t="shared" si="9"/>
        <v>1</v>
      </c>
      <c r="AE14" s="72">
        <f t="shared" si="10"/>
        <v>1</v>
      </c>
      <c r="AF14" s="72">
        <f t="shared" si="11"/>
        <v>1</v>
      </c>
    </row>
    <row r="15" spans="1:44" s="96" customFormat="1" ht="45">
      <c r="A15" s="14">
        <v>10</v>
      </c>
      <c r="B15" s="93" t="s">
        <v>538</v>
      </c>
      <c r="C15" s="14">
        <v>2</v>
      </c>
      <c r="D15" s="14">
        <v>2</v>
      </c>
      <c r="E15" s="14">
        <v>2</v>
      </c>
      <c r="F15" s="14">
        <v>2</v>
      </c>
      <c r="G15" s="94">
        <v>37</v>
      </c>
      <c r="H15" s="14">
        <v>30</v>
      </c>
      <c r="I15" s="14">
        <v>32</v>
      </c>
      <c r="J15" s="14">
        <v>35</v>
      </c>
      <c r="K15" s="14">
        <v>37</v>
      </c>
      <c r="L15" s="165">
        <v>1</v>
      </c>
      <c r="M15" s="163" t="s">
        <v>850</v>
      </c>
      <c r="N15" s="14">
        <v>1.5</v>
      </c>
      <c r="O15" s="163" t="s">
        <v>850</v>
      </c>
      <c r="P15" s="14">
        <v>2</v>
      </c>
      <c r="Q15" s="163" t="s">
        <v>850</v>
      </c>
      <c r="R15" s="14">
        <v>3</v>
      </c>
      <c r="S15" s="163" t="s">
        <v>850</v>
      </c>
      <c r="T15" s="92">
        <v>30</v>
      </c>
      <c r="U15" s="73">
        <f t="shared" si="0"/>
        <v>2220</v>
      </c>
      <c r="V15" s="74">
        <f t="shared" si="1"/>
        <v>3330</v>
      </c>
      <c r="W15" s="74">
        <f t="shared" si="2"/>
        <v>4440</v>
      </c>
      <c r="X15" s="74">
        <f t="shared" si="3"/>
        <v>6660</v>
      </c>
      <c r="Y15" s="73">
        <f t="shared" si="4"/>
        <v>2220</v>
      </c>
      <c r="Z15" s="74">
        <f t="shared" si="5"/>
        <v>3330</v>
      </c>
      <c r="AA15" s="74">
        <f t="shared" si="6"/>
        <v>4440</v>
      </c>
      <c r="AB15" s="74">
        <f t="shared" si="7"/>
        <v>6660</v>
      </c>
      <c r="AC15" s="95">
        <f t="shared" ref="AC15:AE17" si="12">Y15/U15</f>
        <v>1</v>
      </c>
      <c r="AD15" s="95">
        <f t="shared" si="12"/>
        <v>1</v>
      </c>
      <c r="AE15" s="95">
        <f t="shared" si="12"/>
        <v>1</v>
      </c>
      <c r="AF15" s="95"/>
    </row>
    <row r="16" spans="1:44" s="10" customFormat="1" ht="60">
      <c r="A16" s="17">
        <v>11</v>
      </c>
      <c r="B16" s="16" t="s">
        <v>16</v>
      </c>
      <c r="C16" s="17">
        <v>1</v>
      </c>
      <c r="D16" s="17">
        <v>1</v>
      </c>
      <c r="E16" s="17">
        <v>1</v>
      </c>
      <c r="F16" s="17">
        <v>1</v>
      </c>
      <c r="G16" s="64">
        <v>4.5</v>
      </c>
      <c r="H16" s="17">
        <v>4.5</v>
      </c>
      <c r="I16" s="17">
        <v>4.5</v>
      </c>
      <c r="J16" s="17">
        <v>4.5</v>
      </c>
      <c r="K16" s="17">
        <v>4.5</v>
      </c>
      <c r="L16" s="164">
        <v>1</v>
      </c>
      <c r="M16" s="87" t="s">
        <v>506</v>
      </c>
      <c r="N16" s="17">
        <v>1</v>
      </c>
      <c r="O16" s="87" t="s">
        <v>506</v>
      </c>
      <c r="P16" s="17">
        <v>1</v>
      </c>
      <c r="Q16" s="87" t="s">
        <v>506</v>
      </c>
      <c r="R16" s="17">
        <v>1</v>
      </c>
      <c r="S16" s="87" t="s">
        <v>506</v>
      </c>
      <c r="T16" s="15">
        <v>30</v>
      </c>
      <c r="U16" s="73">
        <f t="shared" si="0"/>
        <v>135</v>
      </c>
      <c r="V16" s="74">
        <f t="shared" si="1"/>
        <v>135</v>
      </c>
      <c r="W16" s="74">
        <f t="shared" si="2"/>
        <v>135</v>
      </c>
      <c r="X16" s="74">
        <f t="shared" si="3"/>
        <v>135</v>
      </c>
      <c r="Y16" s="73">
        <f t="shared" si="4"/>
        <v>135</v>
      </c>
      <c r="Z16" s="74">
        <f t="shared" si="5"/>
        <v>135</v>
      </c>
      <c r="AA16" s="74">
        <f t="shared" si="6"/>
        <v>135</v>
      </c>
      <c r="AB16" s="74">
        <f t="shared" si="7"/>
        <v>135</v>
      </c>
      <c r="AC16" s="72">
        <f t="shared" si="12"/>
        <v>1</v>
      </c>
      <c r="AD16" s="72">
        <f t="shared" si="12"/>
        <v>1</v>
      </c>
      <c r="AE16" s="72">
        <f t="shared" si="12"/>
        <v>1</v>
      </c>
      <c r="AF16" s="72">
        <f>AB16/X16</f>
        <v>1</v>
      </c>
    </row>
    <row r="17" spans="1:32" s="10" customFormat="1" ht="60">
      <c r="A17" s="17">
        <v>12</v>
      </c>
      <c r="B17" s="16" t="s">
        <v>1584</v>
      </c>
      <c r="C17" s="17">
        <v>1</v>
      </c>
      <c r="D17" s="17">
        <v>1</v>
      </c>
      <c r="E17" s="17">
        <v>1</v>
      </c>
      <c r="F17" s="17">
        <v>2</v>
      </c>
      <c r="G17" s="64">
        <v>4.5999999999999996</v>
      </c>
      <c r="H17" s="17">
        <v>4.5999999999999996</v>
      </c>
      <c r="I17" s="17">
        <v>4.5999999999999996</v>
      </c>
      <c r="J17" s="17">
        <v>4.5999999999999996</v>
      </c>
      <c r="K17" s="17">
        <v>4.5999999999999996</v>
      </c>
      <c r="L17" s="164">
        <v>14</v>
      </c>
      <c r="M17" s="87" t="s">
        <v>507</v>
      </c>
      <c r="N17" s="17">
        <v>16</v>
      </c>
      <c r="O17" s="87" t="s">
        <v>507</v>
      </c>
      <c r="P17" s="17">
        <v>18</v>
      </c>
      <c r="Q17" s="87" t="s">
        <v>507</v>
      </c>
      <c r="R17" s="17">
        <v>12</v>
      </c>
      <c r="S17" s="87" t="s">
        <v>507</v>
      </c>
      <c r="T17" s="15">
        <v>10</v>
      </c>
      <c r="U17" s="73">
        <f t="shared" si="0"/>
        <v>643.99999999999989</v>
      </c>
      <c r="V17" s="74">
        <f t="shared" si="1"/>
        <v>736</v>
      </c>
      <c r="W17" s="74">
        <f t="shared" si="2"/>
        <v>828</v>
      </c>
      <c r="X17" s="74">
        <f t="shared" si="3"/>
        <v>1104</v>
      </c>
      <c r="Y17" s="73">
        <f t="shared" si="4"/>
        <v>643.99999999999989</v>
      </c>
      <c r="Z17" s="74">
        <f t="shared" si="5"/>
        <v>736</v>
      </c>
      <c r="AA17" s="74">
        <f t="shared" si="6"/>
        <v>828</v>
      </c>
      <c r="AB17" s="74">
        <f t="shared" si="7"/>
        <v>1104</v>
      </c>
      <c r="AC17" s="72">
        <f t="shared" si="12"/>
        <v>1</v>
      </c>
      <c r="AD17" s="72">
        <f t="shared" si="12"/>
        <v>1</v>
      </c>
      <c r="AE17" s="72">
        <f t="shared" si="12"/>
        <v>1</v>
      </c>
      <c r="AF17" s="72">
        <f>AB17/X17</f>
        <v>1</v>
      </c>
    </row>
    <row r="18" spans="1:32" s="10" customFormat="1">
      <c r="A18" s="50" t="s">
        <v>18</v>
      </c>
      <c r="B18" s="51" t="s">
        <v>19</v>
      </c>
      <c r="C18" s="18"/>
      <c r="D18" s="18"/>
      <c r="E18" s="18"/>
      <c r="F18" s="18"/>
      <c r="G18" s="297"/>
      <c r="H18" s="297"/>
      <c r="I18" s="297"/>
      <c r="J18" s="297"/>
      <c r="K18" s="17"/>
      <c r="L18" s="164"/>
      <c r="M18" s="15"/>
      <c r="N18" s="18"/>
      <c r="O18" s="15"/>
      <c r="P18" s="18"/>
      <c r="Q18" s="15"/>
      <c r="R18" s="18"/>
      <c r="S18" s="15"/>
      <c r="T18" s="15"/>
      <c r="U18" s="73"/>
      <c r="V18" s="74"/>
      <c r="W18" s="74"/>
      <c r="X18" s="74"/>
      <c r="Y18" s="73"/>
      <c r="Z18" s="74"/>
      <c r="AA18" s="74"/>
      <c r="AB18" s="74"/>
      <c r="AC18" s="72"/>
      <c r="AD18" s="72"/>
      <c r="AE18" s="72"/>
      <c r="AF18" s="72"/>
    </row>
    <row r="19" spans="1:32" s="10" customFormat="1" ht="30">
      <c r="A19" s="17">
        <v>1</v>
      </c>
      <c r="B19" s="16" t="s">
        <v>20</v>
      </c>
      <c r="C19" s="17">
        <v>1</v>
      </c>
      <c r="D19" s="17">
        <v>1</v>
      </c>
      <c r="E19" s="17">
        <v>1</v>
      </c>
      <c r="F19" s="17">
        <v>1</v>
      </c>
      <c r="G19" s="64">
        <v>22</v>
      </c>
      <c r="H19" s="17">
        <v>22</v>
      </c>
      <c r="I19" s="17">
        <v>22</v>
      </c>
      <c r="J19" s="17">
        <v>22</v>
      </c>
      <c r="K19" s="17">
        <v>22</v>
      </c>
      <c r="L19" s="164">
        <v>5</v>
      </c>
      <c r="M19" s="163" t="s">
        <v>853</v>
      </c>
      <c r="N19" s="17">
        <v>7</v>
      </c>
      <c r="O19" s="163" t="s">
        <v>853</v>
      </c>
      <c r="P19" s="17">
        <v>9</v>
      </c>
      <c r="Q19" s="163" t="s">
        <v>853</v>
      </c>
      <c r="R19" s="17">
        <v>11</v>
      </c>
      <c r="S19" s="163" t="s">
        <v>853</v>
      </c>
      <c r="T19" s="15">
        <v>30</v>
      </c>
      <c r="U19" s="73">
        <f>C19*G19*L19*T19</f>
        <v>3300</v>
      </c>
      <c r="V19" s="74">
        <f>D19*G19*N19*T19</f>
        <v>4620</v>
      </c>
      <c r="W19" s="74">
        <f>E19*G19*P19*T19</f>
        <v>5940</v>
      </c>
      <c r="X19" s="74">
        <f>F19*K19*R19*T19</f>
        <v>7260</v>
      </c>
      <c r="Y19" s="73">
        <f>C19*K19*L19*T19</f>
        <v>3300</v>
      </c>
      <c r="Z19" s="74">
        <f>D19*K19*N19*T19</f>
        <v>4620</v>
      </c>
      <c r="AA19" s="74">
        <f>E19*K19*P19*T19</f>
        <v>5940</v>
      </c>
      <c r="AB19" s="74">
        <f>F19*K19*R19*T19</f>
        <v>7260</v>
      </c>
      <c r="AC19" s="72">
        <f t="shared" ref="AC19:AF23" si="13">Y19/U19</f>
        <v>1</v>
      </c>
      <c r="AD19" s="72">
        <f t="shared" si="13"/>
        <v>1</v>
      </c>
      <c r="AE19" s="72">
        <f t="shared" si="13"/>
        <v>1</v>
      </c>
      <c r="AF19" s="72">
        <f t="shared" si="13"/>
        <v>1</v>
      </c>
    </row>
    <row r="20" spans="1:32" s="10" customFormat="1" ht="30">
      <c r="A20" s="17">
        <v>2</v>
      </c>
      <c r="B20" s="16" t="s">
        <v>21</v>
      </c>
      <c r="C20" s="17">
        <v>1</v>
      </c>
      <c r="D20" s="17">
        <v>1</v>
      </c>
      <c r="E20" s="17">
        <v>1</v>
      </c>
      <c r="F20" s="17">
        <v>1</v>
      </c>
      <c r="G20" s="64">
        <v>18.5</v>
      </c>
      <c r="H20" s="17">
        <v>18.5</v>
      </c>
      <c r="I20" s="17">
        <v>18.5</v>
      </c>
      <c r="J20" s="17">
        <v>18.5</v>
      </c>
      <c r="K20" s="17">
        <v>18.5</v>
      </c>
      <c r="L20" s="164">
        <v>5</v>
      </c>
      <c r="M20" s="163" t="s">
        <v>853</v>
      </c>
      <c r="N20" s="17">
        <v>7</v>
      </c>
      <c r="O20" s="163" t="s">
        <v>853</v>
      </c>
      <c r="P20" s="17">
        <v>9</v>
      </c>
      <c r="Q20" s="163" t="s">
        <v>853</v>
      </c>
      <c r="R20" s="17">
        <v>11</v>
      </c>
      <c r="S20" s="163" t="s">
        <v>853</v>
      </c>
      <c r="T20" s="15">
        <v>30</v>
      </c>
      <c r="U20" s="73">
        <f>C20*G20*L20*T20</f>
        <v>2775</v>
      </c>
      <c r="V20" s="74">
        <f>D20*G20*N20*T20</f>
        <v>3885</v>
      </c>
      <c r="W20" s="74">
        <f>E20*G20*P20*T20</f>
        <v>4995</v>
      </c>
      <c r="X20" s="74">
        <f>F20*K20*R20*T20</f>
        <v>6105</v>
      </c>
      <c r="Y20" s="73">
        <f>C20*K20*L20*T20</f>
        <v>2775</v>
      </c>
      <c r="Z20" s="74">
        <f>D20*K20*N20*T20</f>
        <v>3885</v>
      </c>
      <c r="AA20" s="74">
        <f>E20*K20*P20*T20</f>
        <v>4995</v>
      </c>
      <c r="AB20" s="74">
        <f>F20*K20*R20*T20</f>
        <v>6105</v>
      </c>
      <c r="AC20" s="72">
        <f t="shared" si="13"/>
        <v>1</v>
      </c>
      <c r="AD20" s="72">
        <f t="shared" si="13"/>
        <v>1</v>
      </c>
      <c r="AE20" s="72">
        <f t="shared" si="13"/>
        <v>1</v>
      </c>
      <c r="AF20" s="72">
        <f t="shared" si="13"/>
        <v>1</v>
      </c>
    </row>
    <row r="21" spans="1:32" s="10" customFormat="1" ht="30">
      <c r="A21" s="17">
        <v>3</v>
      </c>
      <c r="B21" s="16" t="s">
        <v>22</v>
      </c>
      <c r="C21" s="17">
        <v>1</v>
      </c>
      <c r="D21" s="17">
        <v>1</v>
      </c>
      <c r="E21" s="17">
        <v>1</v>
      </c>
      <c r="F21" s="17">
        <v>1</v>
      </c>
      <c r="G21" s="64">
        <v>7.5</v>
      </c>
      <c r="H21" s="17">
        <v>7.5</v>
      </c>
      <c r="I21" s="17">
        <v>7.5</v>
      </c>
      <c r="J21" s="17">
        <v>7.5</v>
      </c>
      <c r="K21" s="17">
        <v>7.5</v>
      </c>
      <c r="L21" s="164">
        <v>6</v>
      </c>
      <c r="M21" s="163" t="s">
        <v>853</v>
      </c>
      <c r="N21" s="17">
        <v>8</v>
      </c>
      <c r="O21" s="163" t="s">
        <v>853</v>
      </c>
      <c r="P21" s="17">
        <v>10</v>
      </c>
      <c r="Q21" s="163" t="s">
        <v>853</v>
      </c>
      <c r="R21" s="17">
        <v>12</v>
      </c>
      <c r="S21" s="163" t="s">
        <v>853</v>
      </c>
      <c r="T21" s="15">
        <v>30</v>
      </c>
      <c r="U21" s="73">
        <f>C21*G21*L21*T21</f>
        <v>1350</v>
      </c>
      <c r="V21" s="74">
        <f>D21*G21*N21*T21</f>
        <v>1800</v>
      </c>
      <c r="W21" s="74">
        <f>E21*G21*P21*T21</f>
        <v>2250</v>
      </c>
      <c r="X21" s="74">
        <f>F21*K21*R21*T21</f>
        <v>2700</v>
      </c>
      <c r="Y21" s="73">
        <f>C21*K21*L21*T21</f>
        <v>1350</v>
      </c>
      <c r="Z21" s="74">
        <f>D21*K21*N21*T21</f>
        <v>1800</v>
      </c>
      <c r="AA21" s="74">
        <f>E21*K21*P21*T21</f>
        <v>2250</v>
      </c>
      <c r="AB21" s="74">
        <f>F21*K21*R21*T21</f>
        <v>2700</v>
      </c>
      <c r="AC21" s="72">
        <f t="shared" si="13"/>
        <v>1</v>
      </c>
      <c r="AD21" s="72">
        <f t="shared" si="13"/>
        <v>1</v>
      </c>
      <c r="AE21" s="72">
        <f t="shared" si="13"/>
        <v>1</v>
      </c>
      <c r="AF21" s="72">
        <f t="shared" si="13"/>
        <v>1</v>
      </c>
    </row>
    <row r="22" spans="1:32" s="10" customFormat="1" ht="60">
      <c r="A22" s="17">
        <v>4</v>
      </c>
      <c r="B22" s="16" t="s">
        <v>23</v>
      </c>
      <c r="C22" s="17">
        <v>1</v>
      </c>
      <c r="D22" s="17">
        <v>1</v>
      </c>
      <c r="E22" s="17">
        <v>1</v>
      </c>
      <c r="F22" s="17">
        <v>1</v>
      </c>
      <c r="G22" s="64">
        <v>37</v>
      </c>
      <c r="H22" s="17">
        <v>22</v>
      </c>
      <c r="I22" s="17">
        <v>25</v>
      </c>
      <c r="J22" s="17">
        <v>30</v>
      </c>
      <c r="K22" s="17">
        <v>32</v>
      </c>
      <c r="L22" s="164">
        <v>24</v>
      </c>
      <c r="M22" s="163" t="s">
        <v>854</v>
      </c>
      <c r="N22" s="17">
        <v>24</v>
      </c>
      <c r="O22" s="163" t="s">
        <v>854</v>
      </c>
      <c r="P22" s="17">
        <v>24</v>
      </c>
      <c r="Q22" s="163" t="s">
        <v>854</v>
      </c>
      <c r="R22" s="17">
        <v>24</v>
      </c>
      <c r="S22" s="163" t="s">
        <v>854</v>
      </c>
      <c r="T22" s="15">
        <v>30</v>
      </c>
      <c r="U22" s="73">
        <f>C22*G22*L22*T22</f>
        <v>26640</v>
      </c>
      <c r="V22" s="74">
        <f>D22*G22*N22*T22</f>
        <v>26640</v>
      </c>
      <c r="W22" s="74">
        <f>E22*G22*P22*T22</f>
        <v>26640</v>
      </c>
      <c r="X22" s="74">
        <f>F22*K22*R22*T22</f>
        <v>23040</v>
      </c>
      <c r="Y22" s="73">
        <f>C22*K22*L22*T22</f>
        <v>23040</v>
      </c>
      <c r="Z22" s="74">
        <f>D22*K22*N22*T22</f>
        <v>23040</v>
      </c>
      <c r="AA22" s="74">
        <f>E22*K22*P22*T22</f>
        <v>23040</v>
      </c>
      <c r="AB22" s="74">
        <f>F22*K22*R22*T22</f>
        <v>23040</v>
      </c>
      <c r="AC22" s="72">
        <f t="shared" si="13"/>
        <v>0.86486486486486491</v>
      </c>
      <c r="AD22" s="72">
        <f t="shared" si="13"/>
        <v>0.86486486486486491</v>
      </c>
      <c r="AE22" s="72">
        <f t="shared" si="13"/>
        <v>0.86486486486486491</v>
      </c>
      <c r="AF22" s="72">
        <f t="shared" si="13"/>
        <v>1</v>
      </c>
    </row>
    <row r="23" spans="1:32" s="96" customFormat="1" ht="30">
      <c r="A23" s="14">
        <v>5</v>
      </c>
      <c r="B23" s="93" t="s">
        <v>860</v>
      </c>
      <c r="C23" s="14">
        <v>1</v>
      </c>
      <c r="D23" s="14">
        <v>1</v>
      </c>
      <c r="E23" s="14">
        <v>1</v>
      </c>
      <c r="F23" s="14">
        <v>1</v>
      </c>
      <c r="G23" s="14">
        <v>7.5</v>
      </c>
      <c r="H23" s="14">
        <v>7.5</v>
      </c>
      <c r="I23" s="14">
        <v>7.5</v>
      </c>
      <c r="J23" s="14">
        <v>7.5</v>
      </c>
      <c r="K23" s="14">
        <v>7.5</v>
      </c>
      <c r="L23" s="14">
        <v>0.5</v>
      </c>
      <c r="M23" s="245" t="s">
        <v>861</v>
      </c>
      <c r="N23" s="14">
        <v>0.5</v>
      </c>
      <c r="O23" s="245" t="s">
        <v>861</v>
      </c>
      <c r="P23" s="14">
        <v>0.5</v>
      </c>
      <c r="Q23" s="245" t="s">
        <v>861</v>
      </c>
      <c r="R23" s="14">
        <v>0.5</v>
      </c>
      <c r="S23" s="245" t="s">
        <v>861</v>
      </c>
      <c r="T23" s="92">
        <v>10</v>
      </c>
      <c r="U23" s="145">
        <f>C23*G23*L23*T23</f>
        <v>37.5</v>
      </c>
      <c r="V23" s="146">
        <f>D23*G23*N23*T23</f>
        <v>37.5</v>
      </c>
      <c r="W23" s="146">
        <f>E23*G23*P23*T23</f>
        <v>37.5</v>
      </c>
      <c r="X23" s="146">
        <f>F23*K23*R23*T23</f>
        <v>37.5</v>
      </c>
      <c r="Y23" s="145">
        <f>C23*K23*L23*T23</f>
        <v>37.5</v>
      </c>
      <c r="Z23" s="146">
        <f>D23*K23*N23*T23</f>
        <v>37.5</v>
      </c>
      <c r="AA23" s="146">
        <f>E23*K23*P23*T23</f>
        <v>37.5</v>
      </c>
      <c r="AB23" s="146">
        <f>F23*K23*R23*T23</f>
        <v>37.5</v>
      </c>
      <c r="AC23" s="95">
        <f t="shared" si="13"/>
        <v>1</v>
      </c>
      <c r="AD23" s="95">
        <f t="shared" si="13"/>
        <v>1</v>
      </c>
      <c r="AE23" s="95">
        <f t="shared" si="13"/>
        <v>1</v>
      </c>
      <c r="AF23" s="95">
        <f t="shared" si="13"/>
        <v>1</v>
      </c>
    </row>
    <row r="24" spans="1:32" s="10" customFormat="1">
      <c r="A24" s="50" t="s">
        <v>24</v>
      </c>
      <c r="B24" s="51" t="s">
        <v>851</v>
      </c>
      <c r="C24" s="18"/>
      <c r="D24" s="18"/>
      <c r="E24" s="18"/>
      <c r="F24" s="18"/>
      <c r="G24" s="297"/>
      <c r="H24" s="297"/>
      <c r="I24" s="297"/>
      <c r="J24" s="297"/>
      <c r="K24" s="17"/>
      <c r="L24" s="164"/>
      <c r="M24" s="15"/>
      <c r="N24" s="18"/>
      <c r="O24" s="15"/>
      <c r="P24" s="18"/>
      <c r="Q24" s="15"/>
      <c r="R24" s="18"/>
      <c r="S24" s="15"/>
      <c r="T24" s="15"/>
      <c r="U24" s="73"/>
      <c r="V24" s="74"/>
      <c r="W24" s="74"/>
      <c r="X24" s="74"/>
      <c r="Y24" s="73"/>
      <c r="Z24" s="74"/>
      <c r="AA24" s="74"/>
      <c r="AB24" s="74"/>
      <c r="AC24" s="72"/>
      <c r="AD24" s="72"/>
      <c r="AE24" s="72"/>
      <c r="AF24" s="72"/>
    </row>
    <row r="25" spans="1:32" s="10" customFormat="1">
      <c r="A25" s="17">
        <v>1</v>
      </c>
      <c r="B25" s="16" t="s">
        <v>25</v>
      </c>
      <c r="C25" s="17">
        <v>1</v>
      </c>
      <c r="D25" s="17">
        <v>1</v>
      </c>
      <c r="E25" s="17">
        <v>1</v>
      </c>
      <c r="F25" s="17">
        <v>1</v>
      </c>
      <c r="G25" s="64">
        <v>55</v>
      </c>
      <c r="H25" s="17">
        <v>55</v>
      </c>
      <c r="I25" s="17">
        <v>55</v>
      </c>
      <c r="J25" s="17">
        <v>55</v>
      </c>
      <c r="K25" s="17">
        <v>55</v>
      </c>
      <c r="L25" s="247">
        <v>3</v>
      </c>
      <c r="M25" s="729" t="s">
        <v>855</v>
      </c>
      <c r="N25" s="17">
        <v>5</v>
      </c>
      <c r="O25" s="729" t="s">
        <v>855</v>
      </c>
      <c r="P25" s="17">
        <v>7</v>
      </c>
      <c r="Q25" s="729" t="s">
        <v>855</v>
      </c>
      <c r="R25" s="17">
        <v>9</v>
      </c>
      <c r="S25" s="729" t="s">
        <v>855</v>
      </c>
      <c r="T25" s="15">
        <v>30</v>
      </c>
      <c r="U25" s="73">
        <f>C25*G25*L25*T25</f>
        <v>4950</v>
      </c>
      <c r="V25" s="74">
        <f>D25*G25*N25*T25</f>
        <v>8250</v>
      </c>
      <c r="W25" s="74">
        <f>E25*G25*P25*T25</f>
        <v>11550</v>
      </c>
      <c r="X25" s="74">
        <f>F25*K25*R25*T25</f>
        <v>14850</v>
      </c>
      <c r="Y25" s="73">
        <f>C25*K25*L25*T25</f>
        <v>4950</v>
      </c>
      <c r="Z25" s="74">
        <f>D25*K25*N25*T25</f>
        <v>8250</v>
      </c>
      <c r="AA25" s="74">
        <f>E25*K25*P25*T25</f>
        <v>11550</v>
      </c>
      <c r="AB25" s="74">
        <f>F25*K25*R25*T25</f>
        <v>14850</v>
      </c>
      <c r="AC25" s="72"/>
      <c r="AD25" s="72"/>
      <c r="AE25" s="72">
        <f t="shared" ref="AE25:AF29" si="14">AA25/W25</f>
        <v>1</v>
      </c>
      <c r="AF25" s="72">
        <f t="shared" si="14"/>
        <v>1</v>
      </c>
    </row>
    <row r="26" spans="1:32" s="10" customFormat="1">
      <c r="A26" s="17">
        <v>2</v>
      </c>
      <c r="B26" s="16" t="s">
        <v>26</v>
      </c>
      <c r="C26" s="17">
        <v>1</v>
      </c>
      <c r="D26" s="17">
        <v>1</v>
      </c>
      <c r="E26" s="17">
        <v>1</v>
      </c>
      <c r="F26" s="17">
        <v>1</v>
      </c>
      <c r="G26" s="64">
        <v>45</v>
      </c>
      <c r="H26" s="17">
        <v>45</v>
      </c>
      <c r="I26" s="17">
        <v>45</v>
      </c>
      <c r="J26" s="17">
        <v>45</v>
      </c>
      <c r="K26" s="17">
        <v>45</v>
      </c>
      <c r="L26" s="247">
        <v>3</v>
      </c>
      <c r="M26" s="730"/>
      <c r="N26" s="17">
        <v>5</v>
      </c>
      <c r="O26" s="730"/>
      <c r="P26" s="17">
        <v>7</v>
      </c>
      <c r="Q26" s="730"/>
      <c r="R26" s="17">
        <v>9</v>
      </c>
      <c r="S26" s="730"/>
      <c r="T26" s="15">
        <v>30</v>
      </c>
      <c r="U26" s="73">
        <f>C26*G26*L26*T26</f>
        <v>4050</v>
      </c>
      <c r="V26" s="74">
        <f>D26*G26*N26*T26</f>
        <v>6750</v>
      </c>
      <c r="W26" s="74">
        <f>E26*G26*P26*T26</f>
        <v>9450</v>
      </c>
      <c r="X26" s="74">
        <f>F26*K26*R26*T26</f>
        <v>12150</v>
      </c>
      <c r="Y26" s="73">
        <f>C26*K26*L26*T26</f>
        <v>4050</v>
      </c>
      <c r="Z26" s="74">
        <f>D26*K26*N26*T26</f>
        <v>6750</v>
      </c>
      <c r="AA26" s="74">
        <f>E26*K26*P26*T26</f>
        <v>9450</v>
      </c>
      <c r="AB26" s="74">
        <f>F26*K26*R26*T26</f>
        <v>12150</v>
      </c>
      <c r="AC26" s="72"/>
      <c r="AD26" s="72"/>
      <c r="AE26" s="72">
        <f t="shared" si="14"/>
        <v>1</v>
      </c>
      <c r="AF26" s="72">
        <f t="shared" si="14"/>
        <v>1</v>
      </c>
    </row>
    <row r="27" spans="1:32" s="10" customFormat="1">
      <c r="A27" s="17">
        <v>3</v>
      </c>
      <c r="B27" s="16" t="s">
        <v>27</v>
      </c>
      <c r="C27" s="17">
        <v>1</v>
      </c>
      <c r="D27" s="17">
        <v>1</v>
      </c>
      <c r="E27" s="17">
        <v>1</v>
      </c>
      <c r="F27" s="17">
        <v>1</v>
      </c>
      <c r="G27" s="64">
        <v>45</v>
      </c>
      <c r="H27" s="17">
        <v>45</v>
      </c>
      <c r="I27" s="17">
        <v>45</v>
      </c>
      <c r="J27" s="17">
        <v>45</v>
      </c>
      <c r="K27" s="17">
        <v>45</v>
      </c>
      <c r="L27" s="247">
        <v>3</v>
      </c>
      <c r="M27" s="730"/>
      <c r="N27" s="17">
        <v>5</v>
      </c>
      <c r="O27" s="730"/>
      <c r="P27" s="17">
        <v>7</v>
      </c>
      <c r="Q27" s="730"/>
      <c r="R27" s="17">
        <v>9</v>
      </c>
      <c r="S27" s="730"/>
      <c r="T27" s="15">
        <v>30</v>
      </c>
      <c r="U27" s="73">
        <f>C27*G27*L27*T27</f>
        <v>4050</v>
      </c>
      <c r="V27" s="74">
        <f>D27*G27*N27*T27</f>
        <v>6750</v>
      </c>
      <c r="W27" s="74">
        <f>E27*G27*P27*T27</f>
        <v>9450</v>
      </c>
      <c r="X27" s="74">
        <f>F27*K27*R27*T27</f>
        <v>12150</v>
      </c>
      <c r="Y27" s="73">
        <f>C27*K27*L27*T27</f>
        <v>4050</v>
      </c>
      <c r="Z27" s="74">
        <f>D27*K27*N27*T27</f>
        <v>6750</v>
      </c>
      <c r="AA27" s="74">
        <f>E27*K27*P27*T27</f>
        <v>9450</v>
      </c>
      <c r="AB27" s="74">
        <f>F27*K27*R27*T27</f>
        <v>12150</v>
      </c>
      <c r="AC27" s="72"/>
      <c r="AD27" s="72"/>
      <c r="AE27" s="72">
        <f t="shared" si="14"/>
        <v>1</v>
      </c>
      <c r="AF27" s="72">
        <f t="shared" si="14"/>
        <v>1</v>
      </c>
    </row>
    <row r="28" spans="1:32" s="10" customFormat="1">
      <c r="A28" s="17">
        <v>4</v>
      </c>
      <c r="B28" s="16" t="s">
        <v>28</v>
      </c>
      <c r="C28" s="17">
        <v>1</v>
      </c>
      <c r="D28" s="17">
        <v>1</v>
      </c>
      <c r="E28" s="17">
        <v>1</v>
      </c>
      <c r="F28" s="17">
        <v>1</v>
      </c>
      <c r="G28" s="64">
        <v>30</v>
      </c>
      <c r="H28" s="17">
        <v>20</v>
      </c>
      <c r="I28" s="17">
        <v>20</v>
      </c>
      <c r="J28" s="17">
        <v>20</v>
      </c>
      <c r="K28" s="17">
        <v>20</v>
      </c>
      <c r="L28" s="247">
        <v>3</v>
      </c>
      <c r="M28" s="731"/>
      <c r="N28" s="17">
        <v>5</v>
      </c>
      <c r="O28" s="731"/>
      <c r="P28" s="17">
        <v>7</v>
      </c>
      <c r="Q28" s="731"/>
      <c r="R28" s="17">
        <v>9</v>
      </c>
      <c r="S28" s="731"/>
      <c r="T28" s="15">
        <v>30</v>
      </c>
      <c r="U28" s="73">
        <f>C28*G28*L28*T28</f>
        <v>2700</v>
      </c>
      <c r="V28" s="74">
        <f>D28*G28*N28*T28</f>
        <v>4500</v>
      </c>
      <c r="W28" s="74">
        <f>E28*G28*P28*T28</f>
        <v>6300</v>
      </c>
      <c r="X28" s="74">
        <f>F28*K28*R28*T28</f>
        <v>5400</v>
      </c>
      <c r="Y28" s="73">
        <f>C28*K28*L28*T28</f>
        <v>1800</v>
      </c>
      <c r="Z28" s="74">
        <f>D28*K28*N28*T28</f>
        <v>3000</v>
      </c>
      <c r="AA28" s="74">
        <f>E28*K28*P28*T28</f>
        <v>4200</v>
      </c>
      <c r="AB28" s="74">
        <f>F28*K28*R28*T28</f>
        <v>5400</v>
      </c>
      <c r="AC28" s="72"/>
      <c r="AD28" s="72"/>
      <c r="AE28" s="72">
        <f t="shared" si="14"/>
        <v>0.66666666666666663</v>
      </c>
      <c r="AF28" s="72">
        <f t="shared" si="14"/>
        <v>1</v>
      </c>
    </row>
    <row r="29" spans="1:32" s="10" customFormat="1" ht="60">
      <c r="A29" s="17">
        <v>5</v>
      </c>
      <c r="B29" s="16" t="s">
        <v>29</v>
      </c>
      <c r="C29" s="17">
        <v>1</v>
      </c>
      <c r="D29" s="17">
        <v>1</v>
      </c>
      <c r="E29" s="17">
        <v>2</v>
      </c>
      <c r="F29" s="17">
        <v>2</v>
      </c>
      <c r="G29" s="64">
        <v>22</v>
      </c>
      <c r="H29" s="17">
        <v>22</v>
      </c>
      <c r="I29" s="17">
        <v>22</v>
      </c>
      <c r="J29" s="17">
        <v>22</v>
      </c>
      <c r="K29" s="17">
        <v>22</v>
      </c>
      <c r="L29" s="164">
        <v>10</v>
      </c>
      <c r="M29" s="163" t="s">
        <v>856</v>
      </c>
      <c r="N29" s="17">
        <v>14</v>
      </c>
      <c r="O29" s="163" t="s">
        <v>856</v>
      </c>
      <c r="P29" s="17">
        <v>10</v>
      </c>
      <c r="Q29" s="163" t="s">
        <v>856</v>
      </c>
      <c r="R29" s="17">
        <v>12</v>
      </c>
      <c r="S29" s="163" t="s">
        <v>856</v>
      </c>
      <c r="T29" s="15">
        <v>30</v>
      </c>
      <c r="U29" s="73">
        <f>C29*G29*L29*T29</f>
        <v>6600</v>
      </c>
      <c r="V29" s="74">
        <f>D29*G29*N29*T29</f>
        <v>9240</v>
      </c>
      <c r="W29" s="74">
        <f>E29*G29*P29*T29</f>
        <v>13200</v>
      </c>
      <c r="X29" s="74">
        <f>F29*K29*R29*T29</f>
        <v>15840</v>
      </c>
      <c r="Y29" s="73">
        <f>C29*K29*L29*T29</f>
        <v>6600</v>
      </c>
      <c r="Z29" s="74">
        <f>D29*K29*N29*T29</f>
        <v>9240</v>
      </c>
      <c r="AA29" s="74">
        <f>E29*K29*P29*T29</f>
        <v>13200</v>
      </c>
      <c r="AB29" s="74">
        <f>F29*K29*R29*T29</f>
        <v>15840</v>
      </c>
      <c r="AC29" s="72">
        <f>Y29/U29</f>
        <v>1</v>
      </c>
      <c r="AD29" s="72">
        <f>Z29/V29</f>
        <v>1</v>
      </c>
      <c r="AE29" s="72">
        <f t="shared" si="14"/>
        <v>1</v>
      </c>
      <c r="AF29" s="72">
        <f t="shared" si="14"/>
        <v>1</v>
      </c>
    </row>
    <row r="30" spans="1:32" s="10" customFormat="1">
      <c r="A30" s="50" t="s">
        <v>30</v>
      </c>
      <c r="B30" s="51" t="s">
        <v>852</v>
      </c>
      <c r="C30" s="18"/>
      <c r="D30" s="18"/>
      <c r="E30" s="18"/>
      <c r="F30" s="18"/>
      <c r="G30" s="297"/>
      <c r="H30" s="297"/>
      <c r="I30" s="297"/>
      <c r="J30" s="297"/>
      <c r="K30" s="17"/>
      <c r="L30" s="164"/>
      <c r="M30" s="15"/>
      <c r="N30" s="18"/>
      <c r="O30" s="15"/>
      <c r="P30" s="18"/>
      <c r="Q30" s="15"/>
      <c r="R30" s="18"/>
      <c r="S30" s="15"/>
      <c r="T30" s="15"/>
      <c r="U30" s="73"/>
      <c r="V30" s="74"/>
      <c r="W30" s="74"/>
      <c r="X30" s="74"/>
      <c r="Y30" s="73"/>
      <c r="Z30" s="74"/>
      <c r="AA30" s="74"/>
      <c r="AB30" s="74"/>
      <c r="AC30" s="72"/>
      <c r="AD30" s="72"/>
      <c r="AE30" s="72"/>
      <c r="AF30" s="72"/>
    </row>
    <row r="31" spans="1:32" s="10" customFormat="1">
      <c r="A31" s="17">
        <v>1</v>
      </c>
      <c r="B31" s="16" t="s">
        <v>25</v>
      </c>
      <c r="C31" s="17">
        <v>1</v>
      </c>
      <c r="D31" s="17">
        <v>1</v>
      </c>
      <c r="E31" s="17">
        <v>1</v>
      </c>
      <c r="F31" s="17">
        <v>1</v>
      </c>
      <c r="G31" s="64">
        <v>55</v>
      </c>
      <c r="H31" s="17">
        <v>55</v>
      </c>
      <c r="I31" s="17">
        <v>55</v>
      </c>
      <c r="J31" s="17">
        <v>55</v>
      </c>
      <c r="K31" s="17">
        <v>55</v>
      </c>
      <c r="L31" s="247">
        <v>3</v>
      </c>
      <c r="M31" s="729" t="s">
        <v>855</v>
      </c>
      <c r="N31" s="17">
        <v>5</v>
      </c>
      <c r="O31" s="729" t="s">
        <v>855</v>
      </c>
      <c r="P31" s="17">
        <v>7</v>
      </c>
      <c r="Q31" s="729" t="s">
        <v>855</v>
      </c>
      <c r="R31" s="17">
        <v>9</v>
      </c>
      <c r="S31" s="729" t="s">
        <v>855</v>
      </c>
      <c r="T31" s="15">
        <v>30</v>
      </c>
      <c r="U31" s="73">
        <f>C31*G31*L31*T31</f>
        <v>4950</v>
      </c>
      <c r="V31" s="74">
        <f>D31*G31*N31*T31</f>
        <v>8250</v>
      </c>
      <c r="W31" s="74">
        <f>E31*G31*P31*T31</f>
        <v>11550</v>
      </c>
      <c r="X31" s="74">
        <f>F31*K31*R31*T31</f>
        <v>14850</v>
      </c>
      <c r="Y31" s="73">
        <f>C31*K31*L31*T31</f>
        <v>4950</v>
      </c>
      <c r="Z31" s="74">
        <f>D31*K31*N31*T31</f>
        <v>8250</v>
      </c>
      <c r="AA31" s="74">
        <f>E31*K31*P31*T31</f>
        <v>11550</v>
      </c>
      <c r="AB31" s="74">
        <f>F31*K31*R31*T31</f>
        <v>14850</v>
      </c>
      <c r="AC31" s="72"/>
      <c r="AD31" s="72"/>
      <c r="AE31" s="72">
        <f t="shared" ref="AE31:AE34" si="15">AA31/W31</f>
        <v>1</v>
      </c>
      <c r="AF31" s="72">
        <f t="shared" ref="AF31:AF34" si="16">AB31/X31</f>
        <v>1</v>
      </c>
    </row>
    <row r="32" spans="1:32" s="10" customFormat="1">
      <c r="A32" s="17">
        <v>2</v>
      </c>
      <c r="B32" s="16" t="s">
        <v>26</v>
      </c>
      <c r="C32" s="17">
        <v>1</v>
      </c>
      <c r="D32" s="17">
        <v>1</v>
      </c>
      <c r="E32" s="17">
        <v>1</v>
      </c>
      <c r="F32" s="17">
        <v>1</v>
      </c>
      <c r="G32" s="64">
        <v>45</v>
      </c>
      <c r="H32" s="17">
        <v>45</v>
      </c>
      <c r="I32" s="17">
        <v>45</v>
      </c>
      <c r="J32" s="17">
        <v>45</v>
      </c>
      <c r="K32" s="17">
        <v>45</v>
      </c>
      <c r="L32" s="247">
        <v>3</v>
      </c>
      <c r="M32" s="730"/>
      <c r="N32" s="17">
        <v>5</v>
      </c>
      <c r="O32" s="730"/>
      <c r="P32" s="17">
        <v>7</v>
      </c>
      <c r="Q32" s="730"/>
      <c r="R32" s="17">
        <v>9</v>
      </c>
      <c r="S32" s="730"/>
      <c r="T32" s="15">
        <v>30</v>
      </c>
      <c r="U32" s="73">
        <f>C32*G32*L32*T32</f>
        <v>4050</v>
      </c>
      <c r="V32" s="74">
        <f>D32*G32*N32*T32</f>
        <v>6750</v>
      </c>
      <c r="W32" s="74">
        <f>E32*G32*P32*T32</f>
        <v>9450</v>
      </c>
      <c r="X32" s="74">
        <f>F32*K32*R32*T32</f>
        <v>12150</v>
      </c>
      <c r="Y32" s="73">
        <f>C32*K32*L32*T32</f>
        <v>4050</v>
      </c>
      <c r="Z32" s="74">
        <f>D32*K32*N32*T32</f>
        <v>6750</v>
      </c>
      <c r="AA32" s="74">
        <f>E32*K32*P32*T32</f>
        <v>9450</v>
      </c>
      <c r="AB32" s="74">
        <f>F32*K32*R32*T32</f>
        <v>12150</v>
      </c>
      <c r="AC32" s="72"/>
      <c r="AD32" s="72"/>
      <c r="AE32" s="72">
        <f t="shared" si="15"/>
        <v>1</v>
      </c>
      <c r="AF32" s="72">
        <f t="shared" si="16"/>
        <v>1</v>
      </c>
    </row>
    <row r="33" spans="1:32" s="10" customFormat="1">
      <c r="A33" s="17">
        <v>3</v>
      </c>
      <c r="B33" s="16" t="s">
        <v>27</v>
      </c>
      <c r="C33" s="17">
        <v>1</v>
      </c>
      <c r="D33" s="17">
        <v>1</v>
      </c>
      <c r="E33" s="17">
        <v>1</v>
      </c>
      <c r="F33" s="17">
        <v>1</v>
      </c>
      <c r="G33" s="64">
        <v>45</v>
      </c>
      <c r="H33" s="17">
        <v>45</v>
      </c>
      <c r="I33" s="17">
        <v>45</v>
      </c>
      <c r="J33" s="17">
        <v>45</v>
      </c>
      <c r="K33" s="17">
        <v>45</v>
      </c>
      <c r="L33" s="247">
        <v>3</v>
      </c>
      <c r="M33" s="730"/>
      <c r="N33" s="17">
        <v>5</v>
      </c>
      <c r="O33" s="730"/>
      <c r="P33" s="17">
        <v>7</v>
      </c>
      <c r="Q33" s="730"/>
      <c r="R33" s="17">
        <v>9</v>
      </c>
      <c r="S33" s="730"/>
      <c r="T33" s="15">
        <v>30</v>
      </c>
      <c r="U33" s="73">
        <f>C33*G33*L33*T33</f>
        <v>4050</v>
      </c>
      <c r="V33" s="74">
        <f>D33*G33*N33*T33</f>
        <v>6750</v>
      </c>
      <c r="W33" s="74">
        <f>E33*G33*P33*T33</f>
        <v>9450</v>
      </c>
      <c r="X33" s="74">
        <f>F33*K33*R33*T33</f>
        <v>12150</v>
      </c>
      <c r="Y33" s="73">
        <f>C33*K33*L33*T33</f>
        <v>4050</v>
      </c>
      <c r="Z33" s="74">
        <f>D33*K33*N33*T33</f>
        <v>6750</v>
      </c>
      <c r="AA33" s="74">
        <f>E33*K33*P33*T33</f>
        <v>9450</v>
      </c>
      <c r="AB33" s="74">
        <f>F33*K33*R33*T33</f>
        <v>12150</v>
      </c>
      <c r="AC33" s="72"/>
      <c r="AD33" s="72"/>
      <c r="AE33" s="72">
        <f t="shared" si="15"/>
        <v>1</v>
      </c>
      <c r="AF33" s="72">
        <f t="shared" si="16"/>
        <v>1</v>
      </c>
    </row>
    <row r="34" spans="1:32" s="10" customFormat="1">
      <c r="A34" s="17">
        <v>4</v>
      </c>
      <c r="B34" s="16" t="s">
        <v>28</v>
      </c>
      <c r="C34" s="17">
        <v>1</v>
      </c>
      <c r="D34" s="17">
        <v>1</v>
      </c>
      <c r="E34" s="17">
        <v>1</v>
      </c>
      <c r="F34" s="17">
        <v>1</v>
      </c>
      <c r="G34" s="64">
        <v>30</v>
      </c>
      <c r="H34" s="17">
        <v>20</v>
      </c>
      <c r="I34" s="17">
        <v>20</v>
      </c>
      <c r="J34" s="17">
        <v>20</v>
      </c>
      <c r="K34" s="17">
        <v>20</v>
      </c>
      <c r="L34" s="247">
        <v>3</v>
      </c>
      <c r="M34" s="731"/>
      <c r="N34" s="17">
        <v>5</v>
      </c>
      <c r="O34" s="731"/>
      <c r="P34" s="17">
        <v>7</v>
      </c>
      <c r="Q34" s="731"/>
      <c r="R34" s="17">
        <v>9</v>
      </c>
      <c r="S34" s="731"/>
      <c r="T34" s="15">
        <v>30</v>
      </c>
      <c r="U34" s="73">
        <f>C34*G34*L34*T34</f>
        <v>2700</v>
      </c>
      <c r="V34" s="74">
        <f>D34*G34*N34*T34</f>
        <v>4500</v>
      </c>
      <c r="W34" s="74">
        <f>E34*G34*P34*T34</f>
        <v>6300</v>
      </c>
      <c r="X34" s="74">
        <f>F34*K34*R34*T34</f>
        <v>5400</v>
      </c>
      <c r="Y34" s="73">
        <f>C34*K34*L34*T34</f>
        <v>1800</v>
      </c>
      <c r="Z34" s="74">
        <f>D34*K34*N34*T34</f>
        <v>3000</v>
      </c>
      <c r="AA34" s="74">
        <f>E34*K34*P34*T34</f>
        <v>4200</v>
      </c>
      <c r="AB34" s="74">
        <f>F34*K34*R34*T34</f>
        <v>5400</v>
      </c>
      <c r="AC34" s="72"/>
      <c r="AD34" s="72"/>
      <c r="AE34" s="72">
        <f t="shared" si="15"/>
        <v>0.66666666666666663</v>
      </c>
      <c r="AF34" s="72">
        <f t="shared" si="16"/>
        <v>1</v>
      </c>
    </row>
    <row r="35" spans="1:32" s="10" customFormat="1" ht="42.75">
      <c r="A35" s="25" t="s">
        <v>39</v>
      </c>
      <c r="B35" s="32" t="s">
        <v>31</v>
      </c>
      <c r="C35" s="51"/>
      <c r="D35" s="51"/>
      <c r="E35" s="51"/>
      <c r="F35" s="51"/>
      <c r="G35" s="299"/>
      <c r="H35" s="299"/>
      <c r="I35" s="299"/>
      <c r="J35" s="299"/>
      <c r="K35" s="17"/>
      <c r="L35" s="300"/>
      <c r="M35" s="65"/>
      <c r="N35" s="51"/>
      <c r="O35" s="65"/>
      <c r="P35" s="51"/>
      <c r="Q35" s="65"/>
      <c r="R35" s="51"/>
      <c r="S35" s="65"/>
      <c r="T35" s="65"/>
      <c r="U35" s="301"/>
      <c r="V35" s="74"/>
      <c r="W35" s="74"/>
      <c r="X35" s="74"/>
      <c r="Y35" s="73"/>
      <c r="Z35" s="74"/>
      <c r="AA35" s="74"/>
      <c r="AB35" s="74"/>
      <c r="AC35" s="72"/>
      <c r="AD35" s="72"/>
      <c r="AE35" s="72"/>
      <c r="AF35" s="72"/>
    </row>
    <row r="36" spans="1:32" s="10" customFormat="1" ht="30">
      <c r="A36" s="17">
        <v>1</v>
      </c>
      <c r="B36" s="16" t="s">
        <v>32</v>
      </c>
      <c r="C36" s="17">
        <v>1</v>
      </c>
      <c r="D36" s="17">
        <v>1</v>
      </c>
      <c r="E36" s="17">
        <v>1</v>
      </c>
      <c r="F36" s="17">
        <v>1</v>
      </c>
      <c r="G36" s="64">
        <v>5.5</v>
      </c>
      <c r="H36" s="17">
        <v>5.5</v>
      </c>
      <c r="I36" s="17">
        <v>5.5</v>
      </c>
      <c r="J36" s="17">
        <v>5.5</v>
      </c>
      <c r="K36" s="17">
        <v>5.5</v>
      </c>
      <c r="L36" s="164">
        <v>1</v>
      </c>
      <c r="M36" s="163" t="s">
        <v>853</v>
      </c>
      <c r="N36" s="17">
        <v>2</v>
      </c>
      <c r="O36" s="163" t="s">
        <v>853</v>
      </c>
      <c r="P36" s="17">
        <v>3</v>
      </c>
      <c r="Q36" s="163" t="s">
        <v>853</v>
      </c>
      <c r="R36" s="17">
        <v>4</v>
      </c>
      <c r="S36" s="163" t="s">
        <v>853</v>
      </c>
      <c r="T36" s="15">
        <v>30</v>
      </c>
      <c r="U36" s="73">
        <f t="shared" ref="U36:U42" si="17">C36*G36*L36*T36</f>
        <v>165</v>
      </c>
      <c r="V36" s="74">
        <f t="shared" ref="V36:V42" si="18">D36*G36*N36*T36</f>
        <v>330</v>
      </c>
      <c r="W36" s="74">
        <f t="shared" ref="W36:W42" si="19">E36*G36*P36*T36</f>
        <v>495</v>
      </c>
      <c r="X36" s="74">
        <f t="shared" ref="X36:X42" si="20">F36*K36*R36*T36</f>
        <v>660</v>
      </c>
      <c r="Y36" s="73">
        <f t="shared" ref="Y36:Y42" si="21">C36*K36*L36*T36</f>
        <v>165</v>
      </c>
      <c r="Z36" s="74">
        <f t="shared" ref="Z36:Z42" si="22">D36*K36*N36*T36</f>
        <v>330</v>
      </c>
      <c r="AA36" s="74">
        <f t="shared" ref="AA36:AA42" si="23">E36*K36*P36*T36</f>
        <v>495</v>
      </c>
      <c r="AB36" s="74">
        <f t="shared" ref="AB36:AB42" si="24">F36*K36*R36*T36</f>
        <v>660</v>
      </c>
      <c r="AC36" s="72">
        <f t="shared" ref="AC36:AF42" si="25">Y36/U36</f>
        <v>1</v>
      </c>
      <c r="AD36" s="72">
        <f t="shared" si="25"/>
        <v>1</v>
      </c>
      <c r="AE36" s="72">
        <f t="shared" si="25"/>
        <v>1</v>
      </c>
      <c r="AF36" s="72">
        <f t="shared" si="25"/>
        <v>1</v>
      </c>
    </row>
    <row r="37" spans="1:32" s="10" customFormat="1" ht="30">
      <c r="A37" s="17">
        <v>2</v>
      </c>
      <c r="B37" s="16" t="s">
        <v>33</v>
      </c>
      <c r="C37" s="17">
        <v>1</v>
      </c>
      <c r="D37" s="17">
        <v>1</v>
      </c>
      <c r="E37" s="17">
        <v>1</v>
      </c>
      <c r="F37" s="17">
        <v>1</v>
      </c>
      <c r="G37" s="64">
        <v>5.5</v>
      </c>
      <c r="H37" s="17">
        <v>5.5</v>
      </c>
      <c r="I37" s="17">
        <v>5.5</v>
      </c>
      <c r="J37" s="17">
        <v>5.5</v>
      </c>
      <c r="K37" s="17">
        <v>5.5</v>
      </c>
      <c r="L37" s="164">
        <v>1</v>
      </c>
      <c r="M37" s="163" t="s">
        <v>853</v>
      </c>
      <c r="N37" s="17">
        <v>2</v>
      </c>
      <c r="O37" s="163" t="s">
        <v>853</v>
      </c>
      <c r="P37" s="17">
        <v>3</v>
      </c>
      <c r="Q37" s="163" t="s">
        <v>853</v>
      </c>
      <c r="R37" s="17">
        <v>4</v>
      </c>
      <c r="S37" s="163" t="s">
        <v>853</v>
      </c>
      <c r="T37" s="15">
        <v>30</v>
      </c>
      <c r="U37" s="73">
        <f t="shared" si="17"/>
        <v>165</v>
      </c>
      <c r="V37" s="74">
        <f t="shared" si="18"/>
        <v>330</v>
      </c>
      <c r="W37" s="74">
        <f t="shared" si="19"/>
        <v>495</v>
      </c>
      <c r="X37" s="74">
        <f t="shared" si="20"/>
        <v>660</v>
      </c>
      <c r="Y37" s="73">
        <f t="shared" si="21"/>
        <v>165</v>
      </c>
      <c r="Z37" s="74">
        <f t="shared" si="22"/>
        <v>330</v>
      </c>
      <c r="AA37" s="74">
        <f t="shared" si="23"/>
        <v>495</v>
      </c>
      <c r="AB37" s="74">
        <f t="shared" si="24"/>
        <v>660</v>
      </c>
      <c r="AC37" s="72">
        <f t="shared" si="25"/>
        <v>1</v>
      </c>
      <c r="AD37" s="72">
        <f t="shared" si="25"/>
        <v>1</v>
      </c>
      <c r="AE37" s="72">
        <f t="shared" si="25"/>
        <v>1</v>
      </c>
      <c r="AF37" s="72">
        <f t="shared" si="25"/>
        <v>1</v>
      </c>
    </row>
    <row r="38" spans="1:32" s="10" customFormat="1" ht="30">
      <c r="A38" s="17">
        <v>3</v>
      </c>
      <c r="B38" s="16" t="s">
        <v>34</v>
      </c>
      <c r="C38" s="17">
        <v>1</v>
      </c>
      <c r="D38" s="17">
        <v>1</v>
      </c>
      <c r="E38" s="17">
        <v>1</v>
      </c>
      <c r="F38" s="17">
        <v>1</v>
      </c>
      <c r="G38" s="64">
        <v>5.5</v>
      </c>
      <c r="H38" s="17">
        <v>5.5</v>
      </c>
      <c r="I38" s="17">
        <v>5.5</v>
      </c>
      <c r="J38" s="17">
        <v>5.5</v>
      </c>
      <c r="K38" s="17">
        <v>5.5</v>
      </c>
      <c r="L38" s="164">
        <v>1</v>
      </c>
      <c r="M38" s="163" t="s">
        <v>853</v>
      </c>
      <c r="N38" s="17">
        <v>2</v>
      </c>
      <c r="O38" s="163" t="s">
        <v>853</v>
      </c>
      <c r="P38" s="17">
        <v>3</v>
      </c>
      <c r="Q38" s="163" t="s">
        <v>853</v>
      </c>
      <c r="R38" s="17">
        <v>4</v>
      </c>
      <c r="S38" s="163" t="s">
        <v>853</v>
      </c>
      <c r="T38" s="15">
        <v>30</v>
      </c>
      <c r="U38" s="73">
        <f t="shared" si="17"/>
        <v>165</v>
      </c>
      <c r="V38" s="74">
        <f t="shared" si="18"/>
        <v>330</v>
      </c>
      <c r="W38" s="74">
        <f t="shared" si="19"/>
        <v>495</v>
      </c>
      <c r="X38" s="74">
        <f t="shared" si="20"/>
        <v>660</v>
      </c>
      <c r="Y38" s="73">
        <f t="shared" si="21"/>
        <v>165</v>
      </c>
      <c r="Z38" s="74">
        <f t="shared" si="22"/>
        <v>330</v>
      </c>
      <c r="AA38" s="74">
        <f t="shared" si="23"/>
        <v>495</v>
      </c>
      <c r="AB38" s="74">
        <f t="shared" si="24"/>
        <v>660</v>
      </c>
      <c r="AC38" s="72">
        <f t="shared" si="25"/>
        <v>1</v>
      </c>
      <c r="AD38" s="72">
        <f t="shared" si="25"/>
        <v>1</v>
      </c>
      <c r="AE38" s="72">
        <f t="shared" si="25"/>
        <v>1</v>
      </c>
      <c r="AF38" s="72">
        <f t="shared" si="25"/>
        <v>1</v>
      </c>
    </row>
    <row r="39" spans="1:32" s="10" customFormat="1">
      <c r="A39" s="17">
        <v>4</v>
      </c>
      <c r="B39" s="16" t="s">
        <v>35</v>
      </c>
      <c r="C39" s="17">
        <v>1</v>
      </c>
      <c r="D39" s="17">
        <v>1</v>
      </c>
      <c r="E39" s="17">
        <v>1</v>
      </c>
      <c r="F39" s="17">
        <v>1</v>
      </c>
      <c r="G39" s="64">
        <v>18.5</v>
      </c>
      <c r="H39" s="17">
        <v>18.5</v>
      </c>
      <c r="I39" s="17">
        <v>18.5</v>
      </c>
      <c r="J39" s="17">
        <v>18.5</v>
      </c>
      <c r="K39" s="17">
        <v>18.5</v>
      </c>
      <c r="L39" s="164">
        <v>24</v>
      </c>
      <c r="M39" s="86" t="s">
        <v>508</v>
      </c>
      <c r="N39" s="17">
        <v>24</v>
      </c>
      <c r="O39" s="86" t="s">
        <v>508</v>
      </c>
      <c r="P39" s="17">
        <v>24</v>
      </c>
      <c r="Q39" s="86" t="s">
        <v>508</v>
      </c>
      <c r="R39" s="17">
        <v>24</v>
      </c>
      <c r="S39" s="86" t="s">
        <v>508</v>
      </c>
      <c r="T39" s="15">
        <v>30</v>
      </c>
      <c r="U39" s="73">
        <f t="shared" si="17"/>
        <v>13320</v>
      </c>
      <c r="V39" s="74">
        <f t="shared" si="18"/>
        <v>13320</v>
      </c>
      <c r="W39" s="74">
        <f t="shared" si="19"/>
        <v>13320</v>
      </c>
      <c r="X39" s="74">
        <f t="shared" si="20"/>
        <v>13320</v>
      </c>
      <c r="Y39" s="73">
        <f t="shared" si="21"/>
        <v>13320</v>
      </c>
      <c r="Z39" s="74">
        <f t="shared" si="22"/>
        <v>13320</v>
      </c>
      <c r="AA39" s="74">
        <f t="shared" si="23"/>
        <v>13320</v>
      </c>
      <c r="AB39" s="74">
        <f t="shared" si="24"/>
        <v>13320</v>
      </c>
      <c r="AC39" s="72">
        <f t="shared" si="25"/>
        <v>1</v>
      </c>
      <c r="AD39" s="72">
        <f t="shared" si="25"/>
        <v>1</v>
      </c>
      <c r="AE39" s="72">
        <f t="shared" si="25"/>
        <v>1</v>
      </c>
      <c r="AF39" s="72">
        <f t="shared" si="25"/>
        <v>1</v>
      </c>
    </row>
    <row r="40" spans="1:32" s="10" customFormat="1" ht="30">
      <c r="A40" s="17">
        <v>5</v>
      </c>
      <c r="B40" s="16" t="s">
        <v>36</v>
      </c>
      <c r="C40" s="17">
        <v>1</v>
      </c>
      <c r="D40" s="17">
        <v>1</v>
      </c>
      <c r="E40" s="17">
        <v>1</v>
      </c>
      <c r="F40" s="17">
        <v>1</v>
      </c>
      <c r="G40" s="64">
        <v>5.5</v>
      </c>
      <c r="H40" s="17">
        <v>5.5</v>
      </c>
      <c r="I40" s="17">
        <v>5.5</v>
      </c>
      <c r="J40" s="17">
        <v>5.5</v>
      </c>
      <c r="K40" s="17">
        <v>5.5</v>
      </c>
      <c r="L40" s="164">
        <v>2</v>
      </c>
      <c r="M40" s="163" t="s">
        <v>853</v>
      </c>
      <c r="N40" s="17">
        <v>3</v>
      </c>
      <c r="O40" s="163" t="s">
        <v>853</v>
      </c>
      <c r="P40" s="17">
        <v>4</v>
      </c>
      <c r="Q40" s="163" t="s">
        <v>853</v>
      </c>
      <c r="R40" s="17">
        <v>5</v>
      </c>
      <c r="S40" s="163" t="s">
        <v>853</v>
      </c>
      <c r="T40" s="15">
        <v>30</v>
      </c>
      <c r="U40" s="73">
        <f t="shared" si="17"/>
        <v>330</v>
      </c>
      <c r="V40" s="74">
        <f t="shared" si="18"/>
        <v>495</v>
      </c>
      <c r="W40" s="74">
        <f t="shared" si="19"/>
        <v>660</v>
      </c>
      <c r="X40" s="74">
        <f t="shared" si="20"/>
        <v>825</v>
      </c>
      <c r="Y40" s="73">
        <f t="shared" si="21"/>
        <v>330</v>
      </c>
      <c r="Z40" s="74">
        <f t="shared" si="22"/>
        <v>495</v>
      </c>
      <c r="AA40" s="74">
        <f t="shared" si="23"/>
        <v>660</v>
      </c>
      <c r="AB40" s="74">
        <f t="shared" si="24"/>
        <v>825</v>
      </c>
      <c r="AC40" s="72">
        <f t="shared" si="25"/>
        <v>1</v>
      </c>
      <c r="AD40" s="72">
        <f t="shared" si="25"/>
        <v>1</v>
      </c>
      <c r="AE40" s="72">
        <f t="shared" si="25"/>
        <v>1</v>
      </c>
      <c r="AF40" s="72">
        <f t="shared" si="25"/>
        <v>1</v>
      </c>
    </row>
    <row r="41" spans="1:32" s="10" customFormat="1" ht="30">
      <c r="A41" s="17">
        <v>6</v>
      </c>
      <c r="B41" s="16" t="s">
        <v>37</v>
      </c>
      <c r="C41" s="17">
        <v>1</v>
      </c>
      <c r="D41" s="17">
        <v>1</v>
      </c>
      <c r="E41" s="17">
        <v>1</v>
      </c>
      <c r="F41" s="17">
        <v>1</v>
      </c>
      <c r="G41" s="64">
        <v>1.5</v>
      </c>
      <c r="H41" s="17">
        <v>1.5</v>
      </c>
      <c r="I41" s="17">
        <v>1.5</v>
      </c>
      <c r="J41" s="17">
        <v>1.5</v>
      </c>
      <c r="K41" s="17">
        <v>1.5</v>
      </c>
      <c r="L41" s="164">
        <v>2</v>
      </c>
      <c r="M41" s="163" t="s">
        <v>853</v>
      </c>
      <c r="N41" s="17">
        <v>3</v>
      </c>
      <c r="O41" s="163" t="s">
        <v>853</v>
      </c>
      <c r="P41" s="17">
        <v>4</v>
      </c>
      <c r="Q41" s="163" t="s">
        <v>853</v>
      </c>
      <c r="R41" s="17">
        <v>5</v>
      </c>
      <c r="S41" s="163" t="s">
        <v>853</v>
      </c>
      <c r="T41" s="15">
        <v>30</v>
      </c>
      <c r="U41" s="73">
        <f t="shared" si="17"/>
        <v>90</v>
      </c>
      <c r="V41" s="74">
        <f t="shared" si="18"/>
        <v>135</v>
      </c>
      <c r="W41" s="74">
        <f t="shared" si="19"/>
        <v>180</v>
      </c>
      <c r="X41" s="74">
        <f t="shared" si="20"/>
        <v>225</v>
      </c>
      <c r="Y41" s="73">
        <f t="shared" si="21"/>
        <v>90</v>
      </c>
      <c r="Z41" s="74">
        <f t="shared" si="22"/>
        <v>135</v>
      </c>
      <c r="AA41" s="74">
        <f t="shared" si="23"/>
        <v>180</v>
      </c>
      <c r="AB41" s="74">
        <f t="shared" si="24"/>
        <v>225</v>
      </c>
      <c r="AC41" s="72">
        <f t="shared" si="25"/>
        <v>1</v>
      </c>
      <c r="AD41" s="72">
        <f t="shared" si="25"/>
        <v>1</v>
      </c>
      <c r="AE41" s="72">
        <f t="shared" si="25"/>
        <v>1</v>
      </c>
      <c r="AF41" s="72">
        <f t="shared" si="25"/>
        <v>1</v>
      </c>
    </row>
    <row r="42" spans="1:32" s="221" customFormat="1" ht="45">
      <c r="A42" s="17">
        <v>7</v>
      </c>
      <c r="B42" s="26" t="s">
        <v>38</v>
      </c>
      <c r="C42" s="17">
        <v>1</v>
      </c>
      <c r="D42" s="17">
        <v>1</v>
      </c>
      <c r="E42" s="17">
        <v>1</v>
      </c>
      <c r="F42" s="17">
        <v>1</v>
      </c>
      <c r="G42" s="64">
        <v>0.75</v>
      </c>
      <c r="H42" s="17">
        <v>0.75</v>
      </c>
      <c r="I42" s="17">
        <v>0.75</v>
      </c>
      <c r="J42" s="17">
        <v>0.75</v>
      </c>
      <c r="K42" s="17">
        <v>0.75</v>
      </c>
      <c r="L42" s="164">
        <v>2</v>
      </c>
      <c r="M42" s="168" t="s">
        <v>857</v>
      </c>
      <c r="N42" s="17">
        <v>2</v>
      </c>
      <c r="O42" s="168" t="s">
        <v>857</v>
      </c>
      <c r="P42" s="17">
        <v>2.5</v>
      </c>
      <c r="Q42" s="168" t="s">
        <v>857</v>
      </c>
      <c r="R42" s="17">
        <v>3</v>
      </c>
      <c r="S42" s="168" t="s">
        <v>857</v>
      </c>
      <c r="T42" s="17">
        <v>30</v>
      </c>
      <c r="U42" s="74">
        <f t="shared" si="17"/>
        <v>45</v>
      </c>
      <c r="V42" s="74">
        <f t="shared" si="18"/>
        <v>45</v>
      </c>
      <c r="W42" s="74">
        <f t="shared" si="19"/>
        <v>56.25</v>
      </c>
      <c r="X42" s="74">
        <f t="shared" si="20"/>
        <v>67.5</v>
      </c>
      <c r="Y42" s="74">
        <f t="shared" si="21"/>
        <v>45</v>
      </c>
      <c r="Z42" s="74">
        <f t="shared" si="22"/>
        <v>45</v>
      </c>
      <c r="AA42" s="74">
        <f t="shared" si="23"/>
        <v>56.25</v>
      </c>
      <c r="AB42" s="74">
        <f t="shared" si="24"/>
        <v>67.5</v>
      </c>
      <c r="AC42" s="46">
        <f t="shared" si="25"/>
        <v>1</v>
      </c>
      <c r="AD42" s="46">
        <f t="shared" si="25"/>
        <v>1</v>
      </c>
      <c r="AE42" s="46">
        <f t="shared" si="25"/>
        <v>1</v>
      </c>
      <c r="AF42" s="46">
        <f t="shared" si="25"/>
        <v>1</v>
      </c>
    </row>
    <row r="43" spans="1:32" s="10" customFormat="1" ht="28.5">
      <c r="A43" s="25" t="s">
        <v>44</v>
      </c>
      <c r="B43" s="32" t="s">
        <v>45</v>
      </c>
      <c r="C43" s="51"/>
      <c r="D43" s="51"/>
      <c r="E43" s="51"/>
      <c r="F43" s="51"/>
      <c r="G43" s="299"/>
      <c r="H43" s="299"/>
      <c r="I43" s="299"/>
      <c r="J43" s="299"/>
      <c r="K43" s="17"/>
      <c r="L43" s="300"/>
      <c r="M43" s="65"/>
      <c r="N43" s="51"/>
      <c r="O43" s="65"/>
      <c r="P43" s="51"/>
      <c r="Q43" s="65"/>
      <c r="R43" s="51"/>
      <c r="S43" s="65"/>
      <c r="T43" s="65"/>
      <c r="U43" s="301"/>
      <c r="V43" s="74"/>
      <c r="W43" s="74"/>
      <c r="X43" s="74"/>
      <c r="Y43" s="73"/>
      <c r="Z43" s="74"/>
      <c r="AA43" s="74"/>
      <c r="AB43" s="74"/>
      <c r="AC43" s="72"/>
      <c r="AD43" s="72"/>
      <c r="AE43" s="72"/>
      <c r="AF43" s="72"/>
    </row>
    <row r="44" spans="1:32" s="10" customFormat="1">
      <c r="A44" s="17">
        <v>1</v>
      </c>
      <c r="B44" s="16" t="s">
        <v>46</v>
      </c>
      <c r="C44" s="17">
        <v>1</v>
      </c>
      <c r="D44" s="17">
        <v>1</v>
      </c>
      <c r="E44" s="17">
        <v>1</v>
      </c>
      <c r="F44" s="17">
        <v>1</v>
      </c>
      <c r="G44" s="64">
        <v>7.5</v>
      </c>
      <c r="H44" s="17">
        <v>7.5</v>
      </c>
      <c r="I44" s="17">
        <v>7.5</v>
      </c>
      <c r="J44" s="17">
        <v>7.5</v>
      </c>
      <c r="K44" s="17">
        <v>7.5</v>
      </c>
      <c r="L44" s="164">
        <v>24</v>
      </c>
      <c r="M44" s="86" t="s">
        <v>508</v>
      </c>
      <c r="N44" s="17">
        <v>24</v>
      </c>
      <c r="O44" s="86" t="s">
        <v>508</v>
      </c>
      <c r="P44" s="17">
        <v>24</v>
      </c>
      <c r="Q44" s="86" t="s">
        <v>508</v>
      </c>
      <c r="R44" s="17">
        <v>24</v>
      </c>
      <c r="S44" s="86" t="s">
        <v>508</v>
      </c>
      <c r="T44" s="15">
        <v>30</v>
      </c>
      <c r="U44" s="73">
        <f>C44*G44*L44*T44</f>
        <v>5400</v>
      </c>
      <c r="V44" s="74">
        <f>D44*G44*N44*T44</f>
        <v>5400</v>
      </c>
      <c r="W44" s="74">
        <f>E44*G44*P44*T44</f>
        <v>5400</v>
      </c>
      <c r="X44" s="74">
        <f>F44*K44*R44*T44</f>
        <v>5400</v>
      </c>
      <c r="Y44" s="73">
        <f>C44*K44*L44*T44</f>
        <v>5400</v>
      </c>
      <c r="Z44" s="74">
        <f>D44*K44*N44*T44</f>
        <v>5400</v>
      </c>
      <c r="AA44" s="74">
        <f>E44*K44*P44*T44</f>
        <v>5400</v>
      </c>
      <c r="AB44" s="74">
        <f>F44*K44*R44*T44</f>
        <v>5400</v>
      </c>
      <c r="AC44" s="72">
        <f t="shared" ref="AC44:AF48" si="26">Y44/U44</f>
        <v>1</v>
      </c>
      <c r="AD44" s="72">
        <f t="shared" si="26"/>
        <v>1</v>
      </c>
      <c r="AE44" s="72">
        <f t="shared" si="26"/>
        <v>1</v>
      </c>
      <c r="AF44" s="72">
        <f t="shared" si="26"/>
        <v>1</v>
      </c>
    </row>
    <row r="45" spans="1:32" s="10" customFormat="1" ht="30">
      <c r="A45" s="17">
        <v>2</v>
      </c>
      <c r="B45" s="16" t="s">
        <v>40</v>
      </c>
      <c r="C45" s="17">
        <v>1</v>
      </c>
      <c r="D45" s="17">
        <v>1</v>
      </c>
      <c r="E45" s="17">
        <v>1</v>
      </c>
      <c r="F45" s="17">
        <v>1</v>
      </c>
      <c r="G45" s="64">
        <v>2.2000000000000002</v>
      </c>
      <c r="H45" s="17">
        <v>2.2000000000000002</v>
      </c>
      <c r="I45" s="17">
        <v>2.2000000000000002</v>
      </c>
      <c r="J45" s="17">
        <v>2.2000000000000002</v>
      </c>
      <c r="K45" s="17">
        <v>2.2000000000000002</v>
      </c>
      <c r="L45" s="164">
        <v>1</v>
      </c>
      <c r="M45" s="163" t="s">
        <v>853</v>
      </c>
      <c r="N45" s="17">
        <v>2</v>
      </c>
      <c r="O45" s="163" t="s">
        <v>853</v>
      </c>
      <c r="P45" s="17">
        <v>3</v>
      </c>
      <c r="Q45" s="163" t="s">
        <v>853</v>
      </c>
      <c r="R45" s="17">
        <v>4</v>
      </c>
      <c r="S45" s="163" t="s">
        <v>853</v>
      </c>
      <c r="T45" s="15">
        <v>30</v>
      </c>
      <c r="U45" s="73">
        <f>C45*G45*L45*T45</f>
        <v>66</v>
      </c>
      <c r="V45" s="74">
        <f>D45*G45*N45*T45</f>
        <v>132</v>
      </c>
      <c r="W45" s="74">
        <f>E45*G45*P45*T45</f>
        <v>198.00000000000003</v>
      </c>
      <c r="X45" s="74">
        <f>F45*K45*R45*T45</f>
        <v>264</v>
      </c>
      <c r="Y45" s="73">
        <f>C45*K45*L45*T45</f>
        <v>66</v>
      </c>
      <c r="Z45" s="74">
        <f>D45*K45*N45*T45</f>
        <v>132</v>
      </c>
      <c r="AA45" s="74">
        <f>E45*K45*P45*T45</f>
        <v>198.00000000000003</v>
      </c>
      <c r="AB45" s="74">
        <f>F45*K45*R45*T45</f>
        <v>264</v>
      </c>
      <c r="AC45" s="72">
        <f t="shared" si="26"/>
        <v>1</v>
      </c>
      <c r="AD45" s="72">
        <f t="shared" si="26"/>
        <v>1</v>
      </c>
      <c r="AE45" s="72">
        <f t="shared" si="26"/>
        <v>1</v>
      </c>
      <c r="AF45" s="72">
        <f t="shared" si="26"/>
        <v>1</v>
      </c>
    </row>
    <row r="46" spans="1:32" s="10" customFormat="1" ht="45">
      <c r="A46" s="17">
        <v>3</v>
      </c>
      <c r="B46" s="18" t="s">
        <v>41</v>
      </c>
      <c r="C46" s="17">
        <v>1</v>
      </c>
      <c r="D46" s="17">
        <v>1</v>
      </c>
      <c r="E46" s="17">
        <v>1</v>
      </c>
      <c r="F46" s="17">
        <v>1</v>
      </c>
      <c r="G46" s="77">
        <v>0.75</v>
      </c>
      <c r="H46" s="17">
        <v>0.75</v>
      </c>
      <c r="I46" s="17">
        <v>0.75</v>
      </c>
      <c r="J46" s="17">
        <v>0.75</v>
      </c>
      <c r="K46" s="17">
        <v>0.75</v>
      </c>
      <c r="L46" s="164">
        <v>1</v>
      </c>
      <c r="M46" s="163" t="s">
        <v>857</v>
      </c>
      <c r="N46" s="17">
        <v>1</v>
      </c>
      <c r="O46" s="163" t="s">
        <v>857</v>
      </c>
      <c r="P46" s="17">
        <v>1.5</v>
      </c>
      <c r="Q46" s="163" t="s">
        <v>857</v>
      </c>
      <c r="R46" s="17">
        <v>2</v>
      </c>
      <c r="S46" s="163" t="s">
        <v>857</v>
      </c>
      <c r="T46" s="15">
        <v>30</v>
      </c>
      <c r="U46" s="73">
        <f>C46*G46*L46*T46</f>
        <v>22.5</v>
      </c>
      <c r="V46" s="74">
        <f>D46*G46*N46*T46</f>
        <v>22.5</v>
      </c>
      <c r="W46" s="74">
        <f>E46*G46*P46*T46</f>
        <v>33.75</v>
      </c>
      <c r="X46" s="74">
        <f>F46*K46*R46*T46</f>
        <v>45</v>
      </c>
      <c r="Y46" s="73">
        <f>C46*K46*L46*T46</f>
        <v>22.5</v>
      </c>
      <c r="Z46" s="74">
        <f>D46*K46*N46*T46</f>
        <v>22.5</v>
      </c>
      <c r="AA46" s="74">
        <f>E46*K46*P46*T46</f>
        <v>33.75</v>
      </c>
      <c r="AB46" s="74">
        <f>F46*K46*R46*T46</f>
        <v>45</v>
      </c>
      <c r="AC46" s="72">
        <f t="shared" si="26"/>
        <v>1</v>
      </c>
      <c r="AD46" s="72">
        <f t="shared" si="26"/>
        <v>1</v>
      </c>
      <c r="AE46" s="72">
        <f t="shared" si="26"/>
        <v>1</v>
      </c>
      <c r="AF46" s="72">
        <f t="shared" si="26"/>
        <v>1</v>
      </c>
    </row>
    <row r="47" spans="1:32" s="10" customFormat="1" ht="30">
      <c r="A47" s="17">
        <v>4</v>
      </c>
      <c r="B47" s="18" t="s">
        <v>42</v>
      </c>
      <c r="C47" s="17">
        <v>1</v>
      </c>
      <c r="D47" s="17">
        <v>1</v>
      </c>
      <c r="E47" s="17">
        <v>1</v>
      </c>
      <c r="F47" s="17">
        <v>1</v>
      </c>
      <c r="G47" s="77">
        <v>1.5</v>
      </c>
      <c r="H47" s="17">
        <v>1.5</v>
      </c>
      <c r="I47" s="17">
        <v>1.5</v>
      </c>
      <c r="J47" s="17">
        <v>1.5</v>
      </c>
      <c r="K47" s="17">
        <v>1.5</v>
      </c>
      <c r="L47" s="164">
        <v>1</v>
      </c>
      <c r="M47" s="163" t="s">
        <v>853</v>
      </c>
      <c r="N47" s="17">
        <v>2</v>
      </c>
      <c r="O47" s="163" t="s">
        <v>853</v>
      </c>
      <c r="P47" s="17">
        <v>3</v>
      </c>
      <c r="Q47" s="163" t="s">
        <v>853</v>
      </c>
      <c r="R47" s="17">
        <v>4</v>
      </c>
      <c r="S47" s="163" t="s">
        <v>853</v>
      </c>
      <c r="T47" s="15">
        <v>30</v>
      </c>
      <c r="U47" s="73">
        <f>C47*G47*L47*T47</f>
        <v>45</v>
      </c>
      <c r="V47" s="74">
        <f>D47*G47*N47*T47</f>
        <v>90</v>
      </c>
      <c r="W47" s="74">
        <f>E47*G47*P47*T47</f>
        <v>135</v>
      </c>
      <c r="X47" s="74">
        <f>F47*K47*R47*T47</f>
        <v>180</v>
      </c>
      <c r="Y47" s="73">
        <f>C47*K47*L47*T47</f>
        <v>45</v>
      </c>
      <c r="Z47" s="74">
        <f>D47*K47*N47*T47</f>
        <v>90</v>
      </c>
      <c r="AA47" s="74">
        <f>E47*K47*P47*T47</f>
        <v>135</v>
      </c>
      <c r="AB47" s="74">
        <f>F47*K47*R47*T47</f>
        <v>180</v>
      </c>
      <c r="AC47" s="72">
        <f t="shared" si="26"/>
        <v>1</v>
      </c>
      <c r="AD47" s="72">
        <f t="shared" si="26"/>
        <v>1</v>
      </c>
      <c r="AE47" s="72">
        <f t="shared" si="26"/>
        <v>1</v>
      </c>
      <c r="AF47" s="72">
        <f t="shared" si="26"/>
        <v>1</v>
      </c>
    </row>
    <row r="48" spans="1:32" s="10" customFormat="1" ht="30">
      <c r="A48" s="17">
        <v>5</v>
      </c>
      <c r="B48" s="18" t="s">
        <v>43</v>
      </c>
      <c r="C48" s="17">
        <v>1</v>
      </c>
      <c r="D48" s="17">
        <v>1</v>
      </c>
      <c r="E48" s="17">
        <v>1</v>
      </c>
      <c r="F48" s="17">
        <v>1</v>
      </c>
      <c r="G48" s="77">
        <v>1.5</v>
      </c>
      <c r="H48" s="17">
        <v>1.5</v>
      </c>
      <c r="I48" s="17">
        <v>1.5</v>
      </c>
      <c r="J48" s="17">
        <v>1.5</v>
      </c>
      <c r="K48" s="17">
        <v>1.5</v>
      </c>
      <c r="L48" s="164">
        <v>1</v>
      </c>
      <c r="M48" s="163" t="s">
        <v>853</v>
      </c>
      <c r="N48" s="17">
        <v>2</v>
      </c>
      <c r="O48" s="163" t="s">
        <v>853</v>
      </c>
      <c r="P48" s="17">
        <v>3</v>
      </c>
      <c r="Q48" s="163" t="s">
        <v>853</v>
      </c>
      <c r="R48" s="17">
        <v>4</v>
      </c>
      <c r="S48" s="163" t="s">
        <v>853</v>
      </c>
      <c r="T48" s="15">
        <v>30</v>
      </c>
      <c r="U48" s="73">
        <f>C48*G48*L48*T48</f>
        <v>45</v>
      </c>
      <c r="V48" s="74">
        <f>D48*G48*N48*T48</f>
        <v>90</v>
      </c>
      <c r="W48" s="74">
        <f>E48*G48*P48*T48</f>
        <v>135</v>
      </c>
      <c r="X48" s="74">
        <f>F48*K48*R48*T48</f>
        <v>180</v>
      </c>
      <c r="Y48" s="73">
        <f>C48*K48*L48*T48</f>
        <v>45</v>
      </c>
      <c r="Z48" s="74">
        <f>D48*K48*N48*T48</f>
        <v>90</v>
      </c>
      <c r="AA48" s="74">
        <f>E48*K48*P48*T48</f>
        <v>135</v>
      </c>
      <c r="AB48" s="74">
        <f>F48*K48*R48*T48</f>
        <v>180</v>
      </c>
      <c r="AC48" s="72">
        <f t="shared" si="26"/>
        <v>1</v>
      </c>
      <c r="AD48" s="72">
        <f t="shared" si="26"/>
        <v>1</v>
      </c>
      <c r="AE48" s="72">
        <f t="shared" si="26"/>
        <v>1</v>
      </c>
      <c r="AF48" s="72">
        <f t="shared" si="26"/>
        <v>1</v>
      </c>
    </row>
    <row r="49" spans="1:32" s="10" customFormat="1" ht="28.5">
      <c r="A49" s="25" t="s">
        <v>47</v>
      </c>
      <c r="B49" s="32" t="s">
        <v>48</v>
      </c>
      <c r="C49" s="51"/>
      <c r="D49" s="51"/>
      <c r="E49" s="51"/>
      <c r="F49" s="51"/>
      <c r="G49" s="299"/>
      <c r="H49" s="299"/>
      <c r="I49" s="299"/>
      <c r="J49" s="299"/>
      <c r="K49" s="17"/>
      <c r="L49" s="300"/>
      <c r="M49" s="65"/>
      <c r="N49" s="51"/>
      <c r="O49" s="65"/>
      <c r="P49" s="51"/>
      <c r="Q49" s="65"/>
      <c r="R49" s="51"/>
      <c r="S49" s="65"/>
      <c r="T49" s="65"/>
      <c r="U49" s="301"/>
      <c r="V49" s="74"/>
      <c r="W49" s="74"/>
      <c r="X49" s="74"/>
      <c r="Y49" s="73"/>
      <c r="Z49" s="74"/>
      <c r="AA49" s="74"/>
      <c r="AB49" s="74"/>
      <c r="AC49" s="72"/>
      <c r="AD49" s="72"/>
      <c r="AE49" s="72"/>
      <c r="AF49" s="72"/>
    </row>
    <row r="50" spans="1:32" s="10" customFormat="1">
      <c r="A50" s="17">
        <v>1</v>
      </c>
      <c r="B50" s="16" t="s">
        <v>46</v>
      </c>
      <c r="C50" s="17">
        <v>1</v>
      </c>
      <c r="D50" s="17">
        <v>1</v>
      </c>
      <c r="E50" s="17">
        <v>1</v>
      </c>
      <c r="F50" s="17">
        <v>1</v>
      </c>
      <c r="G50" s="64">
        <v>11</v>
      </c>
      <c r="H50" s="64"/>
      <c r="I50" s="64"/>
      <c r="J50" s="64"/>
      <c r="K50" s="17">
        <v>11</v>
      </c>
      <c r="L50" s="164">
        <v>24</v>
      </c>
      <c r="M50" s="86" t="s">
        <v>508</v>
      </c>
      <c r="N50" s="17">
        <v>24</v>
      </c>
      <c r="O50" s="86" t="s">
        <v>508</v>
      </c>
      <c r="P50" s="17">
        <v>24</v>
      </c>
      <c r="Q50" s="86" t="s">
        <v>508</v>
      </c>
      <c r="R50" s="17">
        <v>24</v>
      </c>
      <c r="S50" s="86" t="s">
        <v>508</v>
      </c>
      <c r="T50" s="15">
        <v>30</v>
      </c>
      <c r="U50" s="73">
        <f>C50*G50*L50*T50</f>
        <v>7920</v>
      </c>
      <c r="V50" s="74">
        <f>D50*G50*N50*T50</f>
        <v>7920</v>
      </c>
      <c r="W50" s="74">
        <f>E50*G50*P50*T50</f>
        <v>7920</v>
      </c>
      <c r="X50" s="74">
        <f>F50*K50*R50*T50</f>
        <v>7920</v>
      </c>
      <c r="Y50" s="73">
        <f>C50*K50*L50*T50</f>
        <v>7920</v>
      </c>
      <c r="Z50" s="74">
        <f>D50*K50*N50*T50</f>
        <v>7920</v>
      </c>
      <c r="AA50" s="74">
        <f>E50*K50*P50*T50</f>
        <v>7920</v>
      </c>
      <c r="AB50" s="74">
        <f>F50*K50*R50*T50</f>
        <v>7920</v>
      </c>
      <c r="AC50" s="72">
        <f>Y50/U50</f>
        <v>1</v>
      </c>
      <c r="AD50" s="72">
        <f>Z50/V50</f>
        <v>1</v>
      </c>
      <c r="AE50" s="72">
        <f>AA50/W50</f>
        <v>1</v>
      </c>
      <c r="AF50" s="72">
        <f>AB50/X50</f>
        <v>1</v>
      </c>
    </row>
    <row r="51" spans="1:32" s="10" customFormat="1" ht="29.25">
      <c r="A51" s="50" t="s">
        <v>49</v>
      </c>
      <c r="B51" s="51" t="s">
        <v>50</v>
      </c>
      <c r="C51" s="18"/>
      <c r="D51" s="18"/>
      <c r="E51" s="18"/>
      <c r="F51" s="18"/>
      <c r="G51" s="297"/>
      <c r="H51" s="297"/>
      <c r="I51" s="297"/>
      <c r="J51" s="297"/>
      <c r="K51" s="17"/>
      <c r="L51" s="164"/>
      <c r="M51" s="15"/>
      <c r="N51" s="18"/>
      <c r="O51" s="15"/>
      <c r="P51" s="18"/>
      <c r="Q51" s="15"/>
      <c r="R51" s="18"/>
      <c r="S51" s="15"/>
      <c r="T51" s="15"/>
      <c r="U51" s="73"/>
      <c r="V51" s="74"/>
      <c r="W51" s="74"/>
      <c r="X51" s="74"/>
      <c r="Y51" s="73"/>
      <c r="Z51" s="74"/>
      <c r="AA51" s="74"/>
      <c r="AB51" s="74"/>
      <c r="AC51" s="72"/>
      <c r="AD51" s="72"/>
      <c r="AE51" s="72"/>
      <c r="AF51" s="72"/>
    </row>
    <row r="52" spans="1:32" s="10" customFormat="1" ht="105">
      <c r="A52" s="17">
        <v>1</v>
      </c>
      <c r="B52" s="16" t="s">
        <v>51</v>
      </c>
      <c r="C52" s="17">
        <v>1</v>
      </c>
      <c r="D52" s="17">
        <v>1</v>
      </c>
      <c r="E52" s="17">
        <v>1</v>
      </c>
      <c r="F52" s="17">
        <v>1</v>
      </c>
      <c r="G52" s="64">
        <v>5.5</v>
      </c>
      <c r="H52" s="17">
        <v>5.5</v>
      </c>
      <c r="I52" s="17">
        <v>5.5</v>
      </c>
      <c r="J52" s="17">
        <v>5.5</v>
      </c>
      <c r="K52" s="17">
        <v>5.5</v>
      </c>
      <c r="L52" s="164">
        <v>8</v>
      </c>
      <c r="M52" s="163" t="s">
        <v>858</v>
      </c>
      <c r="N52" s="17">
        <v>9</v>
      </c>
      <c r="O52" s="163" t="s">
        <v>858</v>
      </c>
      <c r="P52" s="17">
        <v>10</v>
      </c>
      <c r="Q52" s="163" t="s">
        <v>858</v>
      </c>
      <c r="R52" s="17">
        <v>12</v>
      </c>
      <c r="S52" s="163" t="s">
        <v>858</v>
      </c>
      <c r="T52" s="15">
        <v>30</v>
      </c>
      <c r="U52" s="73">
        <f>C52*G52*L52*T52</f>
        <v>1320</v>
      </c>
      <c r="V52" s="74">
        <f>D52*G52*N52*T52</f>
        <v>1485</v>
      </c>
      <c r="W52" s="74">
        <f>E52*G52*P52*T52</f>
        <v>1650</v>
      </c>
      <c r="X52" s="74">
        <f>F52*K52*R52*T52</f>
        <v>1980</v>
      </c>
      <c r="Y52" s="73">
        <f>C52*K52*L52*T52</f>
        <v>1320</v>
      </c>
      <c r="Z52" s="74">
        <f>D52*K52*N52*T52</f>
        <v>1485</v>
      </c>
      <c r="AA52" s="74">
        <f>E52*K52*P52*T52</f>
        <v>1650</v>
      </c>
      <c r="AB52" s="74">
        <f>F52*K52*R52*T52</f>
        <v>1980</v>
      </c>
      <c r="AC52" s="72">
        <f t="shared" ref="AC52:AF55" si="27">Y52/U52</f>
        <v>1</v>
      </c>
      <c r="AD52" s="72">
        <f t="shared" si="27"/>
        <v>1</v>
      </c>
      <c r="AE52" s="72">
        <f t="shared" si="27"/>
        <v>1</v>
      </c>
      <c r="AF52" s="72">
        <f t="shared" si="27"/>
        <v>1</v>
      </c>
    </row>
    <row r="53" spans="1:32" s="10" customFormat="1" ht="30">
      <c r="A53" s="17">
        <v>2</v>
      </c>
      <c r="B53" s="16" t="s">
        <v>22</v>
      </c>
      <c r="C53" s="17">
        <v>1</v>
      </c>
      <c r="D53" s="17">
        <v>1</v>
      </c>
      <c r="E53" s="17">
        <v>1</v>
      </c>
      <c r="F53" s="17">
        <v>1</v>
      </c>
      <c r="G53" s="64">
        <v>5.5</v>
      </c>
      <c r="H53" s="17">
        <v>5.5</v>
      </c>
      <c r="I53" s="17">
        <v>5.5</v>
      </c>
      <c r="J53" s="17">
        <v>5.5</v>
      </c>
      <c r="K53" s="17">
        <v>5.5</v>
      </c>
      <c r="L53" s="164">
        <v>8</v>
      </c>
      <c r="M53" s="163" t="s">
        <v>853</v>
      </c>
      <c r="N53" s="17">
        <v>9</v>
      </c>
      <c r="O53" s="163" t="s">
        <v>853</v>
      </c>
      <c r="P53" s="17">
        <v>10</v>
      </c>
      <c r="Q53" s="163" t="s">
        <v>853</v>
      </c>
      <c r="R53" s="17">
        <v>12</v>
      </c>
      <c r="S53" s="163" t="s">
        <v>853</v>
      </c>
      <c r="T53" s="15">
        <v>30</v>
      </c>
      <c r="U53" s="73">
        <f>C53*G53*L53*T53</f>
        <v>1320</v>
      </c>
      <c r="V53" s="74">
        <f>D53*G53*N53*T53</f>
        <v>1485</v>
      </c>
      <c r="W53" s="74">
        <f>E53*G53*P53*T53</f>
        <v>1650</v>
      </c>
      <c r="X53" s="74">
        <f>F53*K53*R53*T53</f>
        <v>1980</v>
      </c>
      <c r="Y53" s="73">
        <f>C53*K53*L53*T53</f>
        <v>1320</v>
      </c>
      <c r="Z53" s="74">
        <f>D53*K53*N53*T53</f>
        <v>1485</v>
      </c>
      <c r="AA53" s="74">
        <f>E53*K53*P53*T53</f>
        <v>1650</v>
      </c>
      <c r="AB53" s="74">
        <f>F53*K53*R53*T53</f>
        <v>1980</v>
      </c>
      <c r="AC53" s="72">
        <f t="shared" si="27"/>
        <v>1</v>
      </c>
      <c r="AD53" s="72">
        <f t="shared" si="27"/>
        <v>1</v>
      </c>
      <c r="AE53" s="72">
        <f t="shared" si="27"/>
        <v>1</v>
      </c>
      <c r="AF53" s="72">
        <f t="shared" si="27"/>
        <v>1</v>
      </c>
    </row>
    <row r="54" spans="1:32" s="10" customFormat="1" ht="75">
      <c r="A54" s="17">
        <v>3</v>
      </c>
      <c r="B54" s="16" t="s">
        <v>17</v>
      </c>
      <c r="C54" s="17">
        <v>1</v>
      </c>
      <c r="D54" s="17">
        <v>1</v>
      </c>
      <c r="E54" s="17">
        <v>1</v>
      </c>
      <c r="F54" s="17">
        <v>1</v>
      </c>
      <c r="G54" s="64">
        <v>4.5999999999999996</v>
      </c>
      <c r="H54" s="64">
        <v>4.5999999999999996</v>
      </c>
      <c r="I54" s="64">
        <v>4.5999999999999996</v>
      </c>
      <c r="J54" s="64">
        <v>4.5999999999999996</v>
      </c>
      <c r="K54" s="64">
        <v>4.5999999999999996</v>
      </c>
      <c r="L54" s="17">
        <v>10</v>
      </c>
      <c r="M54" s="163" t="s">
        <v>859</v>
      </c>
      <c r="N54" s="17">
        <v>12</v>
      </c>
      <c r="O54" s="163" t="s">
        <v>859</v>
      </c>
      <c r="P54" s="17">
        <v>14</v>
      </c>
      <c r="Q54" s="163" t="s">
        <v>859</v>
      </c>
      <c r="R54" s="17">
        <v>16</v>
      </c>
      <c r="S54" s="163" t="s">
        <v>859</v>
      </c>
      <c r="T54" s="15">
        <v>10</v>
      </c>
      <c r="U54" s="73">
        <f>C54*G54*L54*T54</f>
        <v>460</v>
      </c>
      <c r="V54" s="74">
        <f>D54*G54*N54*T54</f>
        <v>552</v>
      </c>
      <c r="W54" s="74">
        <f>E54*G54*P54*T54</f>
        <v>643.99999999999989</v>
      </c>
      <c r="X54" s="74">
        <f>F54*K54*R54*T54</f>
        <v>736</v>
      </c>
      <c r="Y54" s="73">
        <f>C54*K54*L54*T54</f>
        <v>460</v>
      </c>
      <c r="Z54" s="74">
        <f>D54*K54*N54*T54</f>
        <v>552</v>
      </c>
      <c r="AA54" s="74">
        <f>E54*K54*P54*T54</f>
        <v>643.99999999999989</v>
      </c>
      <c r="AB54" s="74">
        <f>F54*K54*R54*T54</f>
        <v>736</v>
      </c>
      <c r="AC54" s="72">
        <f t="shared" si="27"/>
        <v>1</v>
      </c>
      <c r="AD54" s="72">
        <f t="shared" si="27"/>
        <v>1</v>
      </c>
      <c r="AE54" s="72">
        <f t="shared" si="27"/>
        <v>1</v>
      </c>
      <c r="AF54" s="72">
        <f t="shared" si="27"/>
        <v>1</v>
      </c>
    </row>
    <row r="55" spans="1:32" s="305" customFormat="1" ht="27.75" customHeight="1">
      <c r="A55" s="302"/>
      <c r="B55" s="722" t="s">
        <v>7</v>
      </c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2"/>
      <c r="P55" s="722"/>
      <c r="Q55" s="722"/>
      <c r="R55" s="722"/>
      <c r="S55" s="722"/>
      <c r="T55" s="722"/>
      <c r="U55" s="304">
        <f t="shared" ref="U55:AB55" si="28">SUM(U7:U54)</f>
        <v>124005</v>
      </c>
      <c r="V55" s="304">
        <f t="shared" si="28"/>
        <v>158710</v>
      </c>
      <c r="W55" s="304">
        <f t="shared" si="28"/>
        <v>194712.5</v>
      </c>
      <c r="X55" s="304">
        <f t="shared" si="28"/>
        <v>219544</v>
      </c>
      <c r="Y55" s="304">
        <f t="shared" si="28"/>
        <v>117855</v>
      </c>
      <c r="Z55" s="304">
        <f t="shared" si="28"/>
        <v>151060</v>
      </c>
      <c r="AA55" s="304">
        <f t="shared" si="28"/>
        <v>185412.5</v>
      </c>
      <c r="AB55" s="304">
        <f t="shared" si="28"/>
        <v>219544</v>
      </c>
      <c r="AC55" s="72">
        <f t="shared" si="27"/>
        <v>0.95040522559574214</v>
      </c>
      <c r="AD55" s="72">
        <f t="shared" si="27"/>
        <v>0.95179887845756406</v>
      </c>
      <c r="AE55" s="72">
        <f t="shared" si="27"/>
        <v>0.95223727290235605</v>
      </c>
      <c r="AF55" s="72">
        <f t="shared" si="27"/>
        <v>1</v>
      </c>
    </row>
    <row r="56" spans="1:32">
      <c r="K56" s="53"/>
    </row>
    <row r="57" spans="1:32">
      <c r="K57" s="53"/>
    </row>
    <row r="58" spans="1:32" ht="18.75">
      <c r="K58" s="53"/>
      <c r="S58" s="306" t="s">
        <v>615</v>
      </c>
    </row>
    <row r="59" spans="1:32">
      <c r="K59" s="53"/>
    </row>
    <row r="60" spans="1:32">
      <c r="K60" s="53"/>
    </row>
    <row r="61" spans="1:32">
      <c r="K61" s="53"/>
    </row>
    <row r="62" spans="1:32">
      <c r="K62" s="53"/>
    </row>
    <row r="63" spans="1:32">
      <c r="K63" s="53"/>
    </row>
    <row r="64" spans="1:32">
      <c r="K64" s="53"/>
    </row>
    <row r="65" spans="11:11">
      <c r="K65" s="53"/>
    </row>
    <row r="66" spans="11:11">
      <c r="K66" s="53"/>
    </row>
    <row r="67" spans="11:11">
      <c r="K67" s="53"/>
    </row>
    <row r="68" spans="11:11">
      <c r="K68" s="53"/>
    </row>
    <row r="69" spans="11:11">
      <c r="K69" s="53"/>
    </row>
    <row r="70" spans="11:11">
      <c r="K70" s="53"/>
    </row>
    <row r="71" spans="11:11">
      <c r="K71" s="53"/>
    </row>
    <row r="72" spans="11:11">
      <c r="K72" s="53"/>
    </row>
    <row r="73" spans="11:11">
      <c r="K73" s="53"/>
    </row>
    <row r="74" spans="11:11">
      <c r="K74" s="53"/>
    </row>
    <row r="75" spans="11:11">
      <c r="K75" s="53"/>
    </row>
    <row r="76" spans="11:11">
      <c r="K76" s="53"/>
    </row>
    <row r="77" spans="11:11">
      <c r="K77" s="53"/>
    </row>
    <row r="78" spans="11:11">
      <c r="K78" s="53"/>
    </row>
    <row r="79" spans="11:11">
      <c r="K79" s="53"/>
    </row>
    <row r="80" spans="11:11">
      <c r="K80" s="53"/>
    </row>
    <row r="81" spans="11:11">
      <c r="K81" s="53"/>
    </row>
    <row r="82" spans="11:11">
      <c r="K82" s="53"/>
    </row>
    <row r="83" spans="11:11">
      <c r="K83" s="53"/>
    </row>
    <row r="84" spans="11:11">
      <c r="K84" s="53"/>
    </row>
    <row r="85" spans="11:11">
      <c r="K85" s="53"/>
    </row>
    <row r="86" spans="11:11">
      <c r="K86" s="53"/>
    </row>
    <row r="87" spans="11:11">
      <c r="K87" s="53"/>
    </row>
    <row r="88" spans="11:11">
      <c r="K88" s="53"/>
    </row>
    <row r="89" spans="11:11">
      <c r="K89" s="53"/>
    </row>
    <row r="90" spans="11:11">
      <c r="K90" s="53"/>
    </row>
    <row r="91" spans="11:11">
      <c r="K91" s="53"/>
    </row>
    <row r="92" spans="11:11">
      <c r="K92" s="53"/>
    </row>
    <row r="93" spans="11:11">
      <c r="K93" s="53"/>
    </row>
    <row r="94" spans="11:11">
      <c r="K94" s="53"/>
    </row>
    <row r="95" spans="11:11">
      <c r="K95" s="53"/>
    </row>
    <row r="96" spans="11:11">
      <c r="K96" s="53"/>
    </row>
    <row r="97" spans="11:11">
      <c r="K97" s="53"/>
    </row>
    <row r="98" spans="11:11">
      <c r="K98" s="53"/>
    </row>
    <row r="99" spans="11:11">
      <c r="K99" s="53"/>
    </row>
    <row r="100" spans="11:11">
      <c r="K100" s="53"/>
    </row>
    <row r="101" spans="11:11">
      <c r="K101" s="53"/>
    </row>
    <row r="102" spans="11:11">
      <c r="K102" s="53"/>
    </row>
    <row r="103" spans="11:11">
      <c r="K103" s="53"/>
    </row>
    <row r="104" spans="11:11">
      <c r="K104" s="53"/>
    </row>
    <row r="105" spans="11:11">
      <c r="K105" s="53"/>
    </row>
    <row r="106" spans="11:11">
      <c r="K106" s="53"/>
    </row>
    <row r="107" spans="11:11">
      <c r="K107" s="53"/>
    </row>
    <row r="108" spans="11:11">
      <c r="K108" s="53"/>
    </row>
    <row r="109" spans="11:11">
      <c r="K109" s="53"/>
    </row>
    <row r="110" spans="11:11">
      <c r="K110" s="53"/>
    </row>
    <row r="111" spans="11:11">
      <c r="K111" s="53"/>
    </row>
    <row r="112" spans="11:11">
      <c r="K112" s="53"/>
    </row>
    <row r="113" spans="11:11">
      <c r="K113" s="53"/>
    </row>
    <row r="114" spans="11:11">
      <c r="K114" s="53"/>
    </row>
    <row r="115" spans="11:11">
      <c r="K115" s="53"/>
    </row>
    <row r="116" spans="11:11">
      <c r="K116" s="53"/>
    </row>
    <row r="117" spans="11:11">
      <c r="K117" s="53"/>
    </row>
    <row r="118" spans="11:11">
      <c r="K118" s="53"/>
    </row>
    <row r="119" spans="11:11">
      <c r="K119" s="53"/>
    </row>
    <row r="120" spans="11:11">
      <c r="K120" s="53"/>
    </row>
    <row r="121" spans="11:11">
      <c r="K121" s="53"/>
    </row>
    <row r="122" spans="11:11">
      <c r="K122" s="53"/>
    </row>
    <row r="123" spans="11:11">
      <c r="K123" s="53"/>
    </row>
    <row r="124" spans="11:11">
      <c r="K124" s="53"/>
    </row>
    <row r="125" spans="11:11">
      <c r="K125" s="53"/>
    </row>
    <row r="126" spans="11:11">
      <c r="K126" s="53"/>
    </row>
    <row r="127" spans="11:11">
      <c r="K127" s="53"/>
    </row>
    <row r="128" spans="11:11">
      <c r="K128" s="53"/>
    </row>
    <row r="129" spans="11:11">
      <c r="K129" s="53"/>
    </row>
    <row r="130" spans="11:11">
      <c r="K130" s="53"/>
    </row>
    <row r="131" spans="11:11">
      <c r="K131" s="53"/>
    </row>
    <row r="132" spans="11:11">
      <c r="K132" s="53"/>
    </row>
  </sheetData>
  <autoFilter ref="A5:W56" xr:uid="{00000000-0009-0000-0000-000001000000}"/>
  <mergeCells count="24">
    <mergeCell ref="A1:AE1"/>
    <mergeCell ref="R3:S3"/>
    <mergeCell ref="C2:F2"/>
    <mergeCell ref="H2:K2"/>
    <mergeCell ref="AC2:AF2"/>
    <mergeCell ref="L2:S2"/>
    <mergeCell ref="U2:X2"/>
    <mergeCell ref="Y2:AB2"/>
    <mergeCell ref="B55:T55"/>
    <mergeCell ref="A2:A3"/>
    <mergeCell ref="B2:B3"/>
    <mergeCell ref="G2:G3"/>
    <mergeCell ref="T2:T3"/>
    <mergeCell ref="L3:M3"/>
    <mergeCell ref="N3:O3"/>
    <mergeCell ref="P3:Q3"/>
    <mergeCell ref="O25:O28"/>
    <mergeCell ref="Q25:Q28"/>
    <mergeCell ref="S25:S28"/>
    <mergeCell ref="M31:M34"/>
    <mergeCell ref="O31:O34"/>
    <mergeCell ref="Q31:Q34"/>
    <mergeCell ref="S31:S34"/>
    <mergeCell ref="M25:M28"/>
  </mergeCells>
  <pageMargins left="0.5" right="0.25" top="0.75" bottom="0.75" header="0.3" footer="0.3"/>
  <pageSetup scale="3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1F73-84E7-42E1-9C5E-8D26DF304953}">
  <dimension ref="A1:AD165"/>
  <sheetViews>
    <sheetView zoomScale="70" zoomScaleNormal="70" workbookViewId="0">
      <pane ySplit="5" topLeftCell="A6" activePane="bottomLeft" state="frozen"/>
      <selection pane="bottomLeft" activeCell="H23" sqref="H23"/>
    </sheetView>
  </sheetViews>
  <sheetFormatPr defaultColWidth="8.85546875" defaultRowHeight="14.25"/>
  <cols>
    <col min="1" max="1" width="9.140625" style="278" customWidth="1"/>
    <col min="2" max="2" width="37.7109375" style="96" customWidth="1"/>
    <col min="3" max="3" width="10.28515625" style="96" customWidth="1"/>
    <col min="4" max="4" width="11.28515625" style="96" bestFit="1" customWidth="1"/>
    <col min="5" max="6" width="10.28515625" style="96" customWidth="1"/>
    <col min="7" max="8" width="15.28515625" style="571" customWidth="1"/>
    <col min="9" max="10" width="20.7109375" style="278" customWidth="1"/>
    <col min="11" max="16" width="20.7109375" style="96" customWidth="1"/>
    <col min="17" max="17" width="11.85546875" style="96" customWidth="1"/>
    <col min="18" max="18" width="19.7109375" style="96" hidden="1" customWidth="1"/>
    <col min="19" max="21" width="13.7109375" style="96" hidden="1" customWidth="1"/>
    <col min="22" max="25" width="12.7109375" style="96" hidden="1" customWidth="1"/>
    <col min="26" max="29" width="13.7109375" style="96" hidden="1" customWidth="1"/>
    <col min="30" max="30" width="31.28515625" style="96" hidden="1" customWidth="1"/>
    <col min="31" max="16384" width="8.85546875" style="96"/>
  </cols>
  <sheetData>
    <row r="1" spans="1:30" ht="25.5">
      <c r="A1" s="741" t="s">
        <v>617</v>
      </c>
      <c r="B1" s="741"/>
      <c r="C1" s="741"/>
      <c r="D1" s="741"/>
      <c r="E1" s="741"/>
      <c r="F1" s="741"/>
      <c r="G1" s="741"/>
      <c r="H1" s="741"/>
      <c r="I1" s="742"/>
      <c r="J1" s="742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  <c r="AC1" s="275"/>
    </row>
    <row r="2" spans="1:30" ht="15.75">
      <c r="A2" s="743" t="s">
        <v>1</v>
      </c>
      <c r="B2" s="743" t="s">
        <v>2</v>
      </c>
      <c r="C2" s="736" t="s">
        <v>536</v>
      </c>
      <c r="D2" s="736"/>
      <c r="E2" s="736"/>
      <c r="F2" s="737"/>
      <c r="G2" s="745" t="s">
        <v>8</v>
      </c>
      <c r="H2" s="745" t="s">
        <v>497</v>
      </c>
      <c r="I2" s="736" t="s">
        <v>616</v>
      </c>
      <c r="J2" s="736"/>
      <c r="K2" s="736"/>
      <c r="L2" s="736"/>
      <c r="M2" s="736"/>
      <c r="N2" s="736"/>
      <c r="O2" s="736"/>
      <c r="P2" s="737"/>
      <c r="Q2" s="739" t="s">
        <v>416</v>
      </c>
      <c r="R2" s="736" t="s">
        <v>501</v>
      </c>
      <c r="S2" s="736"/>
      <c r="T2" s="736"/>
      <c r="U2" s="737"/>
      <c r="V2" s="736" t="s">
        <v>502</v>
      </c>
      <c r="W2" s="736"/>
      <c r="X2" s="736"/>
      <c r="Y2" s="737"/>
      <c r="Z2" s="736" t="s">
        <v>503</v>
      </c>
      <c r="AA2" s="736"/>
      <c r="AB2" s="736"/>
      <c r="AC2" s="737"/>
    </row>
    <row r="3" spans="1:30" ht="47.25">
      <c r="A3" s="744"/>
      <c r="B3" s="744"/>
      <c r="C3" s="279" t="s">
        <v>612</v>
      </c>
      <c r="D3" s="279" t="s">
        <v>613</v>
      </c>
      <c r="E3" s="279" t="s">
        <v>534</v>
      </c>
      <c r="F3" s="279" t="s">
        <v>535</v>
      </c>
      <c r="G3" s="746"/>
      <c r="H3" s="746"/>
      <c r="I3" s="736" t="s">
        <v>612</v>
      </c>
      <c r="J3" s="737"/>
      <c r="K3" s="738" t="s">
        <v>613</v>
      </c>
      <c r="L3" s="737"/>
      <c r="M3" s="739" t="s">
        <v>534</v>
      </c>
      <c r="N3" s="739"/>
      <c r="O3" s="739" t="s">
        <v>535</v>
      </c>
      <c r="P3" s="739"/>
      <c r="Q3" s="739"/>
      <c r="R3" s="682" t="s">
        <v>612</v>
      </c>
      <c r="S3" s="279" t="s">
        <v>613</v>
      </c>
      <c r="T3" s="279" t="s">
        <v>534</v>
      </c>
      <c r="U3" s="279" t="s">
        <v>535</v>
      </c>
      <c r="V3" s="279" t="s">
        <v>612</v>
      </c>
      <c r="W3" s="279" t="s">
        <v>613</v>
      </c>
      <c r="X3" s="279" t="s">
        <v>534</v>
      </c>
      <c r="Y3" s="279" t="s">
        <v>535</v>
      </c>
      <c r="Z3" s="279" t="s">
        <v>532</v>
      </c>
      <c r="AA3" s="279" t="s">
        <v>533</v>
      </c>
      <c r="AB3" s="279" t="s">
        <v>534</v>
      </c>
      <c r="AC3" s="279" t="s">
        <v>535</v>
      </c>
    </row>
    <row r="4" spans="1:30" ht="15.75">
      <c r="A4" s="280"/>
      <c r="B4" s="280"/>
      <c r="C4" s="283"/>
      <c r="D4" s="283"/>
      <c r="E4" s="283"/>
      <c r="F4" s="283"/>
      <c r="G4" s="692"/>
      <c r="H4" s="692"/>
      <c r="I4" s="280" t="s">
        <v>498</v>
      </c>
      <c r="J4" s="283" t="s">
        <v>496</v>
      </c>
      <c r="K4" s="280" t="s">
        <v>498</v>
      </c>
      <c r="L4" s="283" t="s">
        <v>496</v>
      </c>
      <c r="M4" s="280" t="s">
        <v>498</v>
      </c>
      <c r="N4" s="283" t="s">
        <v>496</v>
      </c>
      <c r="O4" s="280" t="s">
        <v>498</v>
      </c>
      <c r="P4" s="283" t="s">
        <v>496</v>
      </c>
      <c r="Q4" s="283"/>
      <c r="R4" s="280"/>
      <c r="S4" s="283"/>
      <c r="T4" s="283"/>
      <c r="U4" s="283"/>
      <c r="V4" s="279"/>
      <c r="W4" s="279"/>
      <c r="X4" s="279"/>
      <c r="Y4" s="279"/>
      <c r="Z4" s="280"/>
      <c r="AA4" s="283"/>
      <c r="AB4" s="283"/>
      <c r="AC4" s="283"/>
    </row>
    <row r="5" spans="1:30" ht="15.75" hidden="1">
      <c r="A5" s="138">
        <v>1</v>
      </c>
      <c r="B5" s="138">
        <v>2</v>
      </c>
      <c r="C5" s="139"/>
      <c r="D5" s="139"/>
      <c r="E5" s="139"/>
      <c r="F5" s="139"/>
      <c r="G5" s="694">
        <v>5</v>
      </c>
      <c r="H5" s="694"/>
      <c r="I5" s="138"/>
      <c r="J5" s="139"/>
      <c r="K5" s="139"/>
      <c r="L5" s="139"/>
      <c r="M5" s="139"/>
      <c r="N5" s="139"/>
      <c r="O5" s="139"/>
      <c r="P5" s="139"/>
      <c r="Q5" s="139"/>
      <c r="R5" s="138"/>
      <c r="S5" s="139"/>
      <c r="T5" s="139"/>
      <c r="U5" s="139"/>
      <c r="V5" s="138"/>
      <c r="W5" s="138"/>
      <c r="X5" s="138"/>
      <c r="Y5" s="138"/>
      <c r="Z5" s="138"/>
      <c r="AA5" s="139"/>
      <c r="AB5" s="139"/>
      <c r="AC5" s="139"/>
    </row>
    <row r="6" spans="1:30">
      <c r="A6" s="276" t="s">
        <v>6</v>
      </c>
      <c r="B6" s="277" t="s">
        <v>618</v>
      </c>
      <c r="C6" s="162"/>
      <c r="D6" s="162"/>
      <c r="E6" s="162"/>
      <c r="F6" s="162"/>
      <c r="G6" s="695"/>
      <c r="H6" s="695"/>
      <c r="I6" s="466"/>
      <c r="J6" s="466"/>
      <c r="K6" s="466"/>
      <c r="L6" s="466"/>
      <c r="M6" s="466"/>
      <c r="N6" s="466"/>
      <c r="O6" s="466"/>
      <c r="P6" s="466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</row>
    <row r="7" spans="1:30">
      <c r="A7" s="276">
        <v>1</v>
      </c>
      <c r="B7" s="162" t="s">
        <v>52</v>
      </c>
      <c r="C7" s="462">
        <v>2</v>
      </c>
      <c r="D7" s="462">
        <v>2</v>
      </c>
      <c r="E7" s="462">
        <v>2</v>
      </c>
      <c r="F7" s="462">
        <v>2</v>
      </c>
      <c r="G7" s="696"/>
      <c r="H7" s="696"/>
      <c r="I7" s="462" t="s">
        <v>885</v>
      </c>
      <c r="J7" s="462" t="s">
        <v>886</v>
      </c>
      <c r="K7" s="462" t="s">
        <v>885</v>
      </c>
      <c r="L7" s="462" t="s">
        <v>886</v>
      </c>
      <c r="M7" s="462" t="s">
        <v>885</v>
      </c>
      <c r="N7" s="462" t="s">
        <v>886</v>
      </c>
      <c r="O7" s="462" t="s">
        <v>885</v>
      </c>
      <c r="P7" s="462" t="s">
        <v>886</v>
      </c>
      <c r="Q7" s="276">
        <v>30</v>
      </c>
      <c r="R7" s="467" t="e">
        <f t="shared" ref="R7:R70" si="0">C7*G7*I7*Q7</f>
        <v>#VALUE!</v>
      </c>
      <c r="S7" s="468" t="e">
        <f t="shared" ref="S7:S70" si="1">D7*G7*K7*Q7</f>
        <v>#VALUE!</v>
      </c>
      <c r="T7" s="468" t="e">
        <f t="shared" ref="T7:T70" si="2">E7*G7*M7*Q7</f>
        <v>#VALUE!</v>
      </c>
      <c r="U7" s="468" t="e">
        <f t="shared" ref="U7:U70" si="3">F7*G7*O7*Q7</f>
        <v>#VALUE!</v>
      </c>
      <c r="V7" s="467" t="e">
        <f t="shared" ref="V7:V70" si="4">C7*H7*I7*Q7</f>
        <v>#VALUE!</v>
      </c>
      <c r="W7" s="468" t="e">
        <f t="shared" ref="W7:W70" si="5">D7*H7*K7*Q7</f>
        <v>#VALUE!</v>
      </c>
      <c r="X7" s="468" t="e">
        <f t="shared" ref="X7:X70" si="6">E7*H7*M7*Q7</f>
        <v>#VALUE!</v>
      </c>
      <c r="Y7" s="468" t="e">
        <f t="shared" ref="Y7:Y70" si="7">F7*H7*O7*Q7</f>
        <v>#VALUE!</v>
      </c>
      <c r="Z7" s="469" t="e">
        <f t="shared" ref="Z7:AC38" si="8">V7/R7</f>
        <v>#VALUE!</v>
      </c>
      <c r="AA7" s="469" t="e">
        <f t="shared" si="8"/>
        <v>#VALUE!</v>
      </c>
      <c r="AB7" s="469" t="e">
        <f t="shared" si="8"/>
        <v>#VALUE!</v>
      </c>
      <c r="AC7" s="469" t="e">
        <f t="shared" si="8"/>
        <v>#VALUE!</v>
      </c>
      <c r="AD7" s="740" t="s">
        <v>571</v>
      </c>
    </row>
    <row r="8" spans="1:30">
      <c r="A8" s="276">
        <v>2</v>
      </c>
      <c r="B8" s="162" t="s">
        <v>53</v>
      </c>
      <c r="C8" s="462">
        <v>2</v>
      </c>
      <c r="D8" s="462">
        <v>2</v>
      </c>
      <c r="E8" s="462">
        <v>2</v>
      </c>
      <c r="F8" s="462">
        <v>2</v>
      </c>
      <c r="G8" s="696"/>
      <c r="H8" s="696"/>
      <c r="I8" s="462" t="s">
        <v>887</v>
      </c>
      <c r="J8" s="462" t="s">
        <v>888</v>
      </c>
      <c r="K8" s="462" t="s">
        <v>887</v>
      </c>
      <c r="L8" s="462" t="s">
        <v>888</v>
      </c>
      <c r="M8" s="462" t="s">
        <v>887</v>
      </c>
      <c r="N8" s="462" t="s">
        <v>888</v>
      </c>
      <c r="O8" s="462" t="s">
        <v>887</v>
      </c>
      <c r="P8" s="462" t="s">
        <v>888</v>
      </c>
      <c r="Q8" s="276">
        <v>30</v>
      </c>
      <c r="R8" s="467" t="e">
        <f t="shared" si="0"/>
        <v>#VALUE!</v>
      </c>
      <c r="S8" s="468" t="e">
        <f t="shared" si="1"/>
        <v>#VALUE!</v>
      </c>
      <c r="T8" s="468" t="e">
        <f t="shared" si="2"/>
        <v>#VALUE!</v>
      </c>
      <c r="U8" s="468" t="e">
        <f t="shared" si="3"/>
        <v>#VALUE!</v>
      </c>
      <c r="V8" s="467" t="e">
        <f t="shared" si="4"/>
        <v>#VALUE!</v>
      </c>
      <c r="W8" s="468" t="e">
        <f t="shared" si="5"/>
        <v>#VALUE!</v>
      </c>
      <c r="X8" s="468" t="e">
        <f t="shared" si="6"/>
        <v>#VALUE!</v>
      </c>
      <c r="Y8" s="468" t="e">
        <f t="shared" si="7"/>
        <v>#VALUE!</v>
      </c>
      <c r="Z8" s="469" t="e">
        <f t="shared" si="8"/>
        <v>#VALUE!</v>
      </c>
      <c r="AA8" s="469" t="e">
        <f t="shared" si="8"/>
        <v>#VALUE!</v>
      </c>
      <c r="AB8" s="469" t="e">
        <f t="shared" si="8"/>
        <v>#VALUE!</v>
      </c>
      <c r="AC8" s="469" t="e">
        <f t="shared" si="8"/>
        <v>#VALUE!</v>
      </c>
      <c r="AD8" s="740"/>
    </row>
    <row r="9" spans="1:30">
      <c r="A9" s="276">
        <v>3</v>
      </c>
      <c r="B9" s="162" t="s">
        <v>54</v>
      </c>
      <c r="C9" s="462">
        <v>1</v>
      </c>
      <c r="D9" s="462">
        <v>1</v>
      </c>
      <c r="E9" s="462">
        <v>1</v>
      </c>
      <c r="F9" s="462">
        <v>1</v>
      </c>
      <c r="G9" s="696"/>
      <c r="H9" s="696"/>
      <c r="I9" s="462" t="s">
        <v>889</v>
      </c>
      <c r="J9" s="462" t="s">
        <v>890</v>
      </c>
      <c r="K9" s="462" t="s">
        <v>889</v>
      </c>
      <c r="L9" s="462" t="s">
        <v>890</v>
      </c>
      <c r="M9" s="462" t="s">
        <v>889</v>
      </c>
      <c r="N9" s="462" t="s">
        <v>890</v>
      </c>
      <c r="O9" s="462" t="s">
        <v>889</v>
      </c>
      <c r="P9" s="462" t="s">
        <v>890</v>
      </c>
      <c r="Q9" s="276">
        <v>30</v>
      </c>
      <c r="R9" s="467" t="e">
        <f t="shared" si="0"/>
        <v>#VALUE!</v>
      </c>
      <c r="S9" s="468" t="e">
        <f t="shared" si="1"/>
        <v>#VALUE!</v>
      </c>
      <c r="T9" s="468" t="e">
        <f t="shared" si="2"/>
        <v>#VALUE!</v>
      </c>
      <c r="U9" s="468" t="e">
        <f t="shared" si="3"/>
        <v>#VALUE!</v>
      </c>
      <c r="V9" s="467" t="e">
        <f t="shared" si="4"/>
        <v>#VALUE!</v>
      </c>
      <c r="W9" s="468" t="e">
        <f t="shared" si="5"/>
        <v>#VALUE!</v>
      </c>
      <c r="X9" s="468" t="e">
        <f t="shared" si="6"/>
        <v>#VALUE!</v>
      </c>
      <c r="Y9" s="468" t="e">
        <f t="shared" si="7"/>
        <v>#VALUE!</v>
      </c>
      <c r="Z9" s="469" t="e">
        <f t="shared" si="8"/>
        <v>#VALUE!</v>
      </c>
      <c r="AA9" s="469" t="e">
        <f t="shared" si="8"/>
        <v>#VALUE!</v>
      </c>
      <c r="AB9" s="469" t="e">
        <f t="shared" si="8"/>
        <v>#VALUE!</v>
      </c>
      <c r="AC9" s="469" t="e">
        <f t="shared" si="8"/>
        <v>#VALUE!</v>
      </c>
    </row>
    <row r="10" spans="1:30" ht="27.6" customHeight="1">
      <c r="A10" s="276">
        <v>4</v>
      </c>
      <c r="B10" s="162" t="s">
        <v>55</v>
      </c>
      <c r="C10" s="462">
        <v>1</v>
      </c>
      <c r="D10" s="462">
        <v>1</v>
      </c>
      <c r="E10" s="462">
        <v>1</v>
      </c>
      <c r="F10" s="462">
        <v>1</v>
      </c>
      <c r="G10" s="696"/>
      <c r="H10" s="696"/>
      <c r="I10" s="462" t="s">
        <v>889</v>
      </c>
      <c r="J10" s="462" t="s">
        <v>890</v>
      </c>
      <c r="K10" s="462" t="s">
        <v>889</v>
      </c>
      <c r="L10" s="462" t="s">
        <v>890</v>
      </c>
      <c r="M10" s="462" t="s">
        <v>889</v>
      </c>
      <c r="N10" s="462" t="s">
        <v>890</v>
      </c>
      <c r="O10" s="462" t="s">
        <v>889</v>
      </c>
      <c r="P10" s="462" t="s">
        <v>890</v>
      </c>
      <c r="Q10" s="276">
        <v>30</v>
      </c>
      <c r="R10" s="467" t="e">
        <f t="shared" si="0"/>
        <v>#VALUE!</v>
      </c>
      <c r="S10" s="468" t="e">
        <f t="shared" si="1"/>
        <v>#VALUE!</v>
      </c>
      <c r="T10" s="468" t="e">
        <f t="shared" si="2"/>
        <v>#VALUE!</v>
      </c>
      <c r="U10" s="468" t="e">
        <f t="shared" si="3"/>
        <v>#VALUE!</v>
      </c>
      <c r="V10" s="467" t="e">
        <f t="shared" si="4"/>
        <v>#VALUE!</v>
      </c>
      <c r="W10" s="468" t="e">
        <f t="shared" si="5"/>
        <v>#VALUE!</v>
      </c>
      <c r="X10" s="468" t="e">
        <f t="shared" si="6"/>
        <v>#VALUE!</v>
      </c>
      <c r="Y10" s="468" t="e">
        <f t="shared" si="7"/>
        <v>#VALUE!</v>
      </c>
      <c r="Z10" s="469" t="e">
        <f t="shared" si="8"/>
        <v>#VALUE!</v>
      </c>
      <c r="AA10" s="469" t="e">
        <f t="shared" si="8"/>
        <v>#VALUE!</v>
      </c>
      <c r="AB10" s="469" t="e">
        <f t="shared" si="8"/>
        <v>#VALUE!</v>
      </c>
      <c r="AC10" s="469" t="e">
        <f t="shared" si="8"/>
        <v>#VALUE!</v>
      </c>
      <c r="AD10" s="470" t="s">
        <v>572</v>
      </c>
    </row>
    <row r="11" spans="1:30">
      <c r="A11" s="276">
        <v>5</v>
      </c>
      <c r="B11" s="162" t="s">
        <v>56</v>
      </c>
      <c r="C11" s="462">
        <v>1</v>
      </c>
      <c r="D11" s="462">
        <v>1</v>
      </c>
      <c r="E11" s="462">
        <v>1</v>
      </c>
      <c r="F11" s="462">
        <v>1</v>
      </c>
      <c r="G11" s="696"/>
      <c r="H11" s="696"/>
      <c r="I11" s="462" t="s">
        <v>889</v>
      </c>
      <c r="J11" s="462" t="s">
        <v>890</v>
      </c>
      <c r="K11" s="462" t="s">
        <v>889</v>
      </c>
      <c r="L11" s="462" t="s">
        <v>890</v>
      </c>
      <c r="M11" s="462" t="s">
        <v>889</v>
      </c>
      <c r="N11" s="462" t="s">
        <v>890</v>
      </c>
      <c r="O11" s="462" t="s">
        <v>889</v>
      </c>
      <c r="P11" s="462" t="s">
        <v>890</v>
      </c>
      <c r="Q11" s="276">
        <v>30</v>
      </c>
      <c r="R11" s="467" t="e">
        <f t="shared" si="0"/>
        <v>#VALUE!</v>
      </c>
      <c r="S11" s="468" t="e">
        <f t="shared" si="1"/>
        <v>#VALUE!</v>
      </c>
      <c r="T11" s="468" t="e">
        <f t="shared" si="2"/>
        <v>#VALUE!</v>
      </c>
      <c r="U11" s="468" t="e">
        <f t="shared" si="3"/>
        <v>#VALUE!</v>
      </c>
      <c r="V11" s="467" t="e">
        <f t="shared" si="4"/>
        <v>#VALUE!</v>
      </c>
      <c r="W11" s="468" t="e">
        <f t="shared" si="5"/>
        <v>#VALUE!</v>
      </c>
      <c r="X11" s="468" t="e">
        <f t="shared" si="6"/>
        <v>#VALUE!</v>
      </c>
      <c r="Y11" s="468" t="e">
        <f t="shared" si="7"/>
        <v>#VALUE!</v>
      </c>
      <c r="Z11" s="469" t="e">
        <f t="shared" si="8"/>
        <v>#VALUE!</v>
      </c>
      <c r="AA11" s="469" t="e">
        <f t="shared" si="8"/>
        <v>#VALUE!</v>
      </c>
      <c r="AB11" s="469" t="e">
        <f t="shared" si="8"/>
        <v>#VALUE!</v>
      </c>
      <c r="AC11" s="469" t="e">
        <f t="shared" si="8"/>
        <v>#VALUE!</v>
      </c>
      <c r="AD11" s="470"/>
    </row>
    <row r="12" spans="1:30">
      <c r="A12" s="276">
        <v>6</v>
      </c>
      <c r="B12" s="162" t="s">
        <v>487</v>
      </c>
      <c r="C12" s="462">
        <v>1</v>
      </c>
      <c r="D12" s="462">
        <v>1</v>
      </c>
      <c r="E12" s="462">
        <v>1</v>
      </c>
      <c r="F12" s="462">
        <v>1</v>
      </c>
      <c r="G12" s="696"/>
      <c r="H12" s="696"/>
      <c r="I12" s="462" t="s">
        <v>889</v>
      </c>
      <c r="J12" s="462" t="s">
        <v>890</v>
      </c>
      <c r="K12" s="462" t="s">
        <v>889</v>
      </c>
      <c r="L12" s="462" t="s">
        <v>890</v>
      </c>
      <c r="M12" s="462" t="s">
        <v>889</v>
      </c>
      <c r="N12" s="462" t="s">
        <v>890</v>
      </c>
      <c r="O12" s="462" t="s">
        <v>889</v>
      </c>
      <c r="P12" s="462" t="s">
        <v>890</v>
      </c>
      <c r="Q12" s="276">
        <v>30</v>
      </c>
      <c r="R12" s="467" t="e">
        <f t="shared" si="0"/>
        <v>#VALUE!</v>
      </c>
      <c r="S12" s="468" t="e">
        <f t="shared" si="1"/>
        <v>#VALUE!</v>
      </c>
      <c r="T12" s="468" t="e">
        <f t="shared" si="2"/>
        <v>#VALUE!</v>
      </c>
      <c r="U12" s="468" t="e">
        <f t="shared" si="3"/>
        <v>#VALUE!</v>
      </c>
      <c r="V12" s="467" t="e">
        <f t="shared" si="4"/>
        <v>#VALUE!</v>
      </c>
      <c r="W12" s="468" t="e">
        <f t="shared" si="5"/>
        <v>#VALUE!</v>
      </c>
      <c r="X12" s="468" t="e">
        <f t="shared" si="6"/>
        <v>#VALUE!</v>
      </c>
      <c r="Y12" s="468" t="e">
        <f t="shared" si="7"/>
        <v>#VALUE!</v>
      </c>
      <c r="Z12" s="469" t="e">
        <f t="shared" si="8"/>
        <v>#VALUE!</v>
      </c>
      <c r="AA12" s="469" t="e">
        <f t="shared" si="8"/>
        <v>#VALUE!</v>
      </c>
      <c r="AB12" s="469" t="e">
        <f t="shared" si="8"/>
        <v>#VALUE!</v>
      </c>
      <c r="AC12" s="469" t="e">
        <f t="shared" si="8"/>
        <v>#VALUE!</v>
      </c>
    </row>
    <row r="13" spans="1:30">
      <c r="A13" s="276">
        <v>7</v>
      </c>
      <c r="B13" s="162" t="s">
        <v>57</v>
      </c>
      <c r="C13" s="462">
        <v>1</v>
      </c>
      <c r="D13" s="462">
        <v>1</v>
      </c>
      <c r="E13" s="462">
        <v>1</v>
      </c>
      <c r="F13" s="462">
        <v>1</v>
      </c>
      <c r="G13" s="696"/>
      <c r="H13" s="696"/>
      <c r="I13" s="462" t="s">
        <v>889</v>
      </c>
      <c r="J13" s="462" t="s">
        <v>890</v>
      </c>
      <c r="K13" s="462" t="s">
        <v>889</v>
      </c>
      <c r="L13" s="462" t="s">
        <v>890</v>
      </c>
      <c r="M13" s="462" t="s">
        <v>889</v>
      </c>
      <c r="N13" s="462" t="s">
        <v>890</v>
      </c>
      <c r="O13" s="462" t="s">
        <v>889</v>
      </c>
      <c r="P13" s="462" t="s">
        <v>890</v>
      </c>
      <c r="Q13" s="276">
        <v>30</v>
      </c>
      <c r="R13" s="467" t="e">
        <f t="shared" si="0"/>
        <v>#VALUE!</v>
      </c>
      <c r="S13" s="468" t="e">
        <f t="shared" si="1"/>
        <v>#VALUE!</v>
      </c>
      <c r="T13" s="468" t="e">
        <f t="shared" si="2"/>
        <v>#VALUE!</v>
      </c>
      <c r="U13" s="468" t="e">
        <f t="shared" si="3"/>
        <v>#VALUE!</v>
      </c>
      <c r="V13" s="467" t="e">
        <f t="shared" si="4"/>
        <v>#VALUE!</v>
      </c>
      <c r="W13" s="468" t="e">
        <f t="shared" si="5"/>
        <v>#VALUE!</v>
      </c>
      <c r="X13" s="468" t="e">
        <f t="shared" si="6"/>
        <v>#VALUE!</v>
      </c>
      <c r="Y13" s="468" t="e">
        <f t="shared" si="7"/>
        <v>#VALUE!</v>
      </c>
      <c r="Z13" s="469" t="e">
        <f t="shared" si="8"/>
        <v>#VALUE!</v>
      </c>
      <c r="AA13" s="469" t="e">
        <f t="shared" si="8"/>
        <v>#VALUE!</v>
      </c>
      <c r="AB13" s="469" t="e">
        <f t="shared" si="8"/>
        <v>#VALUE!</v>
      </c>
      <c r="AC13" s="469" t="e">
        <f t="shared" si="8"/>
        <v>#VALUE!</v>
      </c>
    </row>
    <row r="14" spans="1:30">
      <c r="A14" s="276">
        <v>8</v>
      </c>
      <c r="B14" s="162" t="s">
        <v>58</v>
      </c>
      <c r="C14" s="462">
        <v>1</v>
      </c>
      <c r="D14" s="462">
        <v>1</v>
      </c>
      <c r="E14" s="462">
        <v>1</v>
      </c>
      <c r="F14" s="462">
        <v>1</v>
      </c>
      <c r="G14" s="696"/>
      <c r="H14" s="696"/>
      <c r="I14" s="462" t="s">
        <v>889</v>
      </c>
      <c r="J14" s="462" t="s">
        <v>890</v>
      </c>
      <c r="K14" s="462" t="s">
        <v>889</v>
      </c>
      <c r="L14" s="462" t="s">
        <v>890</v>
      </c>
      <c r="M14" s="462" t="s">
        <v>889</v>
      </c>
      <c r="N14" s="462" t="s">
        <v>890</v>
      </c>
      <c r="O14" s="462" t="s">
        <v>889</v>
      </c>
      <c r="P14" s="462" t="s">
        <v>890</v>
      </c>
      <c r="Q14" s="276">
        <v>30</v>
      </c>
      <c r="R14" s="467" t="e">
        <f t="shared" si="0"/>
        <v>#VALUE!</v>
      </c>
      <c r="S14" s="468" t="e">
        <f t="shared" si="1"/>
        <v>#VALUE!</v>
      </c>
      <c r="T14" s="468" t="e">
        <f t="shared" si="2"/>
        <v>#VALUE!</v>
      </c>
      <c r="U14" s="468" t="e">
        <f t="shared" si="3"/>
        <v>#VALUE!</v>
      </c>
      <c r="V14" s="467" t="e">
        <f t="shared" si="4"/>
        <v>#VALUE!</v>
      </c>
      <c r="W14" s="468" t="e">
        <f t="shared" si="5"/>
        <v>#VALUE!</v>
      </c>
      <c r="X14" s="468" t="e">
        <f t="shared" si="6"/>
        <v>#VALUE!</v>
      </c>
      <c r="Y14" s="468" t="e">
        <f t="shared" si="7"/>
        <v>#VALUE!</v>
      </c>
      <c r="Z14" s="469" t="e">
        <f t="shared" si="8"/>
        <v>#VALUE!</v>
      </c>
      <c r="AA14" s="469" t="e">
        <f t="shared" si="8"/>
        <v>#VALUE!</v>
      </c>
      <c r="AB14" s="469" t="e">
        <f t="shared" si="8"/>
        <v>#VALUE!</v>
      </c>
      <c r="AC14" s="469" t="e">
        <f t="shared" si="8"/>
        <v>#VALUE!</v>
      </c>
    </row>
    <row r="15" spans="1:30">
      <c r="A15" s="276">
        <v>9</v>
      </c>
      <c r="B15" s="162" t="s">
        <v>59</v>
      </c>
      <c r="C15" s="462">
        <v>1</v>
      </c>
      <c r="D15" s="462">
        <v>1</v>
      </c>
      <c r="E15" s="462">
        <v>1</v>
      </c>
      <c r="F15" s="462">
        <v>1</v>
      </c>
      <c r="G15" s="696"/>
      <c r="H15" s="696"/>
      <c r="I15" s="462" t="s">
        <v>889</v>
      </c>
      <c r="J15" s="462" t="s">
        <v>890</v>
      </c>
      <c r="K15" s="462" t="s">
        <v>889</v>
      </c>
      <c r="L15" s="462" t="s">
        <v>890</v>
      </c>
      <c r="M15" s="462" t="s">
        <v>889</v>
      </c>
      <c r="N15" s="462" t="s">
        <v>890</v>
      </c>
      <c r="O15" s="462" t="s">
        <v>889</v>
      </c>
      <c r="P15" s="462" t="s">
        <v>890</v>
      </c>
      <c r="Q15" s="276">
        <v>30</v>
      </c>
      <c r="R15" s="467" t="e">
        <f t="shared" si="0"/>
        <v>#VALUE!</v>
      </c>
      <c r="S15" s="468" t="e">
        <f t="shared" si="1"/>
        <v>#VALUE!</v>
      </c>
      <c r="T15" s="468" t="e">
        <f t="shared" si="2"/>
        <v>#VALUE!</v>
      </c>
      <c r="U15" s="468" t="e">
        <f t="shared" si="3"/>
        <v>#VALUE!</v>
      </c>
      <c r="V15" s="467" t="e">
        <f t="shared" si="4"/>
        <v>#VALUE!</v>
      </c>
      <c r="W15" s="468" t="e">
        <f t="shared" si="5"/>
        <v>#VALUE!</v>
      </c>
      <c r="X15" s="468" t="e">
        <f t="shared" si="6"/>
        <v>#VALUE!</v>
      </c>
      <c r="Y15" s="468" t="e">
        <f t="shared" si="7"/>
        <v>#VALUE!</v>
      </c>
      <c r="Z15" s="469" t="e">
        <f t="shared" si="8"/>
        <v>#VALUE!</v>
      </c>
      <c r="AA15" s="469" t="e">
        <f t="shared" si="8"/>
        <v>#VALUE!</v>
      </c>
      <c r="AB15" s="469" t="e">
        <f t="shared" si="8"/>
        <v>#VALUE!</v>
      </c>
      <c r="AC15" s="469" t="e">
        <f t="shared" si="8"/>
        <v>#VALUE!</v>
      </c>
    </row>
    <row r="16" spans="1:30">
      <c r="A16" s="276">
        <v>10</v>
      </c>
      <c r="B16" s="162" t="s">
        <v>60</v>
      </c>
      <c r="C16" s="462">
        <v>1</v>
      </c>
      <c r="D16" s="462">
        <v>1</v>
      </c>
      <c r="E16" s="462">
        <v>1</v>
      </c>
      <c r="F16" s="462">
        <v>1</v>
      </c>
      <c r="G16" s="696"/>
      <c r="H16" s="696"/>
      <c r="I16" s="462" t="s">
        <v>889</v>
      </c>
      <c r="J16" s="462" t="s">
        <v>890</v>
      </c>
      <c r="K16" s="462" t="s">
        <v>889</v>
      </c>
      <c r="L16" s="462" t="s">
        <v>890</v>
      </c>
      <c r="M16" s="462" t="s">
        <v>889</v>
      </c>
      <c r="N16" s="462" t="s">
        <v>890</v>
      </c>
      <c r="O16" s="462" t="s">
        <v>889</v>
      </c>
      <c r="P16" s="462" t="s">
        <v>890</v>
      </c>
      <c r="Q16" s="276">
        <v>30</v>
      </c>
      <c r="R16" s="467" t="e">
        <f t="shared" si="0"/>
        <v>#VALUE!</v>
      </c>
      <c r="S16" s="468" t="e">
        <f t="shared" si="1"/>
        <v>#VALUE!</v>
      </c>
      <c r="T16" s="468" t="e">
        <f t="shared" si="2"/>
        <v>#VALUE!</v>
      </c>
      <c r="U16" s="468" t="e">
        <f t="shared" si="3"/>
        <v>#VALUE!</v>
      </c>
      <c r="V16" s="467" t="e">
        <f t="shared" si="4"/>
        <v>#VALUE!</v>
      </c>
      <c r="W16" s="468" t="e">
        <f t="shared" si="5"/>
        <v>#VALUE!</v>
      </c>
      <c r="X16" s="468" t="e">
        <f t="shared" si="6"/>
        <v>#VALUE!</v>
      </c>
      <c r="Y16" s="468" t="e">
        <f t="shared" si="7"/>
        <v>#VALUE!</v>
      </c>
      <c r="Z16" s="469" t="e">
        <f t="shared" si="8"/>
        <v>#VALUE!</v>
      </c>
      <c r="AA16" s="469" t="e">
        <f t="shared" si="8"/>
        <v>#VALUE!</v>
      </c>
      <c r="AB16" s="469" t="e">
        <f t="shared" si="8"/>
        <v>#VALUE!</v>
      </c>
      <c r="AC16" s="469" t="e">
        <f t="shared" si="8"/>
        <v>#VALUE!</v>
      </c>
    </row>
    <row r="17" spans="1:29">
      <c r="A17" s="276">
        <v>11</v>
      </c>
      <c r="B17" s="162" t="s">
        <v>61</v>
      </c>
      <c r="C17" s="462">
        <v>1</v>
      </c>
      <c r="D17" s="462">
        <v>1</v>
      </c>
      <c r="E17" s="462">
        <v>1</v>
      </c>
      <c r="F17" s="462">
        <v>1</v>
      </c>
      <c r="G17" s="696"/>
      <c r="H17" s="696"/>
      <c r="I17" s="462" t="s">
        <v>889</v>
      </c>
      <c r="J17" s="462" t="s">
        <v>890</v>
      </c>
      <c r="K17" s="462" t="s">
        <v>889</v>
      </c>
      <c r="L17" s="462" t="s">
        <v>890</v>
      </c>
      <c r="M17" s="462" t="s">
        <v>889</v>
      </c>
      <c r="N17" s="462" t="s">
        <v>890</v>
      </c>
      <c r="O17" s="462" t="s">
        <v>889</v>
      </c>
      <c r="P17" s="462" t="s">
        <v>890</v>
      </c>
      <c r="Q17" s="276">
        <v>30</v>
      </c>
      <c r="R17" s="467" t="e">
        <f t="shared" si="0"/>
        <v>#VALUE!</v>
      </c>
      <c r="S17" s="468" t="e">
        <f t="shared" si="1"/>
        <v>#VALUE!</v>
      </c>
      <c r="T17" s="468" t="e">
        <f t="shared" si="2"/>
        <v>#VALUE!</v>
      </c>
      <c r="U17" s="468" t="e">
        <f t="shared" si="3"/>
        <v>#VALUE!</v>
      </c>
      <c r="V17" s="467" t="e">
        <f t="shared" si="4"/>
        <v>#VALUE!</v>
      </c>
      <c r="W17" s="468" t="e">
        <f t="shared" si="5"/>
        <v>#VALUE!</v>
      </c>
      <c r="X17" s="468" t="e">
        <f t="shared" si="6"/>
        <v>#VALUE!</v>
      </c>
      <c r="Y17" s="468" t="e">
        <f t="shared" si="7"/>
        <v>#VALUE!</v>
      </c>
      <c r="Z17" s="469" t="e">
        <f t="shared" si="8"/>
        <v>#VALUE!</v>
      </c>
      <c r="AA17" s="469" t="e">
        <f t="shared" si="8"/>
        <v>#VALUE!</v>
      </c>
      <c r="AB17" s="469" t="e">
        <f t="shared" si="8"/>
        <v>#VALUE!</v>
      </c>
      <c r="AC17" s="469" t="e">
        <f t="shared" si="8"/>
        <v>#VALUE!</v>
      </c>
    </row>
    <row r="18" spans="1:29">
      <c r="A18" s="276">
        <v>12</v>
      </c>
      <c r="B18" s="162" t="s">
        <v>62</v>
      </c>
      <c r="C18" s="462">
        <v>1</v>
      </c>
      <c r="D18" s="462">
        <v>1</v>
      </c>
      <c r="E18" s="462">
        <v>1</v>
      </c>
      <c r="F18" s="462">
        <v>1</v>
      </c>
      <c r="G18" s="696"/>
      <c r="H18" s="696"/>
      <c r="I18" s="462" t="s">
        <v>889</v>
      </c>
      <c r="J18" s="462" t="s">
        <v>891</v>
      </c>
      <c r="K18" s="462" t="s">
        <v>889</v>
      </c>
      <c r="L18" s="462" t="s">
        <v>891</v>
      </c>
      <c r="M18" s="462" t="s">
        <v>889</v>
      </c>
      <c r="N18" s="462" t="s">
        <v>891</v>
      </c>
      <c r="O18" s="462" t="s">
        <v>889</v>
      </c>
      <c r="P18" s="462" t="s">
        <v>891</v>
      </c>
      <c r="Q18" s="276">
        <v>30</v>
      </c>
      <c r="R18" s="467" t="e">
        <f t="shared" si="0"/>
        <v>#VALUE!</v>
      </c>
      <c r="S18" s="468" t="e">
        <f t="shared" si="1"/>
        <v>#VALUE!</v>
      </c>
      <c r="T18" s="468" t="e">
        <f t="shared" si="2"/>
        <v>#VALUE!</v>
      </c>
      <c r="U18" s="468" t="e">
        <f t="shared" si="3"/>
        <v>#VALUE!</v>
      </c>
      <c r="V18" s="467" t="e">
        <f t="shared" si="4"/>
        <v>#VALUE!</v>
      </c>
      <c r="W18" s="468" t="e">
        <f t="shared" si="5"/>
        <v>#VALUE!</v>
      </c>
      <c r="X18" s="468" t="e">
        <f t="shared" si="6"/>
        <v>#VALUE!</v>
      </c>
      <c r="Y18" s="468" t="e">
        <f t="shared" si="7"/>
        <v>#VALUE!</v>
      </c>
      <c r="Z18" s="469" t="e">
        <f t="shared" si="8"/>
        <v>#VALUE!</v>
      </c>
      <c r="AA18" s="469" t="e">
        <f t="shared" si="8"/>
        <v>#VALUE!</v>
      </c>
      <c r="AB18" s="469" t="e">
        <f t="shared" si="8"/>
        <v>#VALUE!</v>
      </c>
      <c r="AC18" s="469" t="e">
        <f t="shared" si="8"/>
        <v>#VALUE!</v>
      </c>
    </row>
    <row r="19" spans="1:29">
      <c r="A19" s="276">
        <v>13</v>
      </c>
      <c r="B19" s="162" t="s">
        <v>63</v>
      </c>
      <c r="C19" s="462">
        <v>1</v>
      </c>
      <c r="D19" s="462">
        <v>1</v>
      </c>
      <c r="E19" s="462">
        <v>1</v>
      </c>
      <c r="F19" s="462">
        <v>1</v>
      </c>
      <c r="G19" s="696"/>
      <c r="H19" s="696"/>
      <c r="I19" s="462" t="s">
        <v>889</v>
      </c>
      <c r="J19" s="462" t="s">
        <v>891</v>
      </c>
      <c r="K19" s="462" t="s">
        <v>889</v>
      </c>
      <c r="L19" s="462" t="s">
        <v>891</v>
      </c>
      <c r="M19" s="462" t="s">
        <v>889</v>
      </c>
      <c r="N19" s="462" t="s">
        <v>891</v>
      </c>
      <c r="O19" s="462" t="s">
        <v>889</v>
      </c>
      <c r="P19" s="462" t="s">
        <v>891</v>
      </c>
      <c r="Q19" s="276">
        <v>30</v>
      </c>
      <c r="R19" s="467" t="e">
        <f t="shared" si="0"/>
        <v>#VALUE!</v>
      </c>
      <c r="S19" s="468" t="e">
        <f t="shared" si="1"/>
        <v>#VALUE!</v>
      </c>
      <c r="T19" s="468" t="e">
        <f t="shared" si="2"/>
        <v>#VALUE!</v>
      </c>
      <c r="U19" s="468" t="e">
        <f t="shared" si="3"/>
        <v>#VALUE!</v>
      </c>
      <c r="V19" s="467" t="e">
        <f t="shared" si="4"/>
        <v>#VALUE!</v>
      </c>
      <c r="W19" s="468" t="e">
        <f t="shared" si="5"/>
        <v>#VALUE!</v>
      </c>
      <c r="X19" s="468" t="e">
        <f t="shared" si="6"/>
        <v>#VALUE!</v>
      </c>
      <c r="Y19" s="468" t="e">
        <f t="shared" si="7"/>
        <v>#VALUE!</v>
      </c>
      <c r="Z19" s="469" t="e">
        <f t="shared" si="8"/>
        <v>#VALUE!</v>
      </c>
      <c r="AA19" s="469" t="e">
        <f t="shared" si="8"/>
        <v>#VALUE!</v>
      </c>
      <c r="AB19" s="469" t="e">
        <f t="shared" si="8"/>
        <v>#VALUE!</v>
      </c>
      <c r="AC19" s="469" t="e">
        <f t="shared" si="8"/>
        <v>#VALUE!</v>
      </c>
    </row>
    <row r="20" spans="1:29">
      <c r="A20" s="276">
        <v>14</v>
      </c>
      <c r="B20" s="162" t="s">
        <v>64</v>
      </c>
      <c r="C20" s="462">
        <v>1</v>
      </c>
      <c r="D20" s="462">
        <v>1</v>
      </c>
      <c r="E20" s="462">
        <v>1</v>
      </c>
      <c r="F20" s="462">
        <v>1</v>
      </c>
      <c r="G20" s="696"/>
      <c r="H20" s="696"/>
      <c r="I20" s="462" t="s">
        <v>889</v>
      </c>
      <c r="J20" s="462" t="s">
        <v>891</v>
      </c>
      <c r="K20" s="462" t="s">
        <v>889</v>
      </c>
      <c r="L20" s="462" t="s">
        <v>891</v>
      </c>
      <c r="M20" s="462" t="s">
        <v>889</v>
      </c>
      <c r="N20" s="462" t="s">
        <v>891</v>
      </c>
      <c r="O20" s="462" t="s">
        <v>889</v>
      </c>
      <c r="P20" s="462" t="s">
        <v>891</v>
      </c>
      <c r="Q20" s="276">
        <v>30</v>
      </c>
      <c r="R20" s="467" t="e">
        <f t="shared" si="0"/>
        <v>#VALUE!</v>
      </c>
      <c r="S20" s="468" t="e">
        <f t="shared" si="1"/>
        <v>#VALUE!</v>
      </c>
      <c r="T20" s="468" t="e">
        <f t="shared" si="2"/>
        <v>#VALUE!</v>
      </c>
      <c r="U20" s="468" t="e">
        <f t="shared" si="3"/>
        <v>#VALUE!</v>
      </c>
      <c r="V20" s="467" t="e">
        <f t="shared" si="4"/>
        <v>#VALUE!</v>
      </c>
      <c r="W20" s="468" t="e">
        <f t="shared" si="5"/>
        <v>#VALUE!</v>
      </c>
      <c r="X20" s="468" t="e">
        <f t="shared" si="6"/>
        <v>#VALUE!</v>
      </c>
      <c r="Y20" s="468" t="e">
        <f t="shared" si="7"/>
        <v>#VALUE!</v>
      </c>
      <c r="Z20" s="469" t="e">
        <f t="shared" si="8"/>
        <v>#VALUE!</v>
      </c>
      <c r="AA20" s="469" t="e">
        <f t="shared" si="8"/>
        <v>#VALUE!</v>
      </c>
      <c r="AB20" s="469" t="e">
        <f t="shared" si="8"/>
        <v>#VALUE!</v>
      </c>
      <c r="AC20" s="469" t="e">
        <f t="shared" si="8"/>
        <v>#VALUE!</v>
      </c>
    </row>
    <row r="21" spans="1:29" hidden="1">
      <c r="A21" s="276">
        <v>15</v>
      </c>
      <c r="B21" s="162" t="s">
        <v>65</v>
      </c>
      <c r="C21" s="462"/>
      <c r="D21" s="462"/>
      <c r="E21" s="462"/>
      <c r="F21" s="462"/>
      <c r="G21" s="696"/>
      <c r="H21" s="696"/>
      <c r="I21" s="462"/>
      <c r="J21" s="462"/>
      <c r="K21" s="462"/>
      <c r="L21" s="462"/>
      <c r="M21" s="462"/>
      <c r="N21" s="462"/>
      <c r="O21" s="462"/>
      <c r="P21" s="462"/>
      <c r="Q21" s="276"/>
      <c r="R21" s="467">
        <f t="shared" si="0"/>
        <v>0</v>
      </c>
      <c r="S21" s="468">
        <f t="shared" si="1"/>
        <v>0</v>
      </c>
      <c r="T21" s="468">
        <f t="shared" si="2"/>
        <v>0</v>
      </c>
      <c r="U21" s="468">
        <f t="shared" si="3"/>
        <v>0</v>
      </c>
      <c r="V21" s="467">
        <f t="shared" si="4"/>
        <v>0</v>
      </c>
      <c r="W21" s="468">
        <f t="shared" si="5"/>
        <v>0</v>
      </c>
      <c r="X21" s="468">
        <f t="shared" si="6"/>
        <v>0</v>
      </c>
      <c r="Y21" s="468">
        <f t="shared" si="7"/>
        <v>0</v>
      </c>
      <c r="Z21" s="469" t="e">
        <f t="shared" si="8"/>
        <v>#DIV/0!</v>
      </c>
      <c r="AA21" s="469" t="e">
        <f t="shared" si="8"/>
        <v>#DIV/0!</v>
      </c>
      <c r="AB21" s="469" t="e">
        <f t="shared" si="8"/>
        <v>#DIV/0!</v>
      </c>
      <c r="AC21" s="469" t="e">
        <f t="shared" si="8"/>
        <v>#DIV/0!</v>
      </c>
    </row>
    <row r="22" spans="1:29">
      <c r="A22" s="276">
        <v>16</v>
      </c>
      <c r="B22" s="162" t="s">
        <v>66</v>
      </c>
      <c r="C22" s="462">
        <v>1</v>
      </c>
      <c r="D22" s="462">
        <v>1</v>
      </c>
      <c r="E22" s="462">
        <v>1</v>
      </c>
      <c r="F22" s="462">
        <v>1</v>
      </c>
      <c r="G22" s="696"/>
      <c r="H22" s="696"/>
      <c r="I22" s="462" t="s">
        <v>889</v>
      </c>
      <c r="J22" s="462" t="s">
        <v>891</v>
      </c>
      <c r="K22" s="462" t="s">
        <v>889</v>
      </c>
      <c r="L22" s="462" t="s">
        <v>891</v>
      </c>
      <c r="M22" s="462" t="s">
        <v>889</v>
      </c>
      <c r="N22" s="462" t="s">
        <v>891</v>
      </c>
      <c r="O22" s="462" t="s">
        <v>889</v>
      </c>
      <c r="P22" s="462" t="s">
        <v>891</v>
      </c>
      <c r="Q22" s="276">
        <v>30</v>
      </c>
      <c r="R22" s="467" t="e">
        <f t="shared" si="0"/>
        <v>#VALUE!</v>
      </c>
      <c r="S22" s="468" t="e">
        <f t="shared" si="1"/>
        <v>#VALUE!</v>
      </c>
      <c r="T22" s="468" t="e">
        <f t="shared" si="2"/>
        <v>#VALUE!</v>
      </c>
      <c r="U22" s="468" t="e">
        <f t="shared" si="3"/>
        <v>#VALUE!</v>
      </c>
      <c r="V22" s="467" t="e">
        <f t="shared" si="4"/>
        <v>#VALUE!</v>
      </c>
      <c r="W22" s="468" t="e">
        <f t="shared" si="5"/>
        <v>#VALUE!</v>
      </c>
      <c r="X22" s="468" t="e">
        <f t="shared" si="6"/>
        <v>#VALUE!</v>
      </c>
      <c r="Y22" s="468" t="e">
        <f t="shared" si="7"/>
        <v>#VALUE!</v>
      </c>
      <c r="Z22" s="469" t="e">
        <f t="shared" si="8"/>
        <v>#VALUE!</v>
      </c>
      <c r="AA22" s="469" t="e">
        <f t="shared" si="8"/>
        <v>#VALUE!</v>
      </c>
      <c r="AB22" s="469" t="e">
        <f t="shared" si="8"/>
        <v>#VALUE!</v>
      </c>
      <c r="AC22" s="469" t="e">
        <f t="shared" si="8"/>
        <v>#VALUE!</v>
      </c>
    </row>
    <row r="23" spans="1:29">
      <c r="A23" s="276">
        <v>17</v>
      </c>
      <c r="B23" s="162" t="s">
        <v>67</v>
      </c>
      <c r="C23" s="462">
        <v>1</v>
      </c>
      <c r="D23" s="462">
        <v>1</v>
      </c>
      <c r="E23" s="462">
        <v>1</v>
      </c>
      <c r="F23" s="462">
        <v>1</v>
      </c>
      <c r="G23" s="696"/>
      <c r="H23" s="696"/>
      <c r="I23" s="462" t="s">
        <v>889</v>
      </c>
      <c r="J23" s="462" t="s">
        <v>891</v>
      </c>
      <c r="K23" s="462" t="s">
        <v>889</v>
      </c>
      <c r="L23" s="462" t="s">
        <v>891</v>
      </c>
      <c r="M23" s="462" t="s">
        <v>889</v>
      </c>
      <c r="N23" s="462" t="s">
        <v>891</v>
      </c>
      <c r="O23" s="462" t="s">
        <v>889</v>
      </c>
      <c r="P23" s="462" t="s">
        <v>891</v>
      </c>
      <c r="Q23" s="276">
        <v>30</v>
      </c>
      <c r="R23" s="467" t="e">
        <f t="shared" si="0"/>
        <v>#VALUE!</v>
      </c>
      <c r="S23" s="468" t="e">
        <f t="shared" si="1"/>
        <v>#VALUE!</v>
      </c>
      <c r="T23" s="468" t="e">
        <f t="shared" si="2"/>
        <v>#VALUE!</v>
      </c>
      <c r="U23" s="468" t="e">
        <f t="shared" si="3"/>
        <v>#VALUE!</v>
      </c>
      <c r="V23" s="467" t="e">
        <f t="shared" si="4"/>
        <v>#VALUE!</v>
      </c>
      <c r="W23" s="468" t="e">
        <f t="shared" si="5"/>
        <v>#VALUE!</v>
      </c>
      <c r="X23" s="468" t="e">
        <f t="shared" si="6"/>
        <v>#VALUE!</v>
      </c>
      <c r="Y23" s="468" t="e">
        <f t="shared" si="7"/>
        <v>#VALUE!</v>
      </c>
      <c r="Z23" s="469" t="e">
        <f t="shared" si="8"/>
        <v>#VALUE!</v>
      </c>
      <c r="AA23" s="469" t="e">
        <f t="shared" si="8"/>
        <v>#VALUE!</v>
      </c>
      <c r="AB23" s="469" t="e">
        <f t="shared" si="8"/>
        <v>#VALUE!</v>
      </c>
      <c r="AC23" s="469" t="e">
        <f t="shared" si="8"/>
        <v>#VALUE!</v>
      </c>
    </row>
    <row r="24" spans="1:29">
      <c r="A24" s="276">
        <v>18</v>
      </c>
      <c r="B24" s="162" t="s">
        <v>68</v>
      </c>
      <c r="C24" s="462">
        <v>1</v>
      </c>
      <c r="D24" s="462">
        <v>1</v>
      </c>
      <c r="E24" s="462">
        <v>1</v>
      </c>
      <c r="F24" s="462">
        <v>1</v>
      </c>
      <c r="G24" s="696"/>
      <c r="H24" s="696"/>
      <c r="I24" s="462" t="s">
        <v>889</v>
      </c>
      <c r="J24" s="462" t="s">
        <v>891</v>
      </c>
      <c r="K24" s="462" t="s">
        <v>889</v>
      </c>
      <c r="L24" s="462" t="s">
        <v>891</v>
      </c>
      <c r="M24" s="462" t="s">
        <v>889</v>
      </c>
      <c r="N24" s="462" t="s">
        <v>891</v>
      </c>
      <c r="O24" s="462" t="s">
        <v>889</v>
      </c>
      <c r="P24" s="462" t="s">
        <v>891</v>
      </c>
      <c r="Q24" s="276">
        <v>30</v>
      </c>
      <c r="R24" s="467" t="e">
        <f t="shared" si="0"/>
        <v>#VALUE!</v>
      </c>
      <c r="S24" s="468" t="e">
        <f t="shared" si="1"/>
        <v>#VALUE!</v>
      </c>
      <c r="T24" s="468" t="e">
        <f t="shared" si="2"/>
        <v>#VALUE!</v>
      </c>
      <c r="U24" s="468" t="e">
        <f t="shared" si="3"/>
        <v>#VALUE!</v>
      </c>
      <c r="V24" s="467" t="e">
        <f t="shared" si="4"/>
        <v>#VALUE!</v>
      </c>
      <c r="W24" s="468" t="e">
        <f t="shared" si="5"/>
        <v>#VALUE!</v>
      </c>
      <c r="X24" s="468" t="e">
        <f t="shared" si="6"/>
        <v>#VALUE!</v>
      </c>
      <c r="Y24" s="468" t="e">
        <f t="shared" si="7"/>
        <v>#VALUE!</v>
      </c>
      <c r="Z24" s="469" t="e">
        <f t="shared" si="8"/>
        <v>#VALUE!</v>
      </c>
      <c r="AA24" s="469" t="e">
        <f t="shared" si="8"/>
        <v>#VALUE!</v>
      </c>
      <c r="AB24" s="469" t="e">
        <f t="shared" si="8"/>
        <v>#VALUE!</v>
      </c>
      <c r="AC24" s="469" t="e">
        <f t="shared" si="8"/>
        <v>#VALUE!</v>
      </c>
    </row>
    <row r="25" spans="1:29">
      <c r="A25" s="276">
        <v>19</v>
      </c>
      <c r="B25" s="162" t="s">
        <v>69</v>
      </c>
      <c r="C25" s="462">
        <v>1</v>
      </c>
      <c r="D25" s="462">
        <v>1</v>
      </c>
      <c r="E25" s="462">
        <v>1</v>
      </c>
      <c r="F25" s="462">
        <v>1</v>
      </c>
      <c r="G25" s="696"/>
      <c r="H25" s="696"/>
      <c r="I25" s="462" t="s">
        <v>889</v>
      </c>
      <c r="J25" s="462" t="s">
        <v>891</v>
      </c>
      <c r="K25" s="462" t="s">
        <v>889</v>
      </c>
      <c r="L25" s="462" t="s">
        <v>891</v>
      </c>
      <c r="M25" s="462" t="s">
        <v>889</v>
      </c>
      <c r="N25" s="462" t="s">
        <v>891</v>
      </c>
      <c r="O25" s="462" t="s">
        <v>889</v>
      </c>
      <c r="P25" s="462" t="s">
        <v>891</v>
      </c>
      <c r="Q25" s="276">
        <v>30</v>
      </c>
      <c r="R25" s="467" t="e">
        <f t="shared" si="0"/>
        <v>#VALUE!</v>
      </c>
      <c r="S25" s="468" t="e">
        <f t="shared" si="1"/>
        <v>#VALUE!</v>
      </c>
      <c r="T25" s="468" t="e">
        <f t="shared" si="2"/>
        <v>#VALUE!</v>
      </c>
      <c r="U25" s="468" t="e">
        <f t="shared" si="3"/>
        <v>#VALUE!</v>
      </c>
      <c r="V25" s="467" t="e">
        <f t="shared" si="4"/>
        <v>#VALUE!</v>
      </c>
      <c r="W25" s="468" t="e">
        <f t="shared" si="5"/>
        <v>#VALUE!</v>
      </c>
      <c r="X25" s="468" t="e">
        <f t="shared" si="6"/>
        <v>#VALUE!</v>
      </c>
      <c r="Y25" s="468" t="e">
        <f t="shared" si="7"/>
        <v>#VALUE!</v>
      </c>
      <c r="Z25" s="469" t="e">
        <f t="shared" si="8"/>
        <v>#VALUE!</v>
      </c>
      <c r="AA25" s="469" t="e">
        <f t="shared" si="8"/>
        <v>#VALUE!</v>
      </c>
      <c r="AB25" s="469" t="e">
        <f t="shared" si="8"/>
        <v>#VALUE!</v>
      </c>
      <c r="AC25" s="469" t="e">
        <f t="shared" si="8"/>
        <v>#VALUE!</v>
      </c>
    </row>
    <row r="26" spans="1:29">
      <c r="A26" s="276">
        <v>20</v>
      </c>
      <c r="B26" s="162" t="s">
        <v>70</v>
      </c>
      <c r="C26" s="462">
        <v>1</v>
      </c>
      <c r="D26" s="462">
        <v>1</v>
      </c>
      <c r="E26" s="462">
        <v>1</v>
      </c>
      <c r="F26" s="462">
        <v>1</v>
      </c>
      <c r="G26" s="696"/>
      <c r="H26" s="696"/>
      <c r="I26" s="462" t="s">
        <v>889</v>
      </c>
      <c r="J26" s="462" t="s">
        <v>891</v>
      </c>
      <c r="K26" s="462" t="s">
        <v>889</v>
      </c>
      <c r="L26" s="462" t="s">
        <v>891</v>
      </c>
      <c r="M26" s="462" t="s">
        <v>889</v>
      </c>
      <c r="N26" s="462" t="s">
        <v>891</v>
      </c>
      <c r="O26" s="462" t="s">
        <v>889</v>
      </c>
      <c r="P26" s="462" t="s">
        <v>891</v>
      </c>
      <c r="Q26" s="276">
        <v>30</v>
      </c>
      <c r="R26" s="467" t="e">
        <f t="shared" si="0"/>
        <v>#VALUE!</v>
      </c>
      <c r="S26" s="468" t="e">
        <f t="shared" si="1"/>
        <v>#VALUE!</v>
      </c>
      <c r="T26" s="468" t="e">
        <f t="shared" si="2"/>
        <v>#VALUE!</v>
      </c>
      <c r="U26" s="468" t="e">
        <f t="shared" si="3"/>
        <v>#VALUE!</v>
      </c>
      <c r="V26" s="467" t="e">
        <f t="shared" si="4"/>
        <v>#VALUE!</v>
      </c>
      <c r="W26" s="468" t="e">
        <f t="shared" si="5"/>
        <v>#VALUE!</v>
      </c>
      <c r="X26" s="468" t="e">
        <f t="shared" si="6"/>
        <v>#VALUE!</v>
      </c>
      <c r="Y26" s="468" t="e">
        <f t="shared" si="7"/>
        <v>#VALUE!</v>
      </c>
      <c r="Z26" s="469" t="e">
        <f t="shared" si="8"/>
        <v>#VALUE!</v>
      </c>
      <c r="AA26" s="469" t="e">
        <f t="shared" si="8"/>
        <v>#VALUE!</v>
      </c>
      <c r="AB26" s="469" t="e">
        <f t="shared" si="8"/>
        <v>#VALUE!</v>
      </c>
      <c r="AC26" s="469" t="e">
        <f t="shared" si="8"/>
        <v>#VALUE!</v>
      </c>
    </row>
    <row r="27" spans="1:29">
      <c r="A27" s="276">
        <v>21</v>
      </c>
      <c r="B27" s="162" t="s">
        <v>71</v>
      </c>
      <c r="C27" s="462">
        <v>4</v>
      </c>
      <c r="D27" s="462">
        <v>4</v>
      </c>
      <c r="E27" s="462">
        <v>4</v>
      </c>
      <c r="F27" s="462">
        <v>4</v>
      </c>
      <c r="G27" s="696"/>
      <c r="H27" s="696"/>
      <c r="I27" s="462" t="s">
        <v>889</v>
      </c>
      <c r="J27" s="462" t="s">
        <v>891</v>
      </c>
      <c r="K27" s="462" t="s">
        <v>889</v>
      </c>
      <c r="L27" s="462" t="s">
        <v>891</v>
      </c>
      <c r="M27" s="462" t="s">
        <v>889</v>
      </c>
      <c r="N27" s="462" t="s">
        <v>891</v>
      </c>
      <c r="O27" s="462" t="s">
        <v>889</v>
      </c>
      <c r="P27" s="462" t="s">
        <v>891</v>
      </c>
      <c r="Q27" s="276">
        <v>30</v>
      </c>
      <c r="R27" s="467" t="e">
        <f t="shared" si="0"/>
        <v>#VALUE!</v>
      </c>
      <c r="S27" s="468" t="e">
        <f t="shared" si="1"/>
        <v>#VALUE!</v>
      </c>
      <c r="T27" s="468" t="e">
        <f t="shared" si="2"/>
        <v>#VALUE!</v>
      </c>
      <c r="U27" s="468" t="e">
        <f t="shared" si="3"/>
        <v>#VALUE!</v>
      </c>
      <c r="V27" s="467" t="e">
        <f t="shared" si="4"/>
        <v>#VALUE!</v>
      </c>
      <c r="W27" s="468" t="e">
        <f t="shared" si="5"/>
        <v>#VALUE!</v>
      </c>
      <c r="X27" s="468" t="e">
        <f t="shared" si="6"/>
        <v>#VALUE!</v>
      </c>
      <c r="Y27" s="468" t="e">
        <f t="shared" si="7"/>
        <v>#VALUE!</v>
      </c>
      <c r="Z27" s="469" t="e">
        <f t="shared" si="8"/>
        <v>#VALUE!</v>
      </c>
      <c r="AA27" s="469" t="e">
        <f t="shared" si="8"/>
        <v>#VALUE!</v>
      </c>
      <c r="AB27" s="469" t="e">
        <f t="shared" si="8"/>
        <v>#VALUE!</v>
      </c>
      <c r="AC27" s="469" t="e">
        <f t="shared" si="8"/>
        <v>#VALUE!</v>
      </c>
    </row>
    <row r="28" spans="1:29">
      <c r="A28" s="276">
        <v>22</v>
      </c>
      <c r="B28" s="162" t="s">
        <v>72</v>
      </c>
      <c r="C28" s="462">
        <v>1</v>
      </c>
      <c r="D28" s="462">
        <v>1</v>
      </c>
      <c r="E28" s="462">
        <v>1</v>
      </c>
      <c r="F28" s="462">
        <v>1</v>
      </c>
      <c r="G28" s="696"/>
      <c r="H28" s="696"/>
      <c r="I28" s="462" t="s">
        <v>889</v>
      </c>
      <c r="J28" s="462" t="s">
        <v>891</v>
      </c>
      <c r="K28" s="462" t="s">
        <v>889</v>
      </c>
      <c r="L28" s="462" t="s">
        <v>891</v>
      </c>
      <c r="M28" s="462" t="s">
        <v>889</v>
      </c>
      <c r="N28" s="462" t="s">
        <v>891</v>
      </c>
      <c r="O28" s="462" t="s">
        <v>889</v>
      </c>
      <c r="P28" s="462" t="s">
        <v>891</v>
      </c>
      <c r="Q28" s="276">
        <v>30</v>
      </c>
      <c r="R28" s="467" t="e">
        <f t="shared" si="0"/>
        <v>#VALUE!</v>
      </c>
      <c r="S28" s="468" t="e">
        <f t="shared" si="1"/>
        <v>#VALUE!</v>
      </c>
      <c r="T28" s="468" t="e">
        <f t="shared" si="2"/>
        <v>#VALUE!</v>
      </c>
      <c r="U28" s="468" t="e">
        <f t="shared" si="3"/>
        <v>#VALUE!</v>
      </c>
      <c r="V28" s="467" t="e">
        <f t="shared" si="4"/>
        <v>#VALUE!</v>
      </c>
      <c r="W28" s="468" t="e">
        <f t="shared" si="5"/>
        <v>#VALUE!</v>
      </c>
      <c r="X28" s="468" t="e">
        <f t="shared" si="6"/>
        <v>#VALUE!</v>
      </c>
      <c r="Y28" s="468" t="e">
        <f t="shared" si="7"/>
        <v>#VALUE!</v>
      </c>
      <c r="Z28" s="469" t="e">
        <f t="shared" si="8"/>
        <v>#VALUE!</v>
      </c>
      <c r="AA28" s="469" t="e">
        <f t="shared" si="8"/>
        <v>#VALUE!</v>
      </c>
      <c r="AB28" s="469" t="e">
        <f t="shared" si="8"/>
        <v>#VALUE!</v>
      </c>
      <c r="AC28" s="469" t="e">
        <f t="shared" si="8"/>
        <v>#VALUE!</v>
      </c>
    </row>
    <row r="29" spans="1:29" hidden="1">
      <c r="A29" s="276">
        <v>23</v>
      </c>
      <c r="B29" s="162" t="s">
        <v>73</v>
      </c>
      <c r="C29" s="462"/>
      <c r="D29" s="462"/>
      <c r="E29" s="462"/>
      <c r="F29" s="462"/>
      <c r="G29" s="696"/>
      <c r="H29" s="696"/>
      <c r="I29" s="462"/>
      <c r="J29" s="462"/>
      <c r="K29" s="462"/>
      <c r="L29" s="462"/>
      <c r="M29" s="462"/>
      <c r="N29" s="462"/>
      <c r="O29" s="462"/>
      <c r="P29" s="462"/>
      <c r="Q29" s="276"/>
      <c r="R29" s="467">
        <f t="shared" si="0"/>
        <v>0</v>
      </c>
      <c r="S29" s="468">
        <f t="shared" si="1"/>
        <v>0</v>
      </c>
      <c r="T29" s="468">
        <f t="shared" si="2"/>
        <v>0</v>
      </c>
      <c r="U29" s="468">
        <f t="shared" si="3"/>
        <v>0</v>
      </c>
      <c r="V29" s="467">
        <f t="shared" si="4"/>
        <v>0</v>
      </c>
      <c r="W29" s="468">
        <f t="shared" si="5"/>
        <v>0</v>
      </c>
      <c r="X29" s="468">
        <f t="shared" si="6"/>
        <v>0</v>
      </c>
      <c r="Y29" s="468">
        <f t="shared" si="7"/>
        <v>0</v>
      </c>
      <c r="Z29" s="469" t="e">
        <f t="shared" si="8"/>
        <v>#DIV/0!</v>
      </c>
      <c r="AA29" s="469" t="e">
        <f t="shared" si="8"/>
        <v>#DIV/0!</v>
      </c>
      <c r="AB29" s="469" t="e">
        <f t="shared" si="8"/>
        <v>#DIV/0!</v>
      </c>
      <c r="AC29" s="469" t="e">
        <f t="shared" si="8"/>
        <v>#DIV/0!</v>
      </c>
    </row>
    <row r="30" spans="1:29">
      <c r="A30" s="276">
        <v>24</v>
      </c>
      <c r="B30" s="162" t="s">
        <v>74</v>
      </c>
      <c r="C30" s="462">
        <v>1</v>
      </c>
      <c r="D30" s="462">
        <v>1</v>
      </c>
      <c r="E30" s="462">
        <v>1</v>
      </c>
      <c r="F30" s="462">
        <v>1</v>
      </c>
      <c r="G30" s="696"/>
      <c r="H30" s="696"/>
      <c r="I30" s="462" t="s">
        <v>889</v>
      </c>
      <c r="J30" s="462" t="s">
        <v>891</v>
      </c>
      <c r="K30" s="462" t="s">
        <v>889</v>
      </c>
      <c r="L30" s="462" t="s">
        <v>891</v>
      </c>
      <c r="M30" s="462" t="s">
        <v>889</v>
      </c>
      <c r="N30" s="462" t="s">
        <v>891</v>
      </c>
      <c r="O30" s="462" t="s">
        <v>889</v>
      </c>
      <c r="P30" s="462" t="s">
        <v>891</v>
      </c>
      <c r="Q30" s="276">
        <v>30</v>
      </c>
      <c r="R30" s="467" t="e">
        <f t="shared" si="0"/>
        <v>#VALUE!</v>
      </c>
      <c r="S30" s="468" t="e">
        <f t="shared" si="1"/>
        <v>#VALUE!</v>
      </c>
      <c r="T30" s="468" t="e">
        <f t="shared" si="2"/>
        <v>#VALUE!</v>
      </c>
      <c r="U30" s="468" t="e">
        <f t="shared" si="3"/>
        <v>#VALUE!</v>
      </c>
      <c r="V30" s="467" t="e">
        <f t="shared" si="4"/>
        <v>#VALUE!</v>
      </c>
      <c r="W30" s="468" t="e">
        <f t="shared" si="5"/>
        <v>#VALUE!</v>
      </c>
      <c r="X30" s="468" t="e">
        <f t="shared" si="6"/>
        <v>#VALUE!</v>
      </c>
      <c r="Y30" s="468" t="e">
        <f t="shared" si="7"/>
        <v>#VALUE!</v>
      </c>
      <c r="Z30" s="469" t="e">
        <f t="shared" si="8"/>
        <v>#VALUE!</v>
      </c>
      <c r="AA30" s="469" t="e">
        <f t="shared" si="8"/>
        <v>#VALUE!</v>
      </c>
      <c r="AB30" s="469" t="e">
        <f t="shared" si="8"/>
        <v>#VALUE!</v>
      </c>
      <c r="AC30" s="469" t="e">
        <f t="shared" si="8"/>
        <v>#VALUE!</v>
      </c>
    </row>
    <row r="31" spans="1:29">
      <c r="A31" s="276">
        <v>25</v>
      </c>
      <c r="B31" s="162" t="s">
        <v>75</v>
      </c>
      <c r="C31" s="462">
        <v>2</v>
      </c>
      <c r="D31" s="462">
        <v>2</v>
      </c>
      <c r="E31" s="462">
        <v>2</v>
      </c>
      <c r="F31" s="462">
        <v>2</v>
      </c>
      <c r="G31" s="696"/>
      <c r="H31" s="696"/>
      <c r="I31" s="462" t="s">
        <v>889</v>
      </c>
      <c r="J31" s="462" t="s">
        <v>891</v>
      </c>
      <c r="K31" s="462" t="s">
        <v>889</v>
      </c>
      <c r="L31" s="462" t="s">
        <v>891</v>
      </c>
      <c r="M31" s="462" t="s">
        <v>889</v>
      </c>
      <c r="N31" s="462" t="s">
        <v>891</v>
      </c>
      <c r="O31" s="462" t="s">
        <v>889</v>
      </c>
      <c r="P31" s="462" t="s">
        <v>891</v>
      </c>
      <c r="Q31" s="276">
        <v>30</v>
      </c>
      <c r="R31" s="467" t="e">
        <f t="shared" si="0"/>
        <v>#VALUE!</v>
      </c>
      <c r="S31" s="468" t="e">
        <f t="shared" si="1"/>
        <v>#VALUE!</v>
      </c>
      <c r="T31" s="468" t="e">
        <f t="shared" si="2"/>
        <v>#VALUE!</v>
      </c>
      <c r="U31" s="468" t="e">
        <f t="shared" si="3"/>
        <v>#VALUE!</v>
      </c>
      <c r="V31" s="467" t="e">
        <f t="shared" si="4"/>
        <v>#VALUE!</v>
      </c>
      <c r="W31" s="468" t="e">
        <f t="shared" si="5"/>
        <v>#VALUE!</v>
      </c>
      <c r="X31" s="468" t="e">
        <f t="shared" si="6"/>
        <v>#VALUE!</v>
      </c>
      <c r="Y31" s="468" t="e">
        <f t="shared" si="7"/>
        <v>#VALUE!</v>
      </c>
      <c r="Z31" s="469" t="e">
        <f t="shared" si="8"/>
        <v>#VALUE!</v>
      </c>
      <c r="AA31" s="469" t="e">
        <f t="shared" si="8"/>
        <v>#VALUE!</v>
      </c>
      <c r="AB31" s="469" t="e">
        <f t="shared" si="8"/>
        <v>#VALUE!</v>
      </c>
      <c r="AC31" s="469" t="e">
        <f t="shared" si="8"/>
        <v>#VALUE!</v>
      </c>
    </row>
    <row r="32" spans="1:29">
      <c r="A32" s="276">
        <v>26</v>
      </c>
      <c r="B32" s="162" t="s">
        <v>76</v>
      </c>
      <c r="C32" s="462">
        <v>2</v>
      </c>
      <c r="D32" s="462">
        <v>2</v>
      </c>
      <c r="E32" s="462">
        <v>2</v>
      </c>
      <c r="F32" s="462">
        <v>2</v>
      </c>
      <c r="G32" s="696"/>
      <c r="H32" s="696"/>
      <c r="I32" s="462" t="s">
        <v>889</v>
      </c>
      <c r="J32" s="462" t="s">
        <v>891</v>
      </c>
      <c r="K32" s="462" t="s">
        <v>889</v>
      </c>
      <c r="L32" s="462" t="s">
        <v>891</v>
      </c>
      <c r="M32" s="462" t="s">
        <v>889</v>
      </c>
      <c r="N32" s="462" t="s">
        <v>891</v>
      </c>
      <c r="O32" s="462" t="s">
        <v>889</v>
      </c>
      <c r="P32" s="462" t="s">
        <v>891</v>
      </c>
      <c r="Q32" s="276">
        <v>30</v>
      </c>
      <c r="R32" s="467" t="e">
        <f t="shared" si="0"/>
        <v>#VALUE!</v>
      </c>
      <c r="S32" s="468" t="e">
        <f t="shared" si="1"/>
        <v>#VALUE!</v>
      </c>
      <c r="T32" s="468" t="e">
        <f t="shared" si="2"/>
        <v>#VALUE!</v>
      </c>
      <c r="U32" s="468" t="e">
        <f t="shared" si="3"/>
        <v>#VALUE!</v>
      </c>
      <c r="V32" s="467" t="e">
        <f t="shared" si="4"/>
        <v>#VALUE!</v>
      </c>
      <c r="W32" s="468" t="e">
        <f t="shared" si="5"/>
        <v>#VALUE!</v>
      </c>
      <c r="X32" s="468" t="e">
        <f t="shared" si="6"/>
        <v>#VALUE!</v>
      </c>
      <c r="Y32" s="468" t="e">
        <f t="shared" si="7"/>
        <v>#VALUE!</v>
      </c>
      <c r="Z32" s="469" t="e">
        <f t="shared" si="8"/>
        <v>#VALUE!</v>
      </c>
      <c r="AA32" s="469" t="e">
        <f t="shared" si="8"/>
        <v>#VALUE!</v>
      </c>
      <c r="AB32" s="469" t="e">
        <f t="shared" si="8"/>
        <v>#VALUE!</v>
      </c>
      <c r="AC32" s="469" t="e">
        <f t="shared" si="8"/>
        <v>#VALUE!</v>
      </c>
    </row>
    <row r="33" spans="1:29">
      <c r="A33" s="276">
        <v>27</v>
      </c>
      <c r="B33" s="162" t="s">
        <v>77</v>
      </c>
      <c r="C33" s="462">
        <v>1</v>
      </c>
      <c r="D33" s="462">
        <v>1</v>
      </c>
      <c r="E33" s="462">
        <v>1</v>
      </c>
      <c r="F33" s="462">
        <v>1</v>
      </c>
      <c r="G33" s="696"/>
      <c r="H33" s="696"/>
      <c r="I33" s="462" t="s">
        <v>889</v>
      </c>
      <c r="J33" s="462" t="s">
        <v>891</v>
      </c>
      <c r="K33" s="462" t="s">
        <v>889</v>
      </c>
      <c r="L33" s="462" t="s">
        <v>891</v>
      </c>
      <c r="M33" s="462" t="s">
        <v>889</v>
      </c>
      <c r="N33" s="462" t="s">
        <v>891</v>
      </c>
      <c r="O33" s="462" t="s">
        <v>889</v>
      </c>
      <c r="P33" s="462" t="s">
        <v>891</v>
      </c>
      <c r="Q33" s="276">
        <v>30</v>
      </c>
      <c r="R33" s="467" t="e">
        <f t="shared" si="0"/>
        <v>#VALUE!</v>
      </c>
      <c r="S33" s="468" t="e">
        <f t="shared" si="1"/>
        <v>#VALUE!</v>
      </c>
      <c r="T33" s="468" t="e">
        <f t="shared" si="2"/>
        <v>#VALUE!</v>
      </c>
      <c r="U33" s="468" t="e">
        <f t="shared" si="3"/>
        <v>#VALUE!</v>
      </c>
      <c r="V33" s="467" t="e">
        <f t="shared" si="4"/>
        <v>#VALUE!</v>
      </c>
      <c r="W33" s="468" t="e">
        <f t="shared" si="5"/>
        <v>#VALUE!</v>
      </c>
      <c r="X33" s="468" t="e">
        <f t="shared" si="6"/>
        <v>#VALUE!</v>
      </c>
      <c r="Y33" s="468" t="e">
        <f t="shared" si="7"/>
        <v>#VALUE!</v>
      </c>
      <c r="Z33" s="469" t="e">
        <f t="shared" si="8"/>
        <v>#VALUE!</v>
      </c>
      <c r="AA33" s="469" t="e">
        <f t="shared" si="8"/>
        <v>#VALUE!</v>
      </c>
      <c r="AB33" s="469" t="e">
        <f t="shared" si="8"/>
        <v>#VALUE!</v>
      </c>
      <c r="AC33" s="469" t="e">
        <f t="shared" si="8"/>
        <v>#VALUE!</v>
      </c>
    </row>
    <row r="34" spans="1:29" hidden="1">
      <c r="A34" s="276">
        <v>28</v>
      </c>
      <c r="B34" s="162" t="s">
        <v>78</v>
      </c>
      <c r="C34" s="462">
        <v>0</v>
      </c>
      <c r="D34" s="462">
        <v>0</v>
      </c>
      <c r="E34" s="462">
        <v>0</v>
      </c>
      <c r="F34" s="462">
        <v>0</v>
      </c>
      <c r="G34" s="696"/>
      <c r="H34" s="696"/>
      <c r="I34" s="462"/>
      <c r="J34" s="462"/>
      <c r="K34" s="462"/>
      <c r="L34" s="462"/>
      <c r="M34" s="462"/>
      <c r="N34" s="462"/>
      <c r="O34" s="462"/>
      <c r="P34" s="462"/>
      <c r="Q34" s="276"/>
      <c r="R34" s="467">
        <f t="shared" si="0"/>
        <v>0</v>
      </c>
      <c r="S34" s="468">
        <f t="shared" si="1"/>
        <v>0</v>
      </c>
      <c r="T34" s="468">
        <f t="shared" si="2"/>
        <v>0</v>
      </c>
      <c r="U34" s="468">
        <f t="shared" si="3"/>
        <v>0</v>
      </c>
      <c r="V34" s="467">
        <f t="shared" si="4"/>
        <v>0</v>
      </c>
      <c r="W34" s="468">
        <f t="shared" si="5"/>
        <v>0</v>
      </c>
      <c r="X34" s="468">
        <f t="shared" si="6"/>
        <v>0</v>
      </c>
      <c r="Y34" s="468">
        <f t="shared" si="7"/>
        <v>0</v>
      </c>
      <c r="Z34" s="469" t="e">
        <f t="shared" si="8"/>
        <v>#DIV/0!</v>
      </c>
      <c r="AA34" s="469" t="e">
        <f t="shared" si="8"/>
        <v>#DIV/0!</v>
      </c>
      <c r="AB34" s="469" t="e">
        <f t="shared" si="8"/>
        <v>#DIV/0!</v>
      </c>
      <c r="AC34" s="469" t="e">
        <f t="shared" si="8"/>
        <v>#DIV/0!</v>
      </c>
    </row>
    <row r="35" spans="1:29">
      <c r="A35" s="276">
        <v>29</v>
      </c>
      <c r="B35" s="162" t="s">
        <v>79</v>
      </c>
      <c r="C35" s="462">
        <v>1</v>
      </c>
      <c r="D35" s="462">
        <v>1</v>
      </c>
      <c r="E35" s="462">
        <v>1</v>
      </c>
      <c r="F35" s="462">
        <v>1</v>
      </c>
      <c r="G35" s="696"/>
      <c r="H35" s="696"/>
      <c r="I35" s="462" t="s">
        <v>889</v>
      </c>
      <c r="J35" s="462" t="s">
        <v>891</v>
      </c>
      <c r="K35" s="462" t="s">
        <v>889</v>
      </c>
      <c r="L35" s="462" t="s">
        <v>891</v>
      </c>
      <c r="M35" s="462" t="s">
        <v>889</v>
      </c>
      <c r="N35" s="462" t="s">
        <v>891</v>
      </c>
      <c r="O35" s="462" t="s">
        <v>889</v>
      </c>
      <c r="P35" s="462" t="s">
        <v>891</v>
      </c>
      <c r="Q35" s="276">
        <v>30</v>
      </c>
      <c r="R35" s="467" t="e">
        <f t="shared" si="0"/>
        <v>#VALUE!</v>
      </c>
      <c r="S35" s="468" t="e">
        <f t="shared" si="1"/>
        <v>#VALUE!</v>
      </c>
      <c r="T35" s="468" t="e">
        <f t="shared" si="2"/>
        <v>#VALUE!</v>
      </c>
      <c r="U35" s="468" t="e">
        <f t="shared" si="3"/>
        <v>#VALUE!</v>
      </c>
      <c r="V35" s="467" t="e">
        <f t="shared" si="4"/>
        <v>#VALUE!</v>
      </c>
      <c r="W35" s="468" t="e">
        <f t="shared" si="5"/>
        <v>#VALUE!</v>
      </c>
      <c r="X35" s="468" t="e">
        <f t="shared" si="6"/>
        <v>#VALUE!</v>
      </c>
      <c r="Y35" s="468" t="e">
        <f t="shared" si="7"/>
        <v>#VALUE!</v>
      </c>
      <c r="Z35" s="469" t="e">
        <f t="shared" si="8"/>
        <v>#VALUE!</v>
      </c>
      <c r="AA35" s="469" t="e">
        <f t="shared" si="8"/>
        <v>#VALUE!</v>
      </c>
      <c r="AB35" s="469" t="e">
        <f t="shared" si="8"/>
        <v>#VALUE!</v>
      </c>
      <c r="AC35" s="469" t="e">
        <f t="shared" si="8"/>
        <v>#VALUE!</v>
      </c>
    </row>
    <row r="36" spans="1:29">
      <c r="A36" s="276">
        <v>30</v>
      </c>
      <c r="B36" s="162" t="s">
        <v>80</v>
      </c>
      <c r="C36" s="462">
        <v>1</v>
      </c>
      <c r="D36" s="462">
        <v>1</v>
      </c>
      <c r="E36" s="462">
        <v>1</v>
      </c>
      <c r="F36" s="462">
        <v>1</v>
      </c>
      <c r="G36" s="696"/>
      <c r="H36" s="696"/>
      <c r="I36" s="462" t="s">
        <v>889</v>
      </c>
      <c r="J36" s="462" t="s">
        <v>891</v>
      </c>
      <c r="K36" s="462" t="s">
        <v>889</v>
      </c>
      <c r="L36" s="462" t="s">
        <v>891</v>
      </c>
      <c r="M36" s="462" t="s">
        <v>889</v>
      </c>
      <c r="N36" s="462" t="s">
        <v>891</v>
      </c>
      <c r="O36" s="462" t="s">
        <v>889</v>
      </c>
      <c r="P36" s="462" t="s">
        <v>891</v>
      </c>
      <c r="Q36" s="276">
        <v>30</v>
      </c>
      <c r="R36" s="467" t="e">
        <f t="shared" si="0"/>
        <v>#VALUE!</v>
      </c>
      <c r="S36" s="468" t="e">
        <f t="shared" si="1"/>
        <v>#VALUE!</v>
      </c>
      <c r="T36" s="468" t="e">
        <f t="shared" si="2"/>
        <v>#VALUE!</v>
      </c>
      <c r="U36" s="468" t="e">
        <f t="shared" si="3"/>
        <v>#VALUE!</v>
      </c>
      <c r="V36" s="467" t="e">
        <f t="shared" si="4"/>
        <v>#VALUE!</v>
      </c>
      <c r="W36" s="468" t="e">
        <f t="shared" si="5"/>
        <v>#VALUE!</v>
      </c>
      <c r="X36" s="468" t="e">
        <f t="shared" si="6"/>
        <v>#VALUE!</v>
      </c>
      <c r="Y36" s="468" t="e">
        <f t="shared" si="7"/>
        <v>#VALUE!</v>
      </c>
      <c r="Z36" s="469" t="e">
        <f t="shared" si="8"/>
        <v>#VALUE!</v>
      </c>
      <c r="AA36" s="469" t="e">
        <f t="shared" si="8"/>
        <v>#VALUE!</v>
      </c>
      <c r="AB36" s="469" t="e">
        <f t="shared" si="8"/>
        <v>#VALUE!</v>
      </c>
      <c r="AC36" s="469" t="e">
        <f t="shared" si="8"/>
        <v>#VALUE!</v>
      </c>
    </row>
    <row r="37" spans="1:29">
      <c r="A37" s="276">
        <v>31</v>
      </c>
      <c r="B37" s="162" t="s">
        <v>81</v>
      </c>
      <c r="C37" s="462">
        <v>1</v>
      </c>
      <c r="D37" s="462">
        <v>1</v>
      </c>
      <c r="E37" s="462">
        <v>1</v>
      </c>
      <c r="F37" s="462">
        <v>1</v>
      </c>
      <c r="G37" s="696"/>
      <c r="H37" s="696"/>
      <c r="I37" s="462" t="s">
        <v>889</v>
      </c>
      <c r="J37" s="462" t="s">
        <v>891</v>
      </c>
      <c r="K37" s="462" t="s">
        <v>889</v>
      </c>
      <c r="L37" s="462" t="s">
        <v>891</v>
      </c>
      <c r="M37" s="462" t="s">
        <v>889</v>
      </c>
      <c r="N37" s="462" t="s">
        <v>891</v>
      </c>
      <c r="O37" s="462" t="s">
        <v>889</v>
      </c>
      <c r="P37" s="462" t="s">
        <v>891</v>
      </c>
      <c r="Q37" s="276">
        <v>30</v>
      </c>
      <c r="R37" s="467" t="e">
        <f t="shared" si="0"/>
        <v>#VALUE!</v>
      </c>
      <c r="S37" s="468" t="e">
        <f t="shared" si="1"/>
        <v>#VALUE!</v>
      </c>
      <c r="T37" s="468" t="e">
        <f t="shared" si="2"/>
        <v>#VALUE!</v>
      </c>
      <c r="U37" s="468" t="e">
        <f t="shared" si="3"/>
        <v>#VALUE!</v>
      </c>
      <c r="V37" s="467" t="e">
        <f t="shared" si="4"/>
        <v>#VALUE!</v>
      </c>
      <c r="W37" s="468" t="e">
        <f t="shared" si="5"/>
        <v>#VALUE!</v>
      </c>
      <c r="X37" s="468" t="e">
        <f t="shared" si="6"/>
        <v>#VALUE!</v>
      </c>
      <c r="Y37" s="468" t="e">
        <f t="shared" si="7"/>
        <v>#VALUE!</v>
      </c>
      <c r="Z37" s="469" t="e">
        <f t="shared" si="8"/>
        <v>#VALUE!</v>
      </c>
      <c r="AA37" s="469" t="e">
        <f t="shared" si="8"/>
        <v>#VALUE!</v>
      </c>
      <c r="AB37" s="469" t="e">
        <f t="shared" si="8"/>
        <v>#VALUE!</v>
      </c>
      <c r="AC37" s="469" t="e">
        <f t="shared" si="8"/>
        <v>#VALUE!</v>
      </c>
    </row>
    <row r="38" spans="1:29">
      <c r="A38" s="276">
        <v>32</v>
      </c>
      <c r="B38" s="162" t="s">
        <v>82</v>
      </c>
      <c r="C38" s="462">
        <v>1</v>
      </c>
      <c r="D38" s="462">
        <v>1</v>
      </c>
      <c r="E38" s="462">
        <v>1</v>
      </c>
      <c r="F38" s="462">
        <v>1</v>
      </c>
      <c r="G38" s="696"/>
      <c r="H38" s="696"/>
      <c r="I38" s="462" t="s">
        <v>889</v>
      </c>
      <c r="J38" s="462" t="s">
        <v>891</v>
      </c>
      <c r="K38" s="462" t="s">
        <v>889</v>
      </c>
      <c r="L38" s="462" t="s">
        <v>891</v>
      </c>
      <c r="M38" s="462" t="s">
        <v>889</v>
      </c>
      <c r="N38" s="462" t="s">
        <v>891</v>
      </c>
      <c r="O38" s="462" t="s">
        <v>889</v>
      </c>
      <c r="P38" s="462" t="s">
        <v>891</v>
      </c>
      <c r="Q38" s="276">
        <v>30</v>
      </c>
      <c r="R38" s="467" t="e">
        <f t="shared" si="0"/>
        <v>#VALUE!</v>
      </c>
      <c r="S38" s="468" t="e">
        <f t="shared" si="1"/>
        <v>#VALUE!</v>
      </c>
      <c r="T38" s="468" t="e">
        <f t="shared" si="2"/>
        <v>#VALUE!</v>
      </c>
      <c r="U38" s="468" t="e">
        <f t="shared" si="3"/>
        <v>#VALUE!</v>
      </c>
      <c r="V38" s="467" t="e">
        <f t="shared" si="4"/>
        <v>#VALUE!</v>
      </c>
      <c r="W38" s="468" t="e">
        <f t="shared" si="5"/>
        <v>#VALUE!</v>
      </c>
      <c r="X38" s="468" t="e">
        <f t="shared" si="6"/>
        <v>#VALUE!</v>
      </c>
      <c r="Y38" s="468" t="e">
        <f t="shared" si="7"/>
        <v>#VALUE!</v>
      </c>
      <c r="Z38" s="469" t="e">
        <f t="shared" si="8"/>
        <v>#VALUE!</v>
      </c>
      <c r="AA38" s="469" t="e">
        <f t="shared" si="8"/>
        <v>#VALUE!</v>
      </c>
      <c r="AB38" s="469" t="e">
        <f t="shared" si="8"/>
        <v>#VALUE!</v>
      </c>
      <c r="AC38" s="469" t="e">
        <f t="shared" si="8"/>
        <v>#VALUE!</v>
      </c>
    </row>
    <row r="39" spans="1:29">
      <c r="A39" s="276">
        <v>33</v>
      </c>
      <c r="B39" s="162" t="s">
        <v>83</v>
      </c>
      <c r="C39" s="462">
        <v>1</v>
      </c>
      <c r="D39" s="462">
        <v>1</v>
      </c>
      <c r="E39" s="462">
        <v>1</v>
      </c>
      <c r="F39" s="462">
        <v>1</v>
      </c>
      <c r="G39" s="696"/>
      <c r="H39" s="696"/>
      <c r="I39" s="462" t="s">
        <v>889</v>
      </c>
      <c r="J39" s="462" t="s">
        <v>891</v>
      </c>
      <c r="K39" s="462" t="s">
        <v>889</v>
      </c>
      <c r="L39" s="462" t="s">
        <v>891</v>
      </c>
      <c r="M39" s="462" t="s">
        <v>889</v>
      </c>
      <c r="N39" s="462" t="s">
        <v>891</v>
      </c>
      <c r="O39" s="462" t="s">
        <v>889</v>
      </c>
      <c r="P39" s="462" t="s">
        <v>891</v>
      </c>
      <c r="Q39" s="276">
        <v>30</v>
      </c>
      <c r="R39" s="467" t="e">
        <f t="shared" si="0"/>
        <v>#VALUE!</v>
      </c>
      <c r="S39" s="468" t="e">
        <f t="shared" si="1"/>
        <v>#VALUE!</v>
      </c>
      <c r="T39" s="468" t="e">
        <f t="shared" si="2"/>
        <v>#VALUE!</v>
      </c>
      <c r="U39" s="468" t="e">
        <f t="shared" si="3"/>
        <v>#VALUE!</v>
      </c>
      <c r="V39" s="467" t="e">
        <f t="shared" si="4"/>
        <v>#VALUE!</v>
      </c>
      <c r="W39" s="468" t="e">
        <f t="shared" si="5"/>
        <v>#VALUE!</v>
      </c>
      <c r="X39" s="468" t="e">
        <f t="shared" si="6"/>
        <v>#VALUE!</v>
      </c>
      <c r="Y39" s="468" t="e">
        <f t="shared" si="7"/>
        <v>#VALUE!</v>
      </c>
      <c r="Z39" s="469" t="e">
        <f t="shared" ref="Z39:AC70" si="9">V39/R39</f>
        <v>#VALUE!</v>
      </c>
      <c r="AA39" s="469" t="e">
        <f t="shared" si="9"/>
        <v>#VALUE!</v>
      </c>
      <c r="AB39" s="469" t="e">
        <f t="shared" si="9"/>
        <v>#VALUE!</v>
      </c>
      <c r="AC39" s="469" t="e">
        <f t="shared" si="9"/>
        <v>#VALUE!</v>
      </c>
    </row>
    <row r="40" spans="1:29">
      <c r="A40" s="276">
        <v>34</v>
      </c>
      <c r="B40" s="162" t="s">
        <v>84</v>
      </c>
      <c r="C40" s="462">
        <v>1</v>
      </c>
      <c r="D40" s="462">
        <v>1</v>
      </c>
      <c r="E40" s="462">
        <v>1</v>
      </c>
      <c r="F40" s="462">
        <v>1</v>
      </c>
      <c r="G40" s="696"/>
      <c r="H40" s="696"/>
      <c r="I40" s="462" t="s">
        <v>889</v>
      </c>
      <c r="J40" s="462" t="s">
        <v>891</v>
      </c>
      <c r="K40" s="462" t="s">
        <v>889</v>
      </c>
      <c r="L40" s="462" t="s">
        <v>891</v>
      </c>
      <c r="M40" s="462" t="s">
        <v>889</v>
      </c>
      <c r="N40" s="462" t="s">
        <v>891</v>
      </c>
      <c r="O40" s="462" t="s">
        <v>889</v>
      </c>
      <c r="P40" s="462" t="s">
        <v>891</v>
      </c>
      <c r="Q40" s="276">
        <v>30</v>
      </c>
      <c r="R40" s="467" t="e">
        <f t="shared" si="0"/>
        <v>#VALUE!</v>
      </c>
      <c r="S40" s="468" t="e">
        <f t="shared" si="1"/>
        <v>#VALUE!</v>
      </c>
      <c r="T40" s="468" t="e">
        <f t="shared" si="2"/>
        <v>#VALUE!</v>
      </c>
      <c r="U40" s="468" t="e">
        <f t="shared" si="3"/>
        <v>#VALUE!</v>
      </c>
      <c r="V40" s="467" t="e">
        <f t="shared" si="4"/>
        <v>#VALUE!</v>
      </c>
      <c r="W40" s="468" t="e">
        <f t="shared" si="5"/>
        <v>#VALUE!</v>
      </c>
      <c r="X40" s="468" t="e">
        <f t="shared" si="6"/>
        <v>#VALUE!</v>
      </c>
      <c r="Y40" s="468" t="e">
        <f t="shared" si="7"/>
        <v>#VALUE!</v>
      </c>
      <c r="Z40" s="469" t="e">
        <f t="shared" si="9"/>
        <v>#VALUE!</v>
      </c>
      <c r="AA40" s="469" t="e">
        <f t="shared" si="9"/>
        <v>#VALUE!</v>
      </c>
      <c r="AB40" s="469" t="e">
        <f t="shared" si="9"/>
        <v>#VALUE!</v>
      </c>
      <c r="AC40" s="469" t="e">
        <f t="shared" si="9"/>
        <v>#VALUE!</v>
      </c>
    </row>
    <row r="41" spans="1:29">
      <c r="A41" s="276">
        <v>35</v>
      </c>
      <c r="B41" s="162" t="s">
        <v>85</v>
      </c>
      <c r="C41" s="462">
        <v>1</v>
      </c>
      <c r="D41" s="462">
        <v>1</v>
      </c>
      <c r="E41" s="462">
        <v>1</v>
      </c>
      <c r="F41" s="462">
        <v>1</v>
      </c>
      <c r="G41" s="696"/>
      <c r="H41" s="696"/>
      <c r="I41" s="462" t="s">
        <v>889</v>
      </c>
      <c r="J41" s="462" t="s">
        <v>891</v>
      </c>
      <c r="K41" s="462" t="s">
        <v>889</v>
      </c>
      <c r="L41" s="462" t="s">
        <v>891</v>
      </c>
      <c r="M41" s="462" t="s">
        <v>889</v>
      </c>
      <c r="N41" s="462" t="s">
        <v>891</v>
      </c>
      <c r="O41" s="462" t="s">
        <v>889</v>
      </c>
      <c r="P41" s="462" t="s">
        <v>891</v>
      </c>
      <c r="Q41" s="276">
        <v>30</v>
      </c>
      <c r="R41" s="467" t="e">
        <f t="shared" si="0"/>
        <v>#VALUE!</v>
      </c>
      <c r="S41" s="468" t="e">
        <f t="shared" si="1"/>
        <v>#VALUE!</v>
      </c>
      <c r="T41" s="468" t="e">
        <f t="shared" si="2"/>
        <v>#VALUE!</v>
      </c>
      <c r="U41" s="468" t="e">
        <f t="shared" si="3"/>
        <v>#VALUE!</v>
      </c>
      <c r="V41" s="467" t="e">
        <f t="shared" si="4"/>
        <v>#VALUE!</v>
      </c>
      <c r="W41" s="468" t="e">
        <f t="shared" si="5"/>
        <v>#VALUE!</v>
      </c>
      <c r="X41" s="468" t="e">
        <f t="shared" si="6"/>
        <v>#VALUE!</v>
      </c>
      <c r="Y41" s="468" t="e">
        <f t="shared" si="7"/>
        <v>#VALUE!</v>
      </c>
      <c r="Z41" s="469" t="e">
        <f t="shared" si="9"/>
        <v>#VALUE!</v>
      </c>
      <c r="AA41" s="469" t="e">
        <f t="shared" si="9"/>
        <v>#VALUE!</v>
      </c>
      <c r="AB41" s="469" t="e">
        <f t="shared" si="9"/>
        <v>#VALUE!</v>
      </c>
      <c r="AC41" s="469" t="e">
        <f t="shared" si="9"/>
        <v>#VALUE!</v>
      </c>
    </row>
    <row r="42" spans="1:29" hidden="1">
      <c r="A42" s="276">
        <v>36</v>
      </c>
      <c r="B42" s="162" t="s">
        <v>86</v>
      </c>
      <c r="C42" s="462"/>
      <c r="D42" s="462"/>
      <c r="E42" s="462"/>
      <c r="F42" s="462"/>
      <c r="G42" s="696"/>
      <c r="H42" s="696"/>
      <c r="I42" s="462"/>
      <c r="J42" s="462"/>
      <c r="K42" s="462"/>
      <c r="L42" s="462"/>
      <c r="M42" s="462"/>
      <c r="N42" s="462"/>
      <c r="O42" s="462"/>
      <c r="P42" s="462"/>
      <c r="Q42" s="276"/>
      <c r="R42" s="467">
        <f t="shared" si="0"/>
        <v>0</v>
      </c>
      <c r="S42" s="468">
        <f t="shared" si="1"/>
        <v>0</v>
      </c>
      <c r="T42" s="468">
        <f t="shared" si="2"/>
        <v>0</v>
      </c>
      <c r="U42" s="468">
        <f t="shared" si="3"/>
        <v>0</v>
      </c>
      <c r="V42" s="467">
        <f t="shared" si="4"/>
        <v>0</v>
      </c>
      <c r="W42" s="468">
        <f t="shared" si="5"/>
        <v>0</v>
      </c>
      <c r="X42" s="468">
        <f t="shared" si="6"/>
        <v>0</v>
      </c>
      <c r="Y42" s="468">
        <f t="shared" si="7"/>
        <v>0</v>
      </c>
      <c r="Z42" s="469" t="e">
        <f t="shared" si="9"/>
        <v>#DIV/0!</v>
      </c>
      <c r="AA42" s="469" t="e">
        <f t="shared" si="9"/>
        <v>#DIV/0!</v>
      </c>
      <c r="AB42" s="469" t="e">
        <f t="shared" si="9"/>
        <v>#DIV/0!</v>
      </c>
      <c r="AC42" s="469" t="e">
        <f t="shared" si="9"/>
        <v>#DIV/0!</v>
      </c>
    </row>
    <row r="43" spans="1:29">
      <c r="A43" s="276">
        <v>37</v>
      </c>
      <c r="B43" s="162" t="s">
        <v>87</v>
      </c>
      <c r="C43" s="462">
        <v>1</v>
      </c>
      <c r="D43" s="462">
        <v>1</v>
      </c>
      <c r="E43" s="462">
        <v>1</v>
      </c>
      <c r="F43" s="462">
        <v>1</v>
      </c>
      <c r="G43" s="696"/>
      <c r="H43" s="696"/>
      <c r="I43" s="462" t="s">
        <v>889</v>
      </c>
      <c r="J43" s="462" t="s">
        <v>891</v>
      </c>
      <c r="K43" s="462" t="s">
        <v>889</v>
      </c>
      <c r="L43" s="462" t="s">
        <v>891</v>
      </c>
      <c r="M43" s="462" t="s">
        <v>889</v>
      </c>
      <c r="N43" s="462" t="s">
        <v>891</v>
      </c>
      <c r="O43" s="462" t="s">
        <v>889</v>
      </c>
      <c r="P43" s="462" t="s">
        <v>891</v>
      </c>
      <c r="Q43" s="276">
        <v>30</v>
      </c>
      <c r="R43" s="467" t="e">
        <f t="shared" si="0"/>
        <v>#VALUE!</v>
      </c>
      <c r="S43" s="468" t="e">
        <f t="shared" si="1"/>
        <v>#VALUE!</v>
      </c>
      <c r="T43" s="468" t="e">
        <f t="shared" si="2"/>
        <v>#VALUE!</v>
      </c>
      <c r="U43" s="468" t="e">
        <f t="shared" si="3"/>
        <v>#VALUE!</v>
      </c>
      <c r="V43" s="467" t="e">
        <f t="shared" si="4"/>
        <v>#VALUE!</v>
      </c>
      <c r="W43" s="468" t="e">
        <f t="shared" si="5"/>
        <v>#VALUE!</v>
      </c>
      <c r="X43" s="468" t="e">
        <f t="shared" si="6"/>
        <v>#VALUE!</v>
      </c>
      <c r="Y43" s="468" t="e">
        <f t="shared" si="7"/>
        <v>#VALUE!</v>
      </c>
      <c r="Z43" s="469" t="e">
        <f t="shared" si="9"/>
        <v>#VALUE!</v>
      </c>
      <c r="AA43" s="469" t="e">
        <f t="shared" si="9"/>
        <v>#VALUE!</v>
      </c>
      <c r="AB43" s="469" t="e">
        <f t="shared" si="9"/>
        <v>#VALUE!</v>
      </c>
      <c r="AC43" s="469" t="e">
        <f t="shared" si="9"/>
        <v>#VALUE!</v>
      </c>
    </row>
    <row r="44" spans="1:29" hidden="1">
      <c r="A44" s="276">
        <v>38</v>
      </c>
      <c r="B44" s="162" t="s">
        <v>88</v>
      </c>
      <c r="C44" s="462"/>
      <c r="D44" s="462"/>
      <c r="E44" s="462"/>
      <c r="F44" s="462"/>
      <c r="G44" s="696"/>
      <c r="H44" s="696"/>
      <c r="I44" s="462"/>
      <c r="J44" s="462"/>
      <c r="K44" s="462"/>
      <c r="L44" s="462"/>
      <c r="M44" s="462"/>
      <c r="N44" s="462"/>
      <c r="O44" s="462"/>
      <c r="P44" s="462"/>
      <c r="Q44" s="276"/>
      <c r="R44" s="467">
        <f t="shared" si="0"/>
        <v>0</v>
      </c>
      <c r="S44" s="468">
        <f t="shared" si="1"/>
        <v>0</v>
      </c>
      <c r="T44" s="468">
        <f t="shared" si="2"/>
        <v>0</v>
      </c>
      <c r="U44" s="468">
        <f t="shared" si="3"/>
        <v>0</v>
      </c>
      <c r="V44" s="467">
        <f t="shared" si="4"/>
        <v>0</v>
      </c>
      <c r="W44" s="468">
        <f t="shared" si="5"/>
        <v>0</v>
      </c>
      <c r="X44" s="468">
        <f t="shared" si="6"/>
        <v>0</v>
      </c>
      <c r="Y44" s="468">
        <f t="shared" si="7"/>
        <v>0</v>
      </c>
      <c r="Z44" s="469" t="e">
        <f t="shared" si="9"/>
        <v>#DIV/0!</v>
      </c>
      <c r="AA44" s="469" t="e">
        <f t="shared" si="9"/>
        <v>#DIV/0!</v>
      </c>
      <c r="AB44" s="469" t="e">
        <f t="shared" si="9"/>
        <v>#DIV/0!</v>
      </c>
      <c r="AC44" s="469" t="e">
        <f t="shared" si="9"/>
        <v>#DIV/0!</v>
      </c>
    </row>
    <row r="45" spans="1:29" hidden="1">
      <c r="A45" s="276">
        <v>39</v>
      </c>
      <c r="B45" s="162" t="s">
        <v>89</v>
      </c>
      <c r="C45" s="462"/>
      <c r="D45" s="462"/>
      <c r="E45" s="462"/>
      <c r="F45" s="462"/>
      <c r="G45" s="696"/>
      <c r="H45" s="696"/>
      <c r="I45" s="462"/>
      <c r="J45" s="462"/>
      <c r="K45" s="462"/>
      <c r="L45" s="462"/>
      <c r="M45" s="462"/>
      <c r="N45" s="462"/>
      <c r="O45" s="462"/>
      <c r="P45" s="462"/>
      <c r="Q45" s="276"/>
      <c r="R45" s="467">
        <f t="shared" si="0"/>
        <v>0</v>
      </c>
      <c r="S45" s="468">
        <f t="shared" si="1"/>
        <v>0</v>
      </c>
      <c r="T45" s="468">
        <f t="shared" si="2"/>
        <v>0</v>
      </c>
      <c r="U45" s="468">
        <f t="shared" si="3"/>
        <v>0</v>
      </c>
      <c r="V45" s="467">
        <f t="shared" si="4"/>
        <v>0</v>
      </c>
      <c r="W45" s="468">
        <f t="shared" si="5"/>
        <v>0</v>
      </c>
      <c r="X45" s="468">
        <f t="shared" si="6"/>
        <v>0</v>
      </c>
      <c r="Y45" s="468">
        <f t="shared" si="7"/>
        <v>0</v>
      </c>
      <c r="Z45" s="469" t="e">
        <f t="shared" si="9"/>
        <v>#DIV/0!</v>
      </c>
      <c r="AA45" s="469" t="e">
        <f t="shared" si="9"/>
        <v>#DIV/0!</v>
      </c>
      <c r="AB45" s="469" t="e">
        <f t="shared" si="9"/>
        <v>#DIV/0!</v>
      </c>
      <c r="AC45" s="469" t="e">
        <f t="shared" si="9"/>
        <v>#DIV/0!</v>
      </c>
    </row>
    <row r="46" spans="1:29" hidden="1">
      <c r="A46" s="276">
        <v>40</v>
      </c>
      <c r="B46" s="162" t="s">
        <v>90</v>
      </c>
      <c r="C46" s="462"/>
      <c r="D46" s="462"/>
      <c r="E46" s="462"/>
      <c r="F46" s="462"/>
      <c r="G46" s="696"/>
      <c r="H46" s="696"/>
      <c r="I46" s="462"/>
      <c r="J46" s="462"/>
      <c r="K46" s="462"/>
      <c r="L46" s="462"/>
      <c r="M46" s="462"/>
      <c r="N46" s="462"/>
      <c r="O46" s="462"/>
      <c r="P46" s="462"/>
      <c r="Q46" s="276"/>
      <c r="R46" s="467">
        <f t="shared" si="0"/>
        <v>0</v>
      </c>
      <c r="S46" s="468">
        <f t="shared" si="1"/>
        <v>0</v>
      </c>
      <c r="T46" s="468">
        <f t="shared" si="2"/>
        <v>0</v>
      </c>
      <c r="U46" s="468">
        <f t="shared" si="3"/>
        <v>0</v>
      </c>
      <c r="V46" s="467">
        <f t="shared" si="4"/>
        <v>0</v>
      </c>
      <c r="W46" s="468">
        <f t="shared" si="5"/>
        <v>0</v>
      </c>
      <c r="X46" s="468">
        <f t="shared" si="6"/>
        <v>0</v>
      </c>
      <c r="Y46" s="468">
        <f t="shared" si="7"/>
        <v>0</v>
      </c>
      <c r="Z46" s="469" t="e">
        <f t="shared" si="9"/>
        <v>#DIV/0!</v>
      </c>
      <c r="AA46" s="469" t="e">
        <f t="shared" si="9"/>
        <v>#DIV/0!</v>
      </c>
      <c r="AB46" s="469" t="e">
        <f t="shared" si="9"/>
        <v>#DIV/0!</v>
      </c>
      <c r="AC46" s="469" t="e">
        <f t="shared" si="9"/>
        <v>#DIV/0!</v>
      </c>
    </row>
    <row r="47" spans="1:29">
      <c r="A47" s="276">
        <v>41</v>
      </c>
      <c r="B47" s="162" t="s">
        <v>91</v>
      </c>
      <c r="C47" s="462">
        <v>1</v>
      </c>
      <c r="D47" s="462">
        <v>1</v>
      </c>
      <c r="E47" s="462">
        <v>1</v>
      </c>
      <c r="F47" s="462">
        <v>1</v>
      </c>
      <c r="G47" s="696"/>
      <c r="H47" s="696"/>
      <c r="I47" s="462" t="s">
        <v>889</v>
      </c>
      <c r="J47" s="462" t="s">
        <v>891</v>
      </c>
      <c r="K47" s="462" t="s">
        <v>889</v>
      </c>
      <c r="L47" s="462" t="s">
        <v>891</v>
      </c>
      <c r="M47" s="462" t="s">
        <v>889</v>
      </c>
      <c r="N47" s="462" t="s">
        <v>891</v>
      </c>
      <c r="O47" s="462" t="s">
        <v>889</v>
      </c>
      <c r="P47" s="462" t="s">
        <v>891</v>
      </c>
      <c r="Q47" s="276">
        <v>30</v>
      </c>
      <c r="R47" s="467" t="e">
        <f t="shared" si="0"/>
        <v>#VALUE!</v>
      </c>
      <c r="S47" s="468" t="e">
        <f t="shared" si="1"/>
        <v>#VALUE!</v>
      </c>
      <c r="T47" s="468" t="e">
        <f t="shared" si="2"/>
        <v>#VALUE!</v>
      </c>
      <c r="U47" s="468" t="e">
        <f t="shared" si="3"/>
        <v>#VALUE!</v>
      </c>
      <c r="V47" s="467" t="e">
        <f t="shared" si="4"/>
        <v>#VALUE!</v>
      </c>
      <c r="W47" s="468" t="e">
        <f t="shared" si="5"/>
        <v>#VALUE!</v>
      </c>
      <c r="X47" s="468" t="e">
        <f t="shared" si="6"/>
        <v>#VALUE!</v>
      </c>
      <c r="Y47" s="468" t="e">
        <f t="shared" si="7"/>
        <v>#VALUE!</v>
      </c>
      <c r="Z47" s="469" t="e">
        <f t="shared" si="9"/>
        <v>#VALUE!</v>
      </c>
      <c r="AA47" s="469" t="e">
        <f t="shared" si="9"/>
        <v>#VALUE!</v>
      </c>
      <c r="AB47" s="469" t="e">
        <f t="shared" si="9"/>
        <v>#VALUE!</v>
      </c>
      <c r="AC47" s="469" t="e">
        <f t="shared" si="9"/>
        <v>#VALUE!</v>
      </c>
    </row>
    <row r="48" spans="1:29">
      <c r="A48" s="276">
        <v>42</v>
      </c>
      <c r="B48" s="162" t="s">
        <v>92</v>
      </c>
      <c r="C48" s="462">
        <v>1</v>
      </c>
      <c r="D48" s="462">
        <v>1</v>
      </c>
      <c r="E48" s="462">
        <v>1</v>
      </c>
      <c r="F48" s="462">
        <v>1</v>
      </c>
      <c r="G48" s="696"/>
      <c r="H48" s="696"/>
      <c r="I48" s="462" t="s">
        <v>889</v>
      </c>
      <c r="J48" s="462" t="s">
        <v>891</v>
      </c>
      <c r="K48" s="462" t="s">
        <v>889</v>
      </c>
      <c r="L48" s="462" t="s">
        <v>891</v>
      </c>
      <c r="M48" s="462" t="s">
        <v>889</v>
      </c>
      <c r="N48" s="462" t="s">
        <v>891</v>
      </c>
      <c r="O48" s="462" t="s">
        <v>889</v>
      </c>
      <c r="P48" s="462" t="s">
        <v>891</v>
      </c>
      <c r="Q48" s="276">
        <v>30</v>
      </c>
      <c r="R48" s="467" t="e">
        <f t="shared" si="0"/>
        <v>#VALUE!</v>
      </c>
      <c r="S48" s="468" t="e">
        <f t="shared" si="1"/>
        <v>#VALUE!</v>
      </c>
      <c r="T48" s="468" t="e">
        <f t="shared" si="2"/>
        <v>#VALUE!</v>
      </c>
      <c r="U48" s="468" t="e">
        <f t="shared" si="3"/>
        <v>#VALUE!</v>
      </c>
      <c r="V48" s="467" t="e">
        <f t="shared" si="4"/>
        <v>#VALUE!</v>
      </c>
      <c r="W48" s="468" t="e">
        <f t="shared" si="5"/>
        <v>#VALUE!</v>
      </c>
      <c r="X48" s="468" t="e">
        <f t="shared" si="6"/>
        <v>#VALUE!</v>
      </c>
      <c r="Y48" s="468" t="e">
        <f t="shared" si="7"/>
        <v>#VALUE!</v>
      </c>
      <c r="Z48" s="469" t="e">
        <f t="shared" si="9"/>
        <v>#VALUE!</v>
      </c>
      <c r="AA48" s="469" t="e">
        <f t="shared" si="9"/>
        <v>#VALUE!</v>
      </c>
      <c r="AB48" s="469" t="e">
        <f t="shared" si="9"/>
        <v>#VALUE!</v>
      </c>
      <c r="AC48" s="469" t="e">
        <f t="shared" si="9"/>
        <v>#VALUE!</v>
      </c>
    </row>
    <row r="49" spans="1:29">
      <c r="A49" s="276">
        <v>43</v>
      </c>
      <c r="B49" s="162" t="s">
        <v>93</v>
      </c>
      <c r="C49" s="462">
        <v>1</v>
      </c>
      <c r="D49" s="462">
        <v>1</v>
      </c>
      <c r="E49" s="462">
        <v>1</v>
      </c>
      <c r="F49" s="462">
        <v>1</v>
      </c>
      <c r="G49" s="696"/>
      <c r="H49" s="696"/>
      <c r="I49" s="462" t="s">
        <v>889</v>
      </c>
      <c r="J49" s="462" t="s">
        <v>891</v>
      </c>
      <c r="K49" s="462" t="s">
        <v>889</v>
      </c>
      <c r="L49" s="462" t="s">
        <v>891</v>
      </c>
      <c r="M49" s="462" t="s">
        <v>889</v>
      </c>
      <c r="N49" s="462" t="s">
        <v>891</v>
      </c>
      <c r="O49" s="462" t="s">
        <v>889</v>
      </c>
      <c r="P49" s="462" t="s">
        <v>891</v>
      </c>
      <c r="Q49" s="276">
        <v>30</v>
      </c>
      <c r="R49" s="467" t="e">
        <f t="shared" si="0"/>
        <v>#VALUE!</v>
      </c>
      <c r="S49" s="468" t="e">
        <f t="shared" si="1"/>
        <v>#VALUE!</v>
      </c>
      <c r="T49" s="468" t="e">
        <f t="shared" si="2"/>
        <v>#VALUE!</v>
      </c>
      <c r="U49" s="468" t="e">
        <f t="shared" si="3"/>
        <v>#VALUE!</v>
      </c>
      <c r="V49" s="467" t="e">
        <f t="shared" si="4"/>
        <v>#VALUE!</v>
      </c>
      <c r="W49" s="468" t="e">
        <f t="shared" si="5"/>
        <v>#VALUE!</v>
      </c>
      <c r="X49" s="468" t="e">
        <f t="shared" si="6"/>
        <v>#VALUE!</v>
      </c>
      <c r="Y49" s="468" t="e">
        <f t="shared" si="7"/>
        <v>#VALUE!</v>
      </c>
      <c r="Z49" s="469" t="e">
        <f t="shared" si="9"/>
        <v>#VALUE!</v>
      </c>
      <c r="AA49" s="469" t="e">
        <f t="shared" si="9"/>
        <v>#VALUE!</v>
      </c>
      <c r="AB49" s="469" t="e">
        <f t="shared" si="9"/>
        <v>#VALUE!</v>
      </c>
      <c r="AC49" s="469" t="e">
        <f t="shared" si="9"/>
        <v>#VALUE!</v>
      </c>
    </row>
    <row r="50" spans="1:29">
      <c r="A50" s="276">
        <v>44</v>
      </c>
      <c r="B50" s="162" t="s">
        <v>94</v>
      </c>
      <c r="C50" s="462">
        <v>1</v>
      </c>
      <c r="D50" s="462">
        <v>1</v>
      </c>
      <c r="E50" s="462">
        <v>1</v>
      </c>
      <c r="F50" s="462">
        <v>1</v>
      </c>
      <c r="G50" s="696"/>
      <c r="H50" s="696"/>
      <c r="I50" s="462" t="s">
        <v>889</v>
      </c>
      <c r="J50" s="462" t="s">
        <v>891</v>
      </c>
      <c r="K50" s="462" t="s">
        <v>889</v>
      </c>
      <c r="L50" s="462" t="s">
        <v>891</v>
      </c>
      <c r="M50" s="462" t="s">
        <v>889</v>
      </c>
      <c r="N50" s="462" t="s">
        <v>891</v>
      </c>
      <c r="O50" s="462" t="s">
        <v>889</v>
      </c>
      <c r="P50" s="462" t="s">
        <v>891</v>
      </c>
      <c r="Q50" s="276">
        <v>30</v>
      </c>
      <c r="R50" s="467" t="e">
        <f t="shared" si="0"/>
        <v>#VALUE!</v>
      </c>
      <c r="S50" s="468" t="e">
        <f t="shared" si="1"/>
        <v>#VALUE!</v>
      </c>
      <c r="T50" s="468" t="e">
        <f t="shared" si="2"/>
        <v>#VALUE!</v>
      </c>
      <c r="U50" s="468" t="e">
        <f t="shared" si="3"/>
        <v>#VALUE!</v>
      </c>
      <c r="V50" s="467" t="e">
        <f t="shared" si="4"/>
        <v>#VALUE!</v>
      </c>
      <c r="W50" s="468" t="e">
        <f t="shared" si="5"/>
        <v>#VALUE!</v>
      </c>
      <c r="X50" s="468" t="e">
        <f t="shared" si="6"/>
        <v>#VALUE!</v>
      </c>
      <c r="Y50" s="468" t="e">
        <f t="shared" si="7"/>
        <v>#VALUE!</v>
      </c>
      <c r="Z50" s="469" t="e">
        <f t="shared" si="9"/>
        <v>#VALUE!</v>
      </c>
      <c r="AA50" s="469" t="e">
        <f t="shared" si="9"/>
        <v>#VALUE!</v>
      </c>
      <c r="AB50" s="469" t="e">
        <f t="shared" si="9"/>
        <v>#VALUE!</v>
      </c>
      <c r="AC50" s="469" t="e">
        <f t="shared" si="9"/>
        <v>#VALUE!</v>
      </c>
    </row>
    <row r="51" spans="1:29">
      <c r="A51" s="276">
        <v>45</v>
      </c>
      <c r="B51" s="162" t="s">
        <v>95</v>
      </c>
      <c r="C51" s="462">
        <v>1</v>
      </c>
      <c r="D51" s="462">
        <v>1</v>
      </c>
      <c r="E51" s="462">
        <v>1</v>
      </c>
      <c r="F51" s="462">
        <v>1</v>
      </c>
      <c r="G51" s="696"/>
      <c r="H51" s="696"/>
      <c r="I51" s="462" t="s">
        <v>889</v>
      </c>
      <c r="J51" s="462" t="s">
        <v>891</v>
      </c>
      <c r="K51" s="462" t="s">
        <v>889</v>
      </c>
      <c r="L51" s="462" t="s">
        <v>891</v>
      </c>
      <c r="M51" s="462" t="s">
        <v>889</v>
      </c>
      <c r="N51" s="462" t="s">
        <v>891</v>
      </c>
      <c r="O51" s="462" t="s">
        <v>889</v>
      </c>
      <c r="P51" s="462" t="s">
        <v>891</v>
      </c>
      <c r="Q51" s="276">
        <v>30</v>
      </c>
      <c r="R51" s="467" t="e">
        <f t="shared" si="0"/>
        <v>#VALUE!</v>
      </c>
      <c r="S51" s="468" t="e">
        <f t="shared" si="1"/>
        <v>#VALUE!</v>
      </c>
      <c r="T51" s="468" t="e">
        <f t="shared" si="2"/>
        <v>#VALUE!</v>
      </c>
      <c r="U51" s="468" t="e">
        <f t="shared" si="3"/>
        <v>#VALUE!</v>
      </c>
      <c r="V51" s="467" t="e">
        <f t="shared" si="4"/>
        <v>#VALUE!</v>
      </c>
      <c r="W51" s="468" t="e">
        <f t="shared" si="5"/>
        <v>#VALUE!</v>
      </c>
      <c r="X51" s="468" t="e">
        <f t="shared" si="6"/>
        <v>#VALUE!</v>
      </c>
      <c r="Y51" s="468" t="e">
        <f t="shared" si="7"/>
        <v>#VALUE!</v>
      </c>
      <c r="Z51" s="469" t="e">
        <f t="shared" si="9"/>
        <v>#VALUE!</v>
      </c>
      <c r="AA51" s="469" t="e">
        <f t="shared" si="9"/>
        <v>#VALUE!</v>
      </c>
      <c r="AB51" s="469" t="e">
        <f t="shared" si="9"/>
        <v>#VALUE!</v>
      </c>
      <c r="AC51" s="469" t="e">
        <f t="shared" si="9"/>
        <v>#VALUE!</v>
      </c>
    </row>
    <row r="52" spans="1:29" hidden="1">
      <c r="A52" s="276">
        <v>46</v>
      </c>
      <c r="B52" s="162" t="s">
        <v>96</v>
      </c>
      <c r="C52" s="462"/>
      <c r="D52" s="462"/>
      <c r="E52" s="462"/>
      <c r="F52" s="462"/>
      <c r="G52" s="696"/>
      <c r="H52" s="696"/>
      <c r="I52" s="462"/>
      <c r="J52" s="462"/>
      <c r="K52" s="462"/>
      <c r="L52" s="462"/>
      <c r="M52" s="462"/>
      <c r="N52" s="462"/>
      <c r="O52" s="462"/>
      <c r="P52" s="462"/>
      <c r="Q52" s="276"/>
      <c r="R52" s="467">
        <f t="shared" si="0"/>
        <v>0</v>
      </c>
      <c r="S52" s="468">
        <f t="shared" si="1"/>
        <v>0</v>
      </c>
      <c r="T52" s="468">
        <f t="shared" si="2"/>
        <v>0</v>
      </c>
      <c r="U52" s="468">
        <f t="shared" si="3"/>
        <v>0</v>
      </c>
      <c r="V52" s="467">
        <f t="shared" si="4"/>
        <v>0</v>
      </c>
      <c r="W52" s="468">
        <f t="shared" si="5"/>
        <v>0</v>
      </c>
      <c r="X52" s="468">
        <f t="shared" si="6"/>
        <v>0</v>
      </c>
      <c r="Y52" s="468">
        <f t="shared" si="7"/>
        <v>0</v>
      </c>
      <c r="Z52" s="469" t="e">
        <f t="shared" si="9"/>
        <v>#DIV/0!</v>
      </c>
      <c r="AA52" s="469" t="e">
        <f t="shared" si="9"/>
        <v>#DIV/0!</v>
      </c>
      <c r="AB52" s="469" t="e">
        <f t="shared" si="9"/>
        <v>#DIV/0!</v>
      </c>
      <c r="AC52" s="469" t="e">
        <f t="shared" si="9"/>
        <v>#DIV/0!</v>
      </c>
    </row>
    <row r="53" spans="1:29">
      <c r="A53" s="276">
        <v>47</v>
      </c>
      <c r="B53" s="162" t="s">
        <v>97</v>
      </c>
      <c r="C53" s="462">
        <v>1</v>
      </c>
      <c r="D53" s="462">
        <v>1</v>
      </c>
      <c r="E53" s="462">
        <v>1</v>
      </c>
      <c r="F53" s="462">
        <v>1</v>
      </c>
      <c r="G53" s="696"/>
      <c r="H53" s="696"/>
      <c r="I53" s="462" t="s">
        <v>889</v>
      </c>
      <c r="J53" s="462" t="s">
        <v>891</v>
      </c>
      <c r="K53" s="462" t="s">
        <v>889</v>
      </c>
      <c r="L53" s="462" t="s">
        <v>891</v>
      </c>
      <c r="M53" s="462" t="s">
        <v>889</v>
      </c>
      <c r="N53" s="462" t="s">
        <v>891</v>
      </c>
      <c r="O53" s="462" t="s">
        <v>889</v>
      </c>
      <c r="P53" s="462" t="s">
        <v>891</v>
      </c>
      <c r="Q53" s="276">
        <v>30</v>
      </c>
      <c r="R53" s="467" t="e">
        <f t="shared" si="0"/>
        <v>#VALUE!</v>
      </c>
      <c r="S53" s="468" t="e">
        <f t="shared" si="1"/>
        <v>#VALUE!</v>
      </c>
      <c r="T53" s="468" t="e">
        <f t="shared" si="2"/>
        <v>#VALUE!</v>
      </c>
      <c r="U53" s="468" t="e">
        <f t="shared" si="3"/>
        <v>#VALUE!</v>
      </c>
      <c r="V53" s="467" t="e">
        <f t="shared" si="4"/>
        <v>#VALUE!</v>
      </c>
      <c r="W53" s="468" t="e">
        <f t="shared" si="5"/>
        <v>#VALUE!</v>
      </c>
      <c r="X53" s="468" t="e">
        <f t="shared" si="6"/>
        <v>#VALUE!</v>
      </c>
      <c r="Y53" s="468" t="e">
        <f t="shared" si="7"/>
        <v>#VALUE!</v>
      </c>
      <c r="Z53" s="469" t="e">
        <f t="shared" si="9"/>
        <v>#VALUE!</v>
      </c>
      <c r="AA53" s="469" t="e">
        <f t="shared" si="9"/>
        <v>#VALUE!</v>
      </c>
      <c r="AB53" s="469" t="e">
        <f t="shared" si="9"/>
        <v>#VALUE!</v>
      </c>
      <c r="AC53" s="469" t="e">
        <f t="shared" si="9"/>
        <v>#VALUE!</v>
      </c>
    </row>
    <row r="54" spans="1:29">
      <c r="A54" s="276">
        <v>48</v>
      </c>
      <c r="B54" s="162" t="s">
        <v>98</v>
      </c>
      <c r="C54" s="462">
        <v>1</v>
      </c>
      <c r="D54" s="462">
        <v>1</v>
      </c>
      <c r="E54" s="462">
        <v>1</v>
      </c>
      <c r="F54" s="462">
        <v>1</v>
      </c>
      <c r="G54" s="696"/>
      <c r="H54" s="696"/>
      <c r="I54" s="462" t="s">
        <v>889</v>
      </c>
      <c r="J54" s="462" t="s">
        <v>891</v>
      </c>
      <c r="K54" s="462" t="s">
        <v>889</v>
      </c>
      <c r="L54" s="462" t="s">
        <v>891</v>
      </c>
      <c r="M54" s="462" t="s">
        <v>889</v>
      </c>
      <c r="N54" s="462" t="s">
        <v>891</v>
      </c>
      <c r="O54" s="462" t="s">
        <v>889</v>
      </c>
      <c r="P54" s="462" t="s">
        <v>891</v>
      </c>
      <c r="Q54" s="276">
        <v>30</v>
      </c>
      <c r="R54" s="467" t="e">
        <f t="shared" si="0"/>
        <v>#VALUE!</v>
      </c>
      <c r="S54" s="468" t="e">
        <f t="shared" si="1"/>
        <v>#VALUE!</v>
      </c>
      <c r="T54" s="468" t="e">
        <f t="shared" si="2"/>
        <v>#VALUE!</v>
      </c>
      <c r="U54" s="468" t="e">
        <f t="shared" si="3"/>
        <v>#VALUE!</v>
      </c>
      <c r="V54" s="467" t="e">
        <f t="shared" si="4"/>
        <v>#VALUE!</v>
      </c>
      <c r="W54" s="468" t="e">
        <f t="shared" si="5"/>
        <v>#VALUE!</v>
      </c>
      <c r="X54" s="468" t="e">
        <f t="shared" si="6"/>
        <v>#VALUE!</v>
      </c>
      <c r="Y54" s="468" t="e">
        <f t="shared" si="7"/>
        <v>#VALUE!</v>
      </c>
      <c r="Z54" s="469" t="e">
        <f t="shared" si="9"/>
        <v>#VALUE!</v>
      </c>
      <c r="AA54" s="469" t="e">
        <f t="shared" si="9"/>
        <v>#VALUE!</v>
      </c>
      <c r="AB54" s="469" t="e">
        <f t="shared" si="9"/>
        <v>#VALUE!</v>
      </c>
      <c r="AC54" s="469" t="e">
        <f t="shared" si="9"/>
        <v>#VALUE!</v>
      </c>
    </row>
    <row r="55" spans="1:29">
      <c r="A55" s="276">
        <v>49</v>
      </c>
      <c r="B55" s="162" t="s">
        <v>99</v>
      </c>
      <c r="C55" s="462">
        <v>1</v>
      </c>
      <c r="D55" s="462">
        <v>1</v>
      </c>
      <c r="E55" s="462">
        <v>1</v>
      </c>
      <c r="F55" s="462">
        <v>1</v>
      </c>
      <c r="G55" s="696"/>
      <c r="H55" s="696"/>
      <c r="I55" s="462" t="s">
        <v>889</v>
      </c>
      <c r="J55" s="462" t="s">
        <v>891</v>
      </c>
      <c r="K55" s="462" t="s">
        <v>889</v>
      </c>
      <c r="L55" s="462" t="s">
        <v>891</v>
      </c>
      <c r="M55" s="462" t="s">
        <v>889</v>
      </c>
      <c r="N55" s="462" t="s">
        <v>891</v>
      </c>
      <c r="O55" s="462" t="s">
        <v>889</v>
      </c>
      <c r="P55" s="462" t="s">
        <v>891</v>
      </c>
      <c r="Q55" s="276">
        <v>30</v>
      </c>
      <c r="R55" s="467" t="e">
        <f t="shared" si="0"/>
        <v>#VALUE!</v>
      </c>
      <c r="S55" s="468" t="e">
        <f t="shared" si="1"/>
        <v>#VALUE!</v>
      </c>
      <c r="T55" s="468" t="e">
        <f t="shared" si="2"/>
        <v>#VALUE!</v>
      </c>
      <c r="U55" s="468" t="e">
        <f t="shared" si="3"/>
        <v>#VALUE!</v>
      </c>
      <c r="V55" s="467" t="e">
        <f t="shared" si="4"/>
        <v>#VALUE!</v>
      </c>
      <c r="W55" s="468" t="e">
        <f t="shared" si="5"/>
        <v>#VALUE!</v>
      </c>
      <c r="X55" s="468" t="e">
        <f t="shared" si="6"/>
        <v>#VALUE!</v>
      </c>
      <c r="Y55" s="468" t="e">
        <f t="shared" si="7"/>
        <v>#VALUE!</v>
      </c>
      <c r="Z55" s="469" t="e">
        <f t="shared" si="9"/>
        <v>#VALUE!</v>
      </c>
      <c r="AA55" s="469" t="e">
        <f t="shared" si="9"/>
        <v>#VALUE!</v>
      </c>
      <c r="AB55" s="469" t="e">
        <f t="shared" si="9"/>
        <v>#VALUE!</v>
      </c>
      <c r="AC55" s="469" t="e">
        <f t="shared" si="9"/>
        <v>#VALUE!</v>
      </c>
    </row>
    <row r="56" spans="1:29" hidden="1">
      <c r="A56" s="276">
        <v>50</v>
      </c>
      <c r="B56" s="162" t="s">
        <v>100</v>
      </c>
      <c r="C56" s="462">
        <v>0</v>
      </c>
      <c r="D56" s="462">
        <v>0</v>
      </c>
      <c r="E56" s="462">
        <v>0</v>
      </c>
      <c r="F56" s="462">
        <v>0</v>
      </c>
      <c r="G56" s="696"/>
      <c r="H56" s="696"/>
      <c r="I56" s="462"/>
      <c r="J56" s="462"/>
      <c r="K56" s="462"/>
      <c r="L56" s="462"/>
      <c r="M56" s="462"/>
      <c r="N56" s="462"/>
      <c r="O56" s="462"/>
      <c r="P56" s="462"/>
      <c r="Q56" s="276"/>
      <c r="R56" s="467">
        <f t="shared" si="0"/>
        <v>0</v>
      </c>
      <c r="S56" s="468">
        <f t="shared" si="1"/>
        <v>0</v>
      </c>
      <c r="T56" s="468">
        <f t="shared" si="2"/>
        <v>0</v>
      </c>
      <c r="U56" s="468">
        <f t="shared" si="3"/>
        <v>0</v>
      </c>
      <c r="V56" s="467">
        <f t="shared" si="4"/>
        <v>0</v>
      </c>
      <c r="W56" s="468">
        <f t="shared" si="5"/>
        <v>0</v>
      </c>
      <c r="X56" s="468">
        <f t="shared" si="6"/>
        <v>0</v>
      </c>
      <c r="Y56" s="468">
        <f t="shared" si="7"/>
        <v>0</v>
      </c>
      <c r="Z56" s="469" t="e">
        <f t="shared" si="9"/>
        <v>#DIV/0!</v>
      </c>
      <c r="AA56" s="469" t="e">
        <f t="shared" si="9"/>
        <v>#DIV/0!</v>
      </c>
      <c r="AB56" s="469" t="e">
        <f t="shared" si="9"/>
        <v>#DIV/0!</v>
      </c>
      <c r="AC56" s="469" t="e">
        <f t="shared" si="9"/>
        <v>#DIV/0!</v>
      </c>
    </row>
    <row r="57" spans="1:29">
      <c r="A57" s="276">
        <v>51</v>
      </c>
      <c r="B57" s="162" t="s">
        <v>101</v>
      </c>
      <c r="C57" s="462">
        <v>2</v>
      </c>
      <c r="D57" s="462">
        <v>2</v>
      </c>
      <c r="E57" s="462">
        <v>2</v>
      </c>
      <c r="F57" s="462">
        <v>2</v>
      </c>
      <c r="G57" s="696"/>
      <c r="H57" s="696"/>
      <c r="I57" s="462" t="s">
        <v>889</v>
      </c>
      <c r="J57" s="462" t="s">
        <v>891</v>
      </c>
      <c r="K57" s="462" t="s">
        <v>889</v>
      </c>
      <c r="L57" s="462" t="s">
        <v>891</v>
      </c>
      <c r="M57" s="462" t="s">
        <v>889</v>
      </c>
      <c r="N57" s="462" t="s">
        <v>891</v>
      </c>
      <c r="O57" s="462" t="s">
        <v>889</v>
      </c>
      <c r="P57" s="462" t="s">
        <v>891</v>
      </c>
      <c r="Q57" s="276">
        <v>30</v>
      </c>
      <c r="R57" s="467" t="e">
        <f t="shared" si="0"/>
        <v>#VALUE!</v>
      </c>
      <c r="S57" s="468" t="e">
        <f t="shared" si="1"/>
        <v>#VALUE!</v>
      </c>
      <c r="T57" s="468" t="e">
        <f t="shared" si="2"/>
        <v>#VALUE!</v>
      </c>
      <c r="U57" s="468" t="e">
        <f t="shared" si="3"/>
        <v>#VALUE!</v>
      </c>
      <c r="V57" s="467" t="e">
        <f t="shared" si="4"/>
        <v>#VALUE!</v>
      </c>
      <c r="W57" s="468" t="e">
        <f t="shared" si="5"/>
        <v>#VALUE!</v>
      </c>
      <c r="X57" s="468" t="e">
        <f t="shared" si="6"/>
        <v>#VALUE!</v>
      </c>
      <c r="Y57" s="468" t="e">
        <f t="shared" si="7"/>
        <v>#VALUE!</v>
      </c>
      <c r="Z57" s="469" t="e">
        <f t="shared" si="9"/>
        <v>#VALUE!</v>
      </c>
      <c r="AA57" s="469" t="e">
        <f t="shared" si="9"/>
        <v>#VALUE!</v>
      </c>
      <c r="AB57" s="469" t="e">
        <f t="shared" si="9"/>
        <v>#VALUE!</v>
      </c>
      <c r="AC57" s="469" t="e">
        <f t="shared" si="9"/>
        <v>#VALUE!</v>
      </c>
    </row>
    <row r="58" spans="1:29">
      <c r="A58" s="276">
        <v>52</v>
      </c>
      <c r="B58" s="162" t="s">
        <v>102</v>
      </c>
      <c r="C58" s="462">
        <v>1</v>
      </c>
      <c r="D58" s="462">
        <v>1</v>
      </c>
      <c r="E58" s="462">
        <v>1</v>
      </c>
      <c r="F58" s="462">
        <v>1</v>
      </c>
      <c r="G58" s="696"/>
      <c r="H58" s="696"/>
      <c r="I58" s="462" t="s">
        <v>889</v>
      </c>
      <c r="J58" s="462" t="s">
        <v>891</v>
      </c>
      <c r="K58" s="462" t="s">
        <v>889</v>
      </c>
      <c r="L58" s="462" t="s">
        <v>891</v>
      </c>
      <c r="M58" s="462" t="s">
        <v>889</v>
      </c>
      <c r="N58" s="462" t="s">
        <v>891</v>
      </c>
      <c r="O58" s="462" t="s">
        <v>889</v>
      </c>
      <c r="P58" s="462" t="s">
        <v>891</v>
      </c>
      <c r="Q58" s="276">
        <v>30</v>
      </c>
      <c r="R58" s="467" t="e">
        <f t="shared" si="0"/>
        <v>#VALUE!</v>
      </c>
      <c r="S58" s="468" t="e">
        <f t="shared" si="1"/>
        <v>#VALUE!</v>
      </c>
      <c r="T58" s="468" t="e">
        <f t="shared" si="2"/>
        <v>#VALUE!</v>
      </c>
      <c r="U58" s="468" t="e">
        <f t="shared" si="3"/>
        <v>#VALUE!</v>
      </c>
      <c r="V58" s="467" t="e">
        <f t="shared" si="4"/>
        <v>#VALUE!</v>
      </c>
      <c r="W58" s="468" t="e">
        <f t="shared" si="5"/>
        <v>#VALUE!</v>
      </c>
      <c r="X58" s="468" t="e">
        <f t="shared" si="6"/>
        <v>#VALUE!</v>
      </c>
      <c r="Y58" s="468" t="e">
        <f t="shared" si="7"/>
        <v>#VALUE!</v>
      </c>
      <c r="Z58" s="469" t="e">
        <f t="shared" si="9"/>
        <v>#VALUE!</v>
      </c>
      <c r="AA58" s="469" t="e">
        <f t="shared" si="9"/>
        <v>#VALUE!</v>
      </c>
      <c r="AB58" s="469" t="e">
        <f t="shared" si="9"/>
        <v>#VALUE!</v>
      </c>
      <c r="AC58" s="469" t="e">
        <f t="shared" si="9"/>
        <v>#VALUE!</v>
      </c>
    </row>
    <row r="59" spans="1:29">
      <c r="A59" s="276">
        <v>53</v>
      </c>
      <c r="B59" s="162" t="s">
        <v>103</v>
      </c>
      <c r="C59" s="462">
        <v>1</v>
      </c>
      <c r="D59" s="462">
        <v>1</v>
      </c>
      <c r="E59" s="462">
        <v>1</v>
      </c>
      <c r="F59" s="462">
        <v>1</v>
      </c>
      <c r="G59" s="696"/>
      <c r="H59" s="696"/>
      <c r="I59" s="462" t="s">
        <v>889</v>
      </c>
      <c r="J59" s="462" t="s">
        <v>891</v>
      </c>
      <c r="K59" s="462" t="s">
        <v>889</v>
      </c>
      <c r="L59" s="462" t="s">
        <v>891</v>
      </c>
      <c r="M59" s="462" t="s">
        <v>889</v>
      </c>
      <c r="N59" s="462" t="s">
        <v>891</v>
      </c>
      <c r="O59" s="462" t="s">
        <v>889</v>
      </c>
      <c r="P59" s="462" t="s">
        <v>891</v>
      </c>
      <c r="Q59" s="276">
        <v>30</v>
      </c>
      <c r="R59" s="467" t="e">
        <f t="shared" si="0"/>
        <v>#VALUE!</v>
      </c>
      <c r="S59" s="468" t="e">
        <f t="shared" si="1"/>
        <v>#VALUE!</v>
      </c>
      <c r="T59" s="468" t="e">
        <f t="shared" si="2"/>
        <v>#VALUE!</v>
      </c>
      <c r="U59" s="468" t="e">
        <f t="shared" si="3"/>
        <v>#VALUE!</v>
      </c>
      <c r="V59" s="467" t="e">
        <f t="shared" si="4"/>
        <v>#VALUE!</v>
      </c>
      <c r="W59" s="468" t="e">
        <f t="shared" si="5"/>
        <v>#VALUE!</v>
      </c>
      <c r="X59" s="468" t="e">
        <f t="shared" si="6"/>
        <v>#VALUE!</v>
      </c>
      <c r="Y59" s="468" t="e">
        <f t="shared" si="7"/>
        <v>#VALUE!</v>
      </c>
      <c r="Z59" s="469" t="e">
        <f t="shared" si="9"/>
        <v>#VALUE!</v>
      </c>
      <c r="AA59" s="469" t="e">
        <f t="shared" si="9"/>
        <v>#VALUE!</v>
      </c>
      <c r="AB59" s="469" t="e">
        <f t="shared" si="9"/>
        <v>#VALUE!</v>
      </c>
      <c r="AC59" s="469" t="e">
        <f t="shared" si="9"/>
        <v>#VALUE!</v>
      </c>
    </row>
    <row r="60" spans="1:29">
      <c r="A60" s="276">
        <v>54</v>
      </c>
      <c r="B60" s="162" t="s">
        <v>104</v>
      </c>
      <c r="C60" s="462">
        <v>1</v>
      </c>
      <c r="D60" s="462">
        <v>1</v>
      </c>
      <c r="E60" s="462">
        <v>1</v>
      </c>
      <c r="F60" s="462">
        <v>1</v>
      </c>
      <c r="G60" s="696"/>
      <c r="H60" s="696"/>
      <c r="I60" s="462" t="s">
        <v>889</v>
      </c>
      <c r="J60" s="462" t="s">
        <v>891</v>
      </c>
      <c r="K60" s="462" t="s">
        <v>889</v>
      </c>
      <c r="L60" s="462" t="s">
        <v>891</v>
      </c>
      <c r="M60" s="462" t="s">
        <v>889</v>
      </c>
      <c r="N60" s="462" t="s">
        <v>891</v>
      </c>
      <c r="O60" s="462" t="s">
        <v>889</v>
      </c>
      <c r="P60" s="462" t="s">
        <v>891</v>
      </c>
      <c r="Q60" s="276">
        <v>30</v>
      </c>
      <c r="R60" s="467" t="e">
        <f t="shared" si="0"/>
        <v>#VALUE!</v>
      </c>
      <c r="S60" s="468" t="e">
        <f t="shared" si="1"/>
        <v>#VALUE!</v>
      </c>
      <c r="T60" s="468" t="e">
        <f t="shared" si="2"/>
        <v>#VALUE!</v>
      </c>
      <c r="U60" s="468" t="e">
        <f t="shared" si="3"/>
        <v>#VALUE!</v>
      </c>
      <c r="V60" s="467" t="e">
        <f t="shared" si="4"/>
        <v>#VALUE!</v>
      </c>
      <c r="W60" s="468" t="e">
        <f t="shared" si="5"/>
        <v>#VALUE!</v>
      </c>
      <c r="X60" s="468" t="e">
        <f t="shared" si="6"/>
        <v>#VALUE!</v>
      </c>
      <c r="Y60" s="468" t="e">
        <f t="shared" si="7"/>
        <v>#VALUE!</v>
      </c>
      <c r="Z60" s="469" t="e">
        <f t="shared" si="9"/>
        <v>#VALUE!</v>
      </c>
      <c r="AA60" s="469" t="e">
        <f t="shared" si="9"/>
        <v>#VALUE!</v>
      </c>
      <c r="AB60" s="469" t="e">
        <f t="shared" si="9"/>
        <v>#VALUE!</v>
      </c>
      <c r="AC60" s="469" t="e">
        <f t="shared" si="9"/>
        <v>#VALUE!</v>
      </c>
    </row>
    <row r="61" spans="1:29">
      <c r="A61" s="276">
        <v>55</v>
      </c>
      <c r="B61" s="162" t="s">
        <v>105</v>
      </c>
      <c r="C61" s="462">
        <v>1</v>
      </c>
      <c r="D61" s="462">
        <v>1</v>
      </c>
      <c r="E61" s="462">
        <v>1</v>
      </c>
      <c r="F61" s="462">
        <v>1</v>
      </c>
      <c r="G61" s="696"/>
      <c r="H61" s="696"/>
      <c r="I61" s="462" t="s">
        <v>889</v>
      </c>
      <c r="J61" s="462" t="s">
        <v>891</v>
      </c>
      <c r="K61" s="462" t="s">
        <v>889</v>
      </c>
      <c r="L61" s="462" t="s">
        <v>891</v>
      </c>
      <c r="M61" s="462" t="s">
        <v>889</v>
      </c>
      <c r="N61" s="462" t="s">
        <v>891</v>
      </c>
      <c r="O61" s="462" t="s">
        <v>889</v>
      </c>
      <c r="P61" s="462" t="s">
        <v>891</v>
      </c>
      <c r="Q61" s="276">
        <v>30</v>
      </c>
      <c r="R61" s="467" t="e">
        <f t="shared" si="0"/>
        <v>#VALUE!</v>
      </c>
      <c r="S61" s="468" t="e">
        <f t="shared" si="1"/>
        <v>#VALUE!</v>
      </c>
      <c r="T61" s="468" t="e">
        <f t="shared" si="2"/>
        <v>#VALUE!</v>
      </c>
      <c r="U61" s="468" t="e">
        <f t="shared" si="3"/>
        <v>#VALUE!</v>
      </c>
      <c r="V61" s="467" t="e">
        <f t="shared" si="4"/>
        <v>#VALUE!</v>
      </c>
      <c r="W61" s="468" t="e">
        <f t="shared" si="5"/>
        <v>#VALUE!</v>
      </c>
      <c r="X61" s="468" t="e">
        <f t="shared" si="6"/>
        <v>#VALUE!</v>
      </c>
      <c r="Y61" s="468" t="e">
        <f t="shared" si="7"/>
        <v>#VALUE!</v>
      </c>
      <c r="Z61" s="469" t="e">
        <f t="shared" si="9"/>
        <v>#VALUE!</v>
      </c>
      <c r="AA61" s="469" t="e">
        <f t="shared" si="9"/>
        <v>#VALUE!</v>
      </c>
      <c r="AB61" s="469" t="e">
        <f t="shared" si="9"/>
        <v>#VALUE!</v>
      </c>
      <c r="AC61" s="469" t="e">
        <f t="shared" si="9"/>
        <v>#VALUE!</v>
      </c>
    </row>
    <row r="62" spans="1:29">
      <c r="A62" s="276">
        <v>56</v>
      </c>
      <c r="B62" s="162" t="s">
        <v>106</v>
      </c>
      <c r="C62" s="462">
        <v>1</v>
      </c>
      <c r="D62" s="462">
        <v>1</v>
      </c>
      <c r="E62" s="462">
        <v>1</v>
      </c>
      <c r="F62" s="462">
        <v>1</v>
      </c>
      <c r="G62" s="696"/>
      <c r="H62" s="696"/>
      <c r="I62" s="462" t="s">
        <v>889</v>
      </c>
      <c r="J62" s="462" t="s">
        <v>891</v>
      </c>
      <c r="K62" s="462" t="s">
        <v>889</v>
      </c>
      <c r="L62" s="462" t="s">
        <v>891</v>
      </c>
      <c r="M62" s="462" t="s">
        <v>889</v>
      </c>
      <c r="N62" s="462" t="s">
        <v>891</v>
      </c>
      <c r="O62" s="462" t="s">
        <v>889</v>
      </c>
      <c r="P62" s="462" t="s">
        <v>891</v>
      </c>
      <c r="Q62" s="276">
        <v>30</v>
      </c>
      <c r="R62" s="467" t="e">
        <f t="shared" si="0"/>
        <v>#VALUE!</v>
      </c>
      <c r="S62" s="468" t="e">
        <f t="shared" si="1"/>
        <v>#VALUE!</v>
      </c>
      <c r="T62" s="468" t="e">
        <f t="shared" si="2"/>
        <v>#VALUE!</v>
      </c>
      <c r="U62" s="468" t="e">
        <f t="shared" si="3"/>
        <v>#VALUE!</v>
      </c>
      <c r="V62" s="467" t="e">
        <f t="shared" si="4"/>
        <v>#VALUE!</v>
      </c>
      <c r="W62" s="468" t="e">
        <f t="shared" si="5"/>
        <v>#VALUE!</v>
      </c>
      <c r="X62" s="468" t="e">
        <f t="shared" si="6"/>
        <v>#VALUE!</v>
      </c>
      <c r="Y62" s="468" t="e">
        <f t="shared" si="7"/>
        <v>#VALUE!</v>
      </c>
      <c r="Z62" s="469" t="e">
        <f t="shared" si="9"/>
        <v>#VALUE!</v>
      </c>
      <c r="AA62" s="469" t="e">
        <f t="shared" si="9"/>
        <v>#VALUE!</v>
      </c>
      <c r="AB62" s="469" t="e">
        <f t="shared" si="9"/>
        <v>#VALUE!</v>
      </c>
      <c r="AC62" s="469" t="e">
        <f t="shared" si="9"/>
        <v>#VALUE!</v>
      </c>
    </row>
    <row r="63" spans="1:29">
      <c r="A63" s="276">
        <v>57</v>
      </c>
      <c r="B63" s="162" t="s">
        <v>107</v>
      </c>
      <c r="C63" s="462">
        <v>1</v>
      </c>
      <c r="D63" s="462">
        <v>1</v>
      </c>
      <c r="E63" s="462">
        <v>1</v>
      </c>
      <c r="F63" s="462">
        <v>1</v>
      </c>
      <c r="G63" s="696"/>
      <c r="H63" s="696"/>
      <c r="I63" s="462" t="s">
        <v>889</v>
      </c>
      <c r="J63" s="462" t="s">
        <v>891</v>
      </c>
      <c r="K63" s="462" t="s">
        <v>889</v>
      </c>
      <c r="L63" s="462" t="s">
        <v>891</v>
      </c>
      <c r="M63" s="462" t="s">
        <v>889</v>
      </c>
      <c r="N63" s="462" t="s">
        <v>891</v>
      </c>
      <c r="O63" s="462" t="s">
        <v>889</v>
      </c>
      <c r="P63" s="462" t="s">
        <v>891</v>
      </c>
      <c r="Q63" s="276">
        <v>30</v>
      </c>
      <c r="R63" s="467" t="e">
        <f t="shared" si="0"/>
        <v>#VALUE!</v>
      </c>
      <c r="S63" s="468" t="e">
        <f t="shared" si="1"/>
        <v>#VALUE!</v>
      </c>
      <c r="T63" s="468" t="e">
        <f t="shared" si="2"/>
        <v>#VALUE!</v>
      </c>
      <c r="U63" s="468" t="e">
        <f t="shared" si="3"/>
        <v>#VALUE!</v>
      </c>
      <c r="V63" s="467" t="e">
        <f t="shared" si="4"/>
        <v>#VALUE!</v>
      </c>
      <c r="W63" s="468" t="e">
        <f t="shared" si="5"/>
        <v>#VALUE!</v>
      </c>
      <c r="X63" s="468" t="e">
        <f t="shared" si="6"/>
        <v>#VALUE!</v>
      </c>
      <c r="Y63" s="468" t="e">
        <f t="shared" si="7"/>
        <v>#VALUE!</v>
      </c>
      <c r="Z63" s="469" t="e">
        <f t="shared" si="9"/>
        <v>#VALUE!</v>
      </c>
      <c r="AA63" s="469" t="e">
        <f t="shared" si="9"/>
        <v>#VALUE!</v>
      </c>
      <c r="AB63" s="469" t="e">
        <f t="shared" si="9"/>
        <v>#VALUE!</v>
      </c>
      <c r="AC63" s="469" t="e">
        <f t="shared" si="9"/>
        <v>#VALUE!</v>
      </c>
    </row>
    <row r="64" spans="1:29">
      <c r="A64" s="276">
        <v>58</v>
      </c>
      <c r="B64" s="162" t="s">
        <v>108</v>
      </c>
      <c r="C64" s="462">
        <v>1</v>
      </c>
      <c r="D64" s="462">
        <v>1</v>
      </c>
      <c r="E64" s="462">
        <v>1</v>
      </c>
      <c r="F64" s="462">
        <v>1</v>
      </c>
      <c r="G64" s="696"/>
      <c r="H64" s="696"/>
      <c r="I64" s="462" t="s">
        <v>889</v>
      </c>
      <c r="J64" s="462" t="s">
        <v>891</v>
      </c>
      <c r="K64" s="462" t="s">
        <v>889</v>
      </c>
      <c r="L64" s="462" t="s">
        <v>891</v>
      </c>
      <c r="M64" s="462" t="s">
        <v>889</v>
      </c>
      <c r="N64" s="462" t="s">
        <v>891</v>
      </c>
      <c r="O64" s="462" t="s">
        <v>889</v>
      </c>
      <c r="P64" s="462" t="s">
        <v>891</v>
      </c>
      <c r="Q64" s="276">
        <v>30</v>
      </c>
      <c r="R64" s="467" t="e">
        <f t="shared" si="0"/>
        <v>#VALUE!</v>
      </c>
      <c r="S64" s="468" t="e">
        <f t="shared" si="1"/>
        <v>#VALUE!</v>
      </c>
      <c r="T64" s="468" t="e">
        <f t="shared" si="2"/>
        <v>#VALUE!</v>
      </c>
      <c r="U64" s="468" t="e">
        <f t="shared" si="3"/>
        <v>#VALUE!</v>
      </c>
      <c r="V64" s="467" t="e">
        <f t="shared" si="4"/>
        <v>#VALUE!</v>
      </c>
      <c r="W64" s="468" t="e">
        <f t="shared" si="5"/>
        <v>#VALUE!</v>
      </c>
      <c r="X64" s="468" t="e">
        <f t="shared" si="6"/>
        <v>#VALUE!</v>
      </c>
      <c r="Y64" s="468" t="e">
        <f t="shared" si="7"/>
        <v>#VALUE!</v>
      </c>
      <c r="Z64" s="469" t="e">
        <f t="shared" si="9"/>
        <v>#VALUE!</v>
      </c>
      <c r="AA64" s="469" t="e">
        <f t="shared" si="9"/>
        <v>#VALUE!</v>
      </c>
      <c r="AB64" s="469" t="e">
        <f t="shared" si="9"/>
        <v>#VALUE!</v>
      </c>
      <c r="AC64" s="469" t="e">
        <f t="shared" si="9"/>
        <v>#VALUE!</v>
      </c>
    </row>
    <row r="65" spans="1:29">
      <c r="A65" s="276">
        <v>59</v>
      </c>
      <c r="B65" s="162" t="s">
        <v>109</v>
      </c>
      <c r="C65" s="462">
        <v>1</v>
      </c>
      <c r="D65" s="462">
        <v>1</v>
      </c>
      <c r="E65" s="462">
        <v>1</v>
      </c>
      <c r="F65" s="462">
        <v>1</v>
      </c>
      <c r="G65" s="696"/>
      <c r="H65" s="696"/>
      <c r="I65" s="462" t="s">
        <v>889</v>
      </c>
      <c r="J65" s="462" t="s">
        <v>891</v>
      </c>
      <c r="K65" s="462" t="s">
        <v>889</v>
      </c>
      <c r="L65" s="462" t="s">
        <v>891</v>
      </c>
      <c r="M65" s="462" t="s">
        <v>889</v>
      </c>
      <c r="N65" s="462" t="s">
        <v>891</v>
      </c>
      <c r="O65" s="462" t="s">
        <v>889</v>
      </c>
      <c r="P65" s="462" t="s">
        <v>891</v>
      </c>
      <c r="Q65" s="276">
        <v>30</v>
      </c>
      <c r="R65" s="467" t="e">
        <f t="shared" si="0"/>
        <v>#VALUE!</v>
      </c>
      <c r="S65" s="468" t="e">
        <f t="shared" si="1"/>
        <v>#VALUE!</v>
      </c>
      <c r="T65" s="468" t="e">
        <f t="shared" si="2"/>
        <v>#VALUE!</v>
      </c>
      <c r="U65" s="468" t="e">
        <f t="shared" si="3"/>
        <v>#VALUE!</v>
      </c>
      <c r="V65" s="467" t="e">
        <f t="shared" si="4"/>
        <v>#VALUE!</v>
      </c>
      <c r="W65" s="468" t="e">
        <f t="shared" si="5"/>
        <v>#VALUE!</v>
      </c>
      <c r="X65" s="468" t="e">
        <f t="shared" si="6"/>
        <v>#VALUE!</v>
      </c>
      <c r="Y65" s="468" t="e">
        <f t="shared" si="7"/>
        <v>#VALUE!</v>
      </c>
      <c r="Z65" s="469" t="e">
        <f t="shared" si="9"/>
        <v>#VALUE!</v>
      </c>
      <c r="AA65" s="469" t="e">
        <f t="shared" si="9"/>
        <v>#VALUE!</v>
      </c>
      <c r="AB65" s="469" t="e">
        <f t="shared" si="9"/>
        <v>#VALUE!</v>
      </c>
      <c r="AC65" s="469" t="e">
        <f t="shared" si="9"/>
        <v>#VALUE!</v>
      </c>
    </row>
    <row r="66" spans="1:29">
      <c r="A66" s="276">
        <v>60</v>
      </c>
      <c r="B66" s="162" t="s">
        <v>110</v>
      </c>
      <c r="C66" s="462">
        <v>1</v>
      </c>
      <c r="D66" s="462">
        <v>1</v>
      </c>
      <c r="E66" s="462">
        <v>1</v>
      </c>
      <c r="F66" s="462">
        <v>1</v>
      </c>
      <c r="G66" s="696"/>
      <c r="H66" s="696"/>
      <c r="I66" s="462" t="s">
        <v>889</v>
      </c>
      <c r="J66" s="462" t="s">
        <v>891</v>
      </c>
      <c r="K66" s="462" t="s">
        <v>889</v>
      </c>
      <c r="L66" s="462" t="s">
        <v>891</v>
      </c>
      <c r="M66" s="462" t="s">
        <v>889</v>
      </c>
      <c r="N66" s="462" t="s">
        <v>891</v>
      </c>
      <c r="O66" s="462" t="s">
        <v>889</v>
      </c>
      <c r="P66" s="462" t="s">
        <v>891</v>
      </c>
      <c r="Q66" s="276">
        <v>30</v>
      </c>
      <c r="R66" s="467" t="e">
        <f t="shared" si="0"/>
        <v>#VALUE!</v>
      </c>
      <c r="S66" s="468" t="e">
        <f t="shared" si="1"/>
        <v>#VALUE!</v>
      </c>
      <c r="T66" s="468" t="e">
        <f t="shared" si="2"/>
        <v>#VALUE!</v>
      </c>
      <c r="U66" s="468" t="e">
        <f t="shared" si="3"/>
        <v>#VALUE!</v>
      </c>
      <c r="V66" s="467" t="e">
        <f t="shared" si="4"/>
        <v>#VALUE!</v>
      </c>
      <c r="W66" s="468" t="e">
        <f t="shared" si="5"/>
        <v>#VALUE!</v>
      </c>
      <c r="X66" s="468" t="e">
        <f t="shared" si="6"/>
        <v>#VALUE!</v>
      </c>
      <c r="Y66" s="468" t="e">
        <f t="shared" si="7"/>
        <v>#VALUE!</v>
      </c>
      <c r="Z66" s="469" t="e">
        <f t="shared" si="9"/>
        <v>#VALUE!</v>
      </c>
      <c r="AA66" s="469" t="e">
        <f t="shared" si="9"/>
        <v>#VALUE!</v>
      </c>
      <c r="AB66" s="469" t="e">
        <f t="shared" si="9"/>
        <v>#VALUE!</v>
      </c>
      <c r="AC66" s="469" t="e">
        <f t="shared" si="9"/>
        <v>#VALUE!</v>
      </c>
    </row>
    <row r="67" spans="1:29">
      <c r="A67" s="276">
        <v>61</v>
      </c>
      <c r="B67" s="162" t="s">
        <v>111</v>
      </c>
      <c r="C67" s="462">
        <v>1</v>
      </c>
      <c r="D67" s="462">
        <v>1</v>
      </c>
      <c r="E67" s="462">
        <v>1</v>
      </c>
      <c r="F67" s="462">
        <v>1</v>
      </c>
      <c r="G67" s="696"/>
      <c r="H67" s="696"/>
      <c r="I67" s="462" t="s">
        <v>889</v>
      </c>
      <c r="J67" s="462" t="s">
        <v>891</v>
      </c>
      <c r="K67" s="462" t="s">
        <v>889</v>
      </c>
      <c r="L67" s="462" t="s">
        <v>891</v>
      </c>
      <c r="M67" s="462" t="s">
        <v>889</v>
      </c>
      <c r="N67" s="462" t="s">
        <v>891</v>
      </c>
      <c r="O67" s="462" t="s">
        <v>889</v>
      </c>
      <c r="P67" s="462" t="s">
        <v>891</v>
      </c>
      <c r="Q67" s="276">
        <v>30</v>
      </c>
      <c r="R67" s="467" t="e">
        <f t="shared" si="0"/>
        <v>#VALUE!</v>
      </c>
      <c r="S67" s="468" t="e">
        <f t="shared" si="1"/>
        <v>#VALUE!</v>
      </c>
      <c r="T67" s="468" t="e">
        <f t="shared" si="2"/>
        <v>#VALUE!</v>
      </c>
      <c r="U67" s="468" t="e">
        <f t="shared" si="3"/>
        <v>#VALUE!</v>
      </c>
      <c r="V67" s="467" t="e">
        <f t="shared" si="4"/>
        <v>#VALUE!</v>
      </c>
      <c r="W67" s="468" t="e">
        <f t="shared" si="5"/>
        <v>#VALUE!</v>
      </c>
      <c r="X67" s="468" t="e">
        <f t="shared" si="6"/>
        <v>#VALUE!</v>
      </c>
      <c r="Y67" s="468" t="e">
        <f t="shared" si="7"/>
        <v>#VALUE!</v>
      </c>
      <c r="Z67" s="469" t="e">
        <f t="shared" si="9"/>
        <v>#VALUE!</v>
      </c>
      <c r="AA67" s="469" t="e">
        <f t="shared" si="9"/>
        <v>#VALUE!</v>
      </c>
      <c r="AB67" s="469" t="e">
        <f t="shared" si="9"/>
        <v>#VALUE!</v>
      </c>
      <c r="AC67" s="469" t="e">
        <f t="shared" si="9"/>
        <v>#VALUE!</v>
      </c>
    </row>
    <row r="68" spans="1:29">
      <c r="A68" s="276">
        <v>62</v>
      </c>
      <c r="B68" s="162" t="s">
        <v>112</v>
      </c>
      <c r="C68" s="462">
        <v>1</v>
      </c>
      <c r="D68" s="462">
        <v>1</v>
      </c>
      <c r="E68" s="462">
        <v>1</v>
      </c>
      <c r="F68" s="462">
        <v>1</v>
      </c>
      <c r="G68" s="696"/>
      <c r="H68" s="696"/>
      <c r="I68" s="462" t="s">
        <v>889</v>
      </c>
      <c r="J68" s="462" t="s">
        <v>891</v>
      </c>
      <c r="K68" s="462" t="s">
        <v>889</v>
      </c>
      <c r="L68" s="462" t="s">
        <v>891</v>
      </c>
      <c r="M68" s="462" t="s">
        <v>889</v>
      </c>
      <c r="N68" s="462" t="s">
        <v>891</v>
      </c>
      <c r="O68" s="462" t="s">
        <v>889</v>
      </c>
      <c r="P68" s="462" t="s">
        <v>891</v>
      </c>
      <c r="Q68" s="276">
        <v>30</v>
      </c>
      <c r="R68" s="467" t="e">
        <f t="shared" si="0"/>
        <v>#VALUE!</v>
      </c>
      <c r="S68" s="468" t="e">
        <f t="shared" si="1"/>
        <v>#VALUE!</v>
      </c>
      <c r="T68" s="468" t="e">
        <f t="shared" si="2"/>
        <v>#VALUE!</v>
      </c>
      <c r="U68" s="468" t="e">
        <f t="shared" si="3"/>
        <v>#VALUE!</v>
      </c>
      <c r="V68" s="467" t="e">
        <f t="shared" si="4"/>
        <v>#VALUE!</v>
      </c>
      <c r="W68" s="468" t="e">
        <f t="shared" si="5"/>
        <v>#VALUE!</v>
      </c>
      <c r="X68" s="468" t="e">
        <f t="shared" si="6"/>
        <v>#VALUE!</v>
      </c>
      <c r="Y68" s="468" t="e">
        <f t="shared" si="7"/>
        <v>#VALUE!</v>
      </c>
      <c r="Z68" s="469" t="e">
        <f t="shared" si="9"/>
        <v>#VALUE!</v>
      </c>
      <c r="AA68" s="469" t="e">
        <f t="shared" si="9"/>
        <v>#VALUE!</v>
      </c>
      <c r="AB68" s="469" t="e">
        <f t="shared" si="9"/>
        <v>#VALUE!</v>
      </c>
      <c r="AC68" s="469" t="e">
        <f t="shared" si="9"/>
        <v>#VALUE!</v>
      </c>
    </row>
    <row r="69" spans="1:29">
      <c r="A69" s="276">
        <v>63</v>
      </c>
      <c r="B69" s="162" t="s">
        <v>113</v>
      </c>
      <c r="C69" s="462">
        <v>1</v>
      </c>
      <c r="D69" s="462">
        <v>1</v>
      </c>
      <c r="E69" s="462">
        <v>1</v>
      </c>
      <c r="F69" s="462">
        <v>1</v>
      </c>
      <c r="G69" s="696"/>
      <c r="H69" s="696"/>
      <c r="I69" s="462" t="s">
        <v>889</v>
      </c>
      <c r="J69" s="462" t="s">
        <v>891</v>
      </c>
      <c r="K69" s="462" t="s">
        <v>889</v>
      </c>
      <c r="L69" s="462" t="s">
        <v>891</v>
      </c>
      <c r="M69" s="462" t="s">
        <v>889</v>
      </c>
      <c r="N69" s="462" t="s">
        <v>891</v>
      </c>
      <c r="O69" s="462" t="s">
        <v>889</v>
      </c>
      <c r="P69" s="462" t="s">
        <v>891</v>
      </c>
      <c r="Q69" s="276">
        <v>30</v>
      </c>
      <c r="R69" s="467" t="e">
        <f t="shared" si="0"/>
        <v>#VALUE!</v>
      </c>
      <c r="S69" s="468" t="e">
        <f t="shared" si="1"/>
        <v>#VALUE!</v>
      </c>
      <c r="T69" s="468" t="e">
        <f t="shared" si="2"/>
        <v>#VALUE!</v>
      </c>
      <c r="U69" s="468" t="e">
        <f t="shared" si="3"/>
        <v>#VALUE!</v>
      </c>
      <c r="V69" s="467" t="e">
        <f t="shared" si="4"/>
        <v>#VALUE!</v>
      </c>
      <c r="W69" s="468" t="e">
        <f t="shared" si="5"/>
        <v>#VALUE!</v>
      </c>
      <c r="X69" s="468" t="e">
        <f t="shared" si="6"/>
        <v>#VALUE!</v>
      </c>
      <c r="Y69" s="468" t="e">
        <f t="shared" si="7"/>
        <v>#VALUE!</v>
      </c>
      <c r="Z69" s="469" t="e">
        <f t="shared" si="9"/>
        <v>#VALUE!</v>
      </c>
      <c r="AA69" s="469" t="e">
        <f t="shared" si="9"/>
        <v>#VALUE!</v>
      </c>
      <c r="AB69" s="469" t="e">
        <f t="shared" si="9"/>
        <v>#VALUE!</v>
      </c>
      <c r="AC69" s="469" t="e">
        <f t="shared" si="9"/>
        <v>#VALUE!</v>
      </c>
    </row>
    <row r="70" spans="1:29">
      <c r="A70" s="276">
        <v>64</v>
      </c>
      <c r="B70" s="162" t="s">
        <v>114</v>
      </c>
      <c r="C70" s="462">
        <v>3</v>
      </c>
      <c r="D70" s="462">
        <v>3</v>
      </c>
      <c r="E70" s="462">
        <v>3</v>
      </c>
      <c r="F70" s="462">
        <v>3</v>
      </c>
      <c r="G70" s="696"/>
      <c r="H70" s="696"/>
      <c r="I70" s="462" t="s">
        <v>889</v>
      </c>
      <c r="J70" s="462" t="s">
        <v>891</v>
      </c>
      <c r="K70" s="462" t="s">
        <v>889</v>
      </c>
      <c r="L70" s="462" t="s">
        <v>891</v>
      </c>
      <c r="M70" s="462" t="s">
        <v>889</v>
      </c>
      <c r="N70" s="462" t="s">
        <v>891</v>
      </c>
      <c r="O70" s="462" t="s">
        <v>889</v>
      </c>
      <c r="P70" s="462" t="s">
        <v>891</v>
      </c>
      <c r="Q70" s="276">
        <v>30</v>
      </c>
      <c r="R70" s="467" t="e">
        <f t="shared" si="0"/>
        <v>#VALUE!</v>
      </c>
      <c r="S70" s="468" t="e">
        <f t="shared" si="1"/>
        <v>#VALUE!</v>
      </c>
      <c r="T70" s="468" t="e">
        <f t="shared" si="2"/>
        <v>#VALUE!</v>
      </c>
      <c r="U70" s="468" t="e">
        <f t="shared" si="3"/>
        <v>#VALUE!</v>
      </c>
      <c r="V70" s="467" t="e">
        <f t="shared" si="4"/>
        <v>#VALUE!</v>
      </c>
      <c r="W70" s="468" t="e">
        <f t="shared" si="5"/>
        <v>#VALUE!</v>
      </c>
      <c r="X70" s="468" t="e">
        <f t="shared" si="6"/>
        <v>#VALUE!</v>
      </c>
      <c r="Y70" s="468" t="e">
        <f t="shared" si="7"/>
        <v>#VALUE!</v>
      </c>
      <c r="Z70" s="469" t="e">
        <f t="shared" si="9"/>
        <v>#VALUE!</v>
      </c>
      <c r="AA70" s="469" t="e">
        <f t="shared" si="9"/>
        <v>#VALUE!</v>
      </c>
      <c r="AB70" s="469" t="e">
        <f t="shared" si="9"/>
        <v>#VALUE!</v>
      </c>
      <c r="AC70" s="469" t="e">
        <f t="shared" si="9"/>
        <v>#VALUE!</v>
      </c>
    </row>
    <row r="71" spans="1:29">
      <c r="A71" s="276">
        <v>65</v>
      </c>
      <c r="B71" s="162" t="s">
        <v>115</v>
      </c>
      <c r="C71" s="462">
        <v>1</v>
      </c>
      <c r="D71" s="462">
        <v>1</v>
      </c>
      <c r="E71" s="462">
        <v>1</v>
      </c>
      <c r="F71" s="462">
        <v>1</v>
      </c>
      <c r="G71" s="696"/>
      <c r="H71" s="696"/>
      <c r="I71" s="462" t="s">
        <v>889</v>
      </c>
      <c r="J71" s="462" t="s">
        <v>891</v>
      </c>
      <c r="K71" s="462" t="s">
        <v>889</v>
      </c>
      <c r="L71" s="462" t="s">
        <v>891</v>
      </c>
      <c r="M71" s="462" t="s">
        <v>889</v>
      </c>
      <c r="N71" s="462" t="s">
        <v>891</v>
      </c>
      <c r="O71" s="462" t="s">
        <v>889</v>
      </c>
      <c r="P71" s="462" t="s">
        <v>891</v>
      </c>
      <c r="Q71" s="276">
        <v>30</v>
      </c>
      <c r="R71" s="467" t="e">
        <f t="shared" ref="R71:R134" si="10">C71*G71*I71*Q71</f>
        <v>#VALUE!</v>
      </c>
      <c r="S71" s="468" t="e">
        <f t="shared" ref="S71:S134" si="11">D71*G71*K71*Q71</f>
        <v>#VALUE!</v>
      </c>
      <c r="T71" s="468" t="e">
        <f t="shared" ref="T71:T134" si="12">E71*G71*M71*Q71</f>
        <v>#VALUE!</v>
      </c>
      <c r="U71" s="468" t="e">
        <f t="shared" ref="U71:U134" si="13">F71*G71*O71*Q71</f>
        <v>#VALUE!</v>
      </c>
      <c r="V71" s="467" t="e">
        <f t="shared" ref="V71:V134" si="14">C71*H71*I71*Q71</f>
        <v>#VALUE!</v>
      </c>
      <c r="W71" s="468" t="e">
        <f t="shared" ref="W71:W134" si="15">D71*H71*K71*Q71</f>
        <v>#VALUE!</v>
      </c>
      <c r="X71" s="468" t="e">
        <f t="shared" ref="X71:X134" si="16">E71*H71*M71*Q71</f>
        <v>#VALUE!</v>
      </c>
      <c r="Y71" s="468" t="e">
        <f t="shared" ref="Y71:Y134" si="17">F71*H71*O71*Q71</f>
        <v>#VALUE!</v>
      </c>
      <c r="Z71" s="469" t="e">
        <f t="shared" ref="Z71:AC102" si="18">V71/R71</f>
        <v>#VALUE!</v>
      </c>
      <c r="AA71" s="469" t="e">
        <f t="shared" si="18"/>
        <v>#VALUE!</v>
      </c>
      <c r="AB71" s="469" t="e">
        <f t="shared" si="18"/>
        <v>#VALUE!</v>
      </c>
      <c r="AC71" s="469" t="e">
        <f t="shared" si="18"/>
        <v>#VALUE!</v>
      </c>
    </row>
    <row r="72" spans="1:29">
      <c r="A72" s="276">
        <v>66</v>
      </c>
      <c r="B72" s="162" t="s">
        <v>116</v>
      </c>
      <c r="C72" s="462">
        <v>1</v>
      </c>
      <c r="D72" s="462">
        <v>1</v>
      </c>
      <c r="E72" s="462">
        <v>1</v>
      </c>
      <c r="F72" s="462">
        <v>1</v>
      </c>
      <c r="G72" s="696"/>
      <c r="H72" s="696"/>
      <c r="I72" s="462" t="s">
        <v>889</v>
      </c>
      <c r="J72" s="462" t="s">
        <v>891</v>
      </c>
      <c r="K72" s="462" t="s">
        <v>889</v>
      </c>
      <c r="L72" s="462" t="s">
        <v>891</v>
      </c>
      <c r="M72" s="462" t="s">
        <v>889</v>
      </c>
      <c r="N72" s="462" t="s">
        <v>891</v>
      </c>
      <c r="O72" s="462" t="s">
        <v>889</v>
      </c>
      <c r="P72" s="462" t="s">
        <v>891</v>
      </c>
      <c r="Q72" s="276">
        <v>30</v>
      </c>
      <c r="R72" s="467" t="e">
        <f t="shared" si="10"/>
        <v>#VALUE!</v>
      </c>
      <c r="S72" s="468" t="e">
        <f t="shared" si="11"/>
        <v>#VALUE!</v>
      </c>
      <c r="T72" s="468" t="e">
        <f t="shared" si="12"/>
        <v>#VALUE!</v>
      </c>
      <c r="U72" s="468" t="e">
        <f t="shared" si="13"/>
        <v>#VALUE!</v>
      </c>
      <c r="V72" s="467" t="e">
        <f t="shared" si="14"/>
        <v>#VALUE!</v>
      </c>
      <c r="W72" s="468" t="e">
        <f t="shared" si="15"/>
        <v>#VALUE!</v>
      </c>
      <c r="X72" s="468" t="e">
        <f t="shared" si="16"/>
        <v>#VALUE!</v>
      </c>
      <c r="Y72" s="468" t="e">
        <f t="shared" si="17"/>
        <v>#VALUE!</v>
      </c>
      <c r="Z72" s="469" t="e">
        <f t="shared" si="18"/>
        <v>#VALUE!</v>
      </c>
      <c r="AA72" s="469" t="e">
        <f t="shared" si="18"/>
        <v>#VALUE!</v>
      </c>
      <c r="AB72" s="469" t="e">
        <f t="shared" si="18"/>
        <v>#VALUE!</v>
      </c>
      <c r="AC72" s="469" t="e">
        <f t="shared" si="18"/>
        <v>#VALUE!</v>
      </c>
    </row>
    <row r="73" spans="1:29" hidden="1">
      <c r="A73" s="276">
        <v>67</v>
      </c>
      <c r="B73" s="162" t="s">
        <v>117</v>
      </c>
      <c r="C73" s="462">
        <v>0</v>
      </c>
      <c r="D73" s="462">
        <v>0</v>
      </c>
      <c r="E73" s="462">
        <v>0</v>
      </c>
      <c r="F73" s="462">
        <v>0</v>
      </c>
      <c r="G73" s="696"/>
      <c r="H73" s="696"/>
      <c r="I73" s="462"/>
      <c r="J73" s="462"/>
      <c r="K73" s="462"/>
      <c r="L73" s="462"/>
      <c r="M73" s="462"/>
      <c r="N73" s="462"/>
      <c r="O73" s="462"/>
      <c r="P73" s="462"/>
      <c r="Q73" s="276"/>
      <c r="R73" s="467">
        <f t="shared" si="10"/>
        <v>0</v>
      </c>
      <c r="S73" s="468">
        <f t="shared" si="11"/>
        <v>0</v>
      </c>
      <c r="T73" s="468">
        <f t="shared" si="12"/>
        <v>0</v>
      </c>
      <c r="U73" s="468">
        <f t="shared" si="13"/>
        <v>0</v>
      </c>
      <c r="V73" s="467">
        <f t="shared" si="14"/>
        <v>0</v>
      </c>
      <c r="W73" s="468">
        <f t="shared" si="15"/>
        <v>0</v>
      </c>
      <c r="X73" s="468">
        <f t="shared" si="16"/>
        <v>0</v>
      </c>
      <c r="Y73" s="468">
        <f t="shared" si="17"/>
        <v>0</v>
      </c>
      <c r="Z73" s="469" t="e">
        <f t="shared" si="18"/>
        <v>#DIV/0!</v>
      </c>
      <c r="AA73" s="469" t="e">
        <f t="shared" si="18"/>
        <v>#DIV/0!</v>
      </c>
      <c r="AB73" s="469" t="e">
        <f t="shared" si="18"/>
        <v>#DIV/0!</v>
      </c>
      <c r="AC73" s="469" t="e">
        <f t="shared" si="18"/>
        <v>#DIV/0!</v>
      </c>
    </row>
    <row r="74" spans="1:29">
      <c r="A74" s="276">
        <v>68</v>
      </c>
      <c r="B74" s="162" t="s">
        <v>118</v>
      </c>
      <c r="C74" s="462">
        <v>2</v>
      </c>
      <c r="D74" s="462">
        <v>2</v>
      </c>
      <c r="E74" s="462">
        <v>2</v>
      </c>
      <c r="F74" s="462">
        <v>2</v>
      </c>
      <c r="G74" s="696"/>
      <c r="H74" s="696"/>
      <c r="I74" s="462" t="s">
        <v>889</v>
      </c>
      <c r="J74" s="462" t="s">
        <v>891</v>
      </c>
      <c r="K74" s="462" t="s">
        <v>889</v>
      </c>
      <c r="L74" s="462" t="s">
        <v>891</v>
      </c>
      <c r="M74" s="462" t="s">
        <v>889</v>
      </c>
      <c r="N74" s="462" t="s">
        <v>891</v>
      </c>
      <c r="O74" s="462" t="s">
        <v>889</v>
      </c>
      <c r="P74" s="462" t="s">
        <v>891</v>
      </c>
      <c r="Q74" s="276">
        <v>30</v>
      </c>
      <c r="R74" s="467" t="e">
        <f t="shared" si="10"/>
        <v>#VALUE!</v>
      </c>
      <c r="S74" s="468" t="e">
        <f t="shared" si="11"/>
        <v>#VALUE!</v>
      </c>
      <c r="T74" s="468" t="e">
        <f t="shared" si="12"/>
        <v>#VALUE!</v>
      </c>
      <c r="U74" s="468" t="e">
        <f t="shared" si="13"/>
        <v>#VALUE!</v>
      </c>
      <c r="V74" s="467" t="e">
        <f t="shared" si="14"/>
        <v>#VALUE!</v>
      </c>
      <c r="W74" s="468" t="e">
        <f t="shared" si="15"/>
        <v>#VALUE!</v>
      </c>
      <c r="X74" s="468" t="e">
        <f t="shared" si="16"/>
        <v>#VALUE!</v>
      </c>
      <c r="Y74" s="468" t="e">
        <f t="shared" si="17"/>
        <v>#VALUE!</v>
      </c>
      <c r="Z74" s="469" t="e">
        <f t="shared" si="18"/>
        <v>#VALUE!</v>
      </c>
      <c r="AA74" s="469" t="e">
        <f t="shared" si="18"/>
        <v>#VALUE!</v>
      </c>
      <c r="AB74" s="469" t="e">
        <f t="shared" si="18"/>
        <v>#VALUE!</v>
      </c>
      <c r="AC74" s="469" t="e">
        <f t="shared" si="18"/>
        <v>#VALUE!</v>
      </c>
    </row>
    <row r="75" spans="1:29" hidden="1">
      <c r="A75" s="276">
        <v>69</v>
      </c>
      <c r="B75" s="162" t="s">
        <v>119</v>
      </c>
      <c r="C75" s="462"/>
      <c r="D75" s="462"/>
      <c r="E75" s="462"/>
      <c r="F75" s="462"/>
      <c r="G75" s="696"/>
      <c r="H75" s="696"/>
      <c r="I75" s="462"/>
      <c r="J75" s="462"/>
      <c r="K75" s="462"/>
      <c r="L75" s="462"/>
      <c r="M75" s="462"/>
      <c r="N75" s="462"/>
      <c r="O75" s="462"/>
      <c r="P75" s="462"/>
      <c r="Q75" s="276"/>
      <c r="R75" s="467">
        <f t="shared" si="10"/>
        <v>0</v>
      </c>
      <c r="S75" s="468">
        <f t="shared" si="11"/>
        <v>0</v>
      </c>
      <c r="T75" s="468">
        <f t="shared" si="12"/>
        <v>0</v>
      </c>
      <c r="U75" s="468">
        <f t="shared" si="13"/>
        <v>0</v>
      </c>
      <c r="V75" s="467">
        <f t="shared" si="14"/>
        <v>0</v>
      </c>
      <c r="W75" s="468">
        <f t="shared" si="15"/>
        <v>0</v>
      </c>
      <c r="X75" s="468">
        <f t="shared" si="16"/>
        <v>0</v>
      </c>
      <c r="Y75" s="468">
        <f t="shared" si="17"/>
        <v>0</v>
      </c>
      <c r="Z75" s="469" t="e">
        <f t="shared" si="18"/>
        <v>#DIV/0!</v>
      </c>
      <c r="AA75" s="469" t="e">
        <f t="shared" si="18"/>
        <v>#DIV/0!</v>
      </c>
      <c r="AB75" s="469" t="e">
        <f t="shared" si="18"/>
        <v>#DIV/0!</v>
      </c>
      <c r="AC75" s="469" t="e">
        <f t="shared" si="18"/>
        <v>#DIV/0!</v>
      </c>
    </row>
    <row r="76" spans="1:29" hidden="1">
      <c r="A76" s="276">
        <v>70</v>
      </c>
      <c r="B76" s="162" t="s">
        <v>120</v>
      </c>
      <c r="C76" s="462"/>
      <c r="D76" s="462"/>
      <c r="E76" s="462"/>
      <c r="F76" s="462"/>
      <c r="G76" s="696"/>
      <c r="H76" s="696"/>
      <c r="I76" s="462"/>
      <c r="J76" s="462"/>
      <c r="K76" s="462"/>
      <c r="L76" s="462"/>
      <c r="M76" s="462"/>
      <c r="N76" s="462"/>
      <c r="O76" s="462"/>
      <c r="P76" s="462"/>
      <c r="Q76" s="276"/>
      <c r="R76" s="467">
        <f t="shared" si="10"/>
        <v>0</v>
      </c>
      <c r="S76" s="468">
        <f t="shared" si="11"/>
        <v>0</v>
      </c>
      <c r="T76" s="468">
        <f t="shared" si="12"/>
        <v>0</v>
      </c>
      <c r="U76" s="468">
        <f t="shared" si="13"/>
        <v>0</v>
      </c>
      <c r="V76" s="467">
        <f t="shared" si="14"/>
        <v>0</v>
      </c>
      <c r="W76" s="468">
        <f t="shared" si="15"/>
        <v>0</v>
      </c>
      <c r="X76" s="468">
        <f t="shared" si="16"/>
        <v>0</v>
      </c>
      <c r="Y76" s="468">
        <f t="shared" si="17"/>
        <v>0</v>
      </c>
      <c r="Z76" s="469" t="e">
        <f t="shared" si="18"/>
        <v>#DIV/0!</v>
      </c>
      <c r="AA76" s="469" t="e">
        <f t="shared" si="18"/>
        <v>#DIV/0!</v>
      </c>
      <c r="AB76" s="469" t="e">
        <f t="shared" si="18"/>
        <v>#DIV/0!</v>
      </c>
      <c r="AC76" s="469" t="e">
        <f t="shared" si="18"/>
        <v>#DIV/0!</v>
      </c>
    </row>
    <row r="77" spans="1:29" hidden="1">
      <c r="A77" s="276">
        <v>71</v>
      </c>
      <c r="B77" s="162" t="s">
        <v>121</v>
      </c>
      <c r="C77" s="462"/>
      <c r="D77" s="462"/>
      <c r="E77" s="462"/>
      <c r="F77" s="462"/>
      <c r="G77" s="696"/>
      <c r="H77" s="696"/>
      <c r="I77" s="462"/>
      <c r="J77" s="462"/>
      <c r="K77" s="462"/>
      <c r="L77" s="462"/>
      <c r="M77" s="462"/>
      <c r="N77" s="462"/>
      <c r="O77" s="462"/>
      <c r="P77" s="462"/>
      <c r="Q77" s="276"/>
      <c r="R77" s="467">
        <f t="shared" si="10"/>
        <v>0</v>
      </c>
      <c r="S77" s="468">
        <f t="shared" si="11"/>
        <v>0</v>
      </c>
      <c r="T77" s="468">
        <f t="shared" si="12"/>
        <v>0</v>
      </c>
      <c r="U77" s="468">
        <f t="shared" si="13"/>
        <v>0</v>
      </c>
      <c r="V77" s="467">
        <f t="shared" si="14"/>
        <v>0</v>
      </c>
      <c r="W77" s="468">
        <f t="shared" si="15"/>
        <v>0</v>
      </c>
      <c r="X77" s="468">
        <f t="shared" si="16"/>
        <v>0</v>
      </c>
      <c r="Y77" s="468">
        <f t="shared" si="17"/>
        <v>0</v>
      </c>
      <c r="Z77" s="469" t="e">
        <f t="shared" si="18"/>
        <v>#DIV/0!</v>
      </c>
      <c r="AA77" s="469" t="e">
        <f t="shared" si="18"/>
        <v>#DIV/0!</v>
      </c>
      <c r="AB77" s="469" t="e">
        <f t="shared" si="18"/>
        <v>#DIV/0!</v>
      </c>
      <c r="AC77" s="469" t="e">
        <f t="shared" si="18"/>
        <v>#DIV/0!</v>
      </c>
    </row>
    <row r="78" spans="1:29">
      <c r="A78" s="276">
        <v>72</v>
      </c>
      <c r="B78" s="162" t="s">
        <v>122</v>
      </c>
      <c r="C78" s="462">
        <v>1</v>
      </c>
      <c r="D78" s="462">
        <v>1</v>
      </c>
      <c r="E78" s="462">
        <v>1</v>
      </c>
      <c r="F78" s="462">
        <v>1</v>
      </c>
      <c r="G78" s="696"/>
      <c r="H78" s="696"/>
      <c r="I78" s="462" t="s">
        <v>889</v>
      </c>
      <c r="J78" s="462" t="s">
        <v>891</v>
      </c>
      <c r="K78" s="462" t="s">
        <v>889</v>
      </c>
      <c r="L78" s="462" t="s">
        <v>891</v>
      </c>
      <c r="M78" s="462" t="s">
        <v>889</v>
      </c>
      <c r="N78" s="462" t="s">
        <v>891</v>
      </c>
      <c r="O78" s="462" t="s">
        <v>889</v>
      </c>
      <c r="P78" s="462" t="s">
        <v>891</v>
      </c>
      <c r="Q78" s="276">
        <v>30</v>
      </c>
      <c r="R78" s="467" t="e">
        <f t="shared" si="10"/>
        <v>#VALUE!</v>
      </c>
      <c r="S78" s="468" t="e">
        <f t="shared" si="11"/>
        <v>#VALUE!</v>
      </c>
      <c r="T78" s="468" t="e">
        <f t="shared" si="12"/>
        <v>#VALUE!</v>
      </c>
      <c r="U78" s="468" t="e">
        <f t="shared" si="13"/>
        <v>#VALUE!</v>
      </c>
      <c r="V78" s="467" t="e">
        <f t="shared" si="14"/>
        <v>#VALUE!</v>
      </c>
      <c r="W78" s="468" t="e">
        <f t="shared" si="15"/>
        <v>#VALUE!</v>
      </c>
      <c r="X78" s="468" t="e">
        <f t="shared" si="16"/>
        <v>#VALUE!</v>
      </c>
      <c r="Y78" s="468" t="e">
        <f t="shared" si="17"/>
        <v>#VALUE!</v>
      </c>
      <c r="Z78" s="469" t="e">
        <f t="shared" si="18"/>
        <v>#VALUE!</v>
      </c>
      <c r="AA78" s="469" t="e">
        <f t="shared" si="18"/>
        <v>#VALUE!</v>
      </c>
      <c r="AB78" s="469" t="e">
        <f t="shared" si="18"/>
        <v>#VALUE!</v>
      </c>
      <c r="AC78" s="469" t="e">
        <f t="shared" si="18"/>
        <v>#VALUE!</v>
      </c>
    </row>
    <row r="79" spans="1:29">
      <c r="A79" s="276">
        <v>73</v>
      </c>
      <c r="B79" s="162" t="s">
        <v>123</v>
      </c>
      <c r="C79" s="462">
        <v>1</v>
      </c>
      <c r="D79" s="462">
        <v>1</v>
      </c>
      <c r="E79" s="462">
        <v>1</v>
      </c>
      <c r="F79" s="462">
        <v>1</v>
      </c>
      <c r="G79" s="696"/>
      <c r="H79" s="696"/>
      <c r="I79" s="462" t="s">
        <v>889</v>
      </c>
      <c r="J79" s="462" t="s">
        <v>891</v>
      </c>
      <c r="K79" s="462" t="s">
        <v>889</v>
      </c>
      <c r="L79" s="462" t="s">
        <v>891</v>
      </c>
      <c r="M79" s="462" t="s">
        <v>889</v>
      </c>
      <c r="N79" s="462" t="s">
        <v>891</v>
      </c>
      <c r="O79" s="462" t="s">
        <v>889</v>
      </c>
      <c r="P79" s="462" t="s">
        <v>891</v>
      </c>
      <c r="Q79" s="276">
        <v>30</v>
      </c>
      <c r="R79" s="467" t="e">
        <f t="shared" si="10"/>
        <v>#VALUE!</v>
      </c>
      <c r="S79" s="468" t="e">
        <f t="shared" si="11"/>
        <v>#VALUE!</v>
      </c>
      <c r="T79" s="468" t="e">
        <f t="shared" si="12"/>
        <v>#VALUE!</v>
      </c>
      <c r="U79" s="468" t="e">
        <f t="shared" si="13"/>
        <v>#VALUE!</v>
      </c>
      <c r="V79" s="467" t="e">
        <f t="shared" si="14"/>
        <v>#VALUE!</v>
      </c>
      <c r="W79" s="468" t="e">
        <f t="shared" si="15"/>
        <v>#VALUE!</v>
      </c>
      <c r="X79" s="468" t="e">
        <f t="shared" si="16"/>
        <v>#VALUE!</v>
      </c>
      <c r="Y79" s="468" t="e">
        <f t="shared" si="17"/>
        <v>#VALUE!</v>
      </c>
      <c r="Z79" s="469" t="e">
        <f t="shared" si="18"/>
        <v>#VALUE!</v>
      </c>
      <c r="AA79" s="469" t="e">
        <f t="shared" si="18"/>
        <v>#VALUE!</v>
      </c>
      <c r="AB79" s="469" t="e">
        <f t="shared" si="18"/>
        <v>#VALUE!</v>
      </c>
      <c r="AC79" s="469" t="e">
        <f t="shared" si="18"/>
        <v>#VALUE!</v>
      </c>
    </row>
    <row r="80" spans="1:29">
      <c r="A80" s="276">
        <v>74</v>
      </c>
      <c r="B80" s="162" t="s">
        <v>124</v>
      </c>
      <c r="C80" s="462">
        <v>1</v>
      </c>
      <c r="D80" s="462">
        <v>1</v>
      </c>
      <c r="E80" s="462">
        <v>1</v>
      </c>
      <c r="F80" s="462">
        <v>1</v>
      </c>
      <c r="G80" s="696"/>
      <c r="H80" s="696"/>
      <c r="I80" s="462" t="s">
        <v>889</v>
      </c>
      <c r="J80" s="462" t="s">
        <v>891</v>
      </c>
      <c r="K80" s="462" t="s">
        <v>889</v>
      </c>
      <c r="L80" s="462" t="s">
        <v>891</v>
      </c>
      <c r="M80" s="462" t="s">
        <v>889</v>
      </c>
      <c r="N80" s="462" t="s">
        <v>891</v>
      </c>
      <c r="O80" s="462" t="s">
        <v>889</v>
      </c>
      <c r="P80" s="462" t="s">
        <v>891</v>
      </c>
      <c r="Q80" s="276">
        <v>30</v>
      </c>
      <c r="R80" s="467" t="e">
        <f t="shared" si="10"/>
        <v>#VALUE!</v>
      </c>
      <c r="S80" s="468" t="e">
        <f t="shared" si="11"/>
        <v>#VALUE!</v>
      </c>
      <c r="T80" s="468" t="e">
        <f t="shared" si="12"/>
        <v>#VALUE!</v>
      </c>
      <c r="U80" s="468" t="e">
        <f t="shared" si="13"/>
        <v>#VALUE!</v>
      </c>
      <c r="V80" s="467" t="e">
        <f t="shared" si="14"/>
        <v>#VALUE!</v>
      </c>
      <c r="W80" s="468" t="e">
        <f t="shared" si="15"/>
        <v>#VALUE!</v>
      </c>
      <c r="X80" s="468" t="e">
        <f t="shared" si="16"/>
        <v>#VALUE!</v>
      </c>
      <c r="Y80" s="468" t="e">
        <f t="shared" si="17"/>
        <v>#VALUE!</v>
      </c>
      <c r="Z80" s="469" t="e">
        <f t="shared" si="18"/>
        <v>#VALUE!</v>
      </c>
      <c r="AA80" s="469" t="e">
        <f t="shared" si="18"/>
        <v>#VALUE!</v>
      </c>
      <c r="AB80" s="469" t="e">
        <f t="shared" si="18"/>
        <v>#VALUE!</v>
      </c>
      <c r="AC80" s="469" t="e">
        <f t="shared" si="18"/>
        <v>#VALUE!</v>
      </c>
    </row>
    <row r="81" spans="1:29" hidden="1">
      <c r="A81" s="276">
        <v>75</v>
      </c>
      <c r="B81" s="162" t="s">
        <v>125</v>
      </c>
      <c r="C81" s="462"/>
      <c r="D81" s="462"/>
      <c r="E81" s="462"/>
      <c r="F81" s="462"/>
      <c r="G81" s="696"/>
      <c r="H81" s="696"/>
      <c r="I81" s="462"/>
      <c r="J81" s="462"/>
      <c r="K81" s="462"/>
      <c r="L81" s="462"/>
      <c r="M81" s="462"/>
      <c r="N81" s="462"/>
      <c r="O81" s="462"/>
      <c r="P81" s="462"/>
      <c r="Q81" s="276"/>
      <c r="R81" s="467">
        <f t="shared" si="10"/>
        <v>0</v>
      </c>
      <c r="S81" s="468">
        <f t="shared" si="11"/>
        <v>0</v>
      </c>
      <c r="T81" s="468">
        <f t="shared" si="12"/>
        <v>0</v>
      </c>
      <c r="U81" s="468">
        <f t="shared" si="13"/>
        <v>0</v>
      </c>
      <c r="V81" s="467">
        <f t="shared" si="14"/>
        <v>0</v>
      </c>
      <c r="W81" s="468">
        <f t="shared" si="15"/>
        <v>0</v>
      </c>
      <c r="X81" s="468">
        <f t="shared" si="16"/>
        <v>0</v>
      </c>
      <c r="Y81" s="468">
        <f t="shared" si="17"/>
        <v>0</v>
      </c>
      <c r="Z81" s="469" t="e">
        <f t="shared" si="18"/>
        <v>#DIV/0!</v>
      </c>
      <c r="AA81" s="469" t="e">
        <f t="shared" si="18"/>
        <v>#DIV/0!</v>
      </c>
      <c r="AB81" s="469" t="e">
        <f t="shared" si="18"/>
        <v>#DIV/0!</v>
      </c>
      <c r="AC81" s="469" t="e">
        <f t="shared" si="18"/>
        <v>#DIV/0!</v>
      </c>
    </row>
    <row r="82" spans="1:29" hidden="1">
      <c r="A82" s="276">
        <v>76</v>
      </c>
      <c r="B82" s="162" t="s">
        <v>126</v>
      </c>
      <c r="C82" s="462"/>
      <c r="D82" s="462"/>
      <c r="E82" s="462"/>
      <c r="F82" s="462"/>
      <c r="G82" s="696"/>
      <c r="H82" s="696"/>
      <c r="I82" s="462"/>
      <c r="J82" s="462"/>
      <c r="K82" s="462"/>
      <c r="L82" s="462"/>
      <c r="M82" s="462"/>
      <c r="N82" s="462"/>
      <c r="O82" s="462"/>
      <c r="P82" s="462"/>
      <c r="Q82" s="276"/>
      <c r="R82" s="467">
        <f t="shared" si="10"/>
        <v>0</v>
      </c>
      <c r="S82" s="468">
        <f t="shared" si="11"/>
        <v>0</v>
      </c>
      <c r="T82" s="468">
        <f t="shared" si="12"/>
        <v>0</v>
      </c>
      <c r="U82" s="468">
        <f t="shared" si="13"/>
        <v>0</v>
      </c>
      <c r="V82" s="467">
        <f t="shared" si="14"/>
        <v>0</v>
      </c>
      <c r="W82" s="468">
        <f t="shared" si="15"/>
        <v>0</v>
      </c>
      <c r="X82" s="468">
        <f t="shared" si="16"/>
        <v>0</v>
      </c>
      <c r="Y82" s="468">
        <f t="shared" si="17"/>
        <v>0</v>
      </c>
      <c r="Z82" s="469" t="e">
        <f t="shared" si="18"/>
        <v>#DIV/0!</v>
      </c>
      <c r="AA82" s="469" t="e">
        <f t="shared" si="18"/>
        <v>#DIV/0!</v>
      </c>
      <c r="AB82" s="469" t="e">
        <f t="shared" si="18"/>
        <v>#DIV/0!</v>
      </c>
      <c r="AC82" s="469" t="e">
        <f t="shared" si="18"/>
        <v>#DIV/0!</v>
      </c>
    </row>
    <row r="83" spans="1:29">
      <c r="A83" s="276">
        <v>77</v>
      </c>
      <c r="B83" s="162" t="s">
        <v>127</v>
      </c>
      <c r="C83" s="462">
        <v>1</v>
      </c>
      <c r="D83" s="462">
        <v>1</v>
      </c>
      <c r="E83" s="462">
        <v>1</v>
      </c>
      <c r="F83" s="462">
        <v>1</v>
      </c>
      <c r="G83" s="696"/>
      <c r="H83" s="696"/>
      <c r="I83" s="462" t="s">
        <v>889</v>
      </c>
      <c r="J83" s="462" t="s">
        <v>891</v>
      </c>
      <c r="K83" s="462" t="s">
        <v>889</v>
      </c>
      <c r="L83" s="462" t="s">
        <v>891</v>
      </c>
      <c r="M83" s="462" t="s">
        <v>889</v>
      </c>
      <c r="N83" s="462" t="s">
        <v>891</v>
      </c>
      <c r="O83" s="462" t="s">
        <v>889</v>
      </c>
      <c r="P83" s="462" t="s">
        <v>891</v>
      </c>
      <c r="Q83" s="276">
        <v>30</v>
      </c>
      <c r="R83" s="467" t="e">
        <f t="shared" si="10"/>
        <v>#VALUE!</v>
      </c>
      <c r="S83" s="468" t="e">
        <f t="shared" si="11"/>
        <v>#VALUE!</v>
      </c>
      <c r="T83" s="468" t="e">
        <f t="shared" si="12"/>
        <v>#VALUE!</v>
      </c>
      <c r="U83" s="468" t="e">
        <f t="shared" si="13"/>
        <v>#VALUE!</v>
      </c>
      <c r="V83" s="467" t="e">
        <f t="shared" si="14"/>
        <v>#VALUE!</v>
      </c>
      <c r="W83" s="468" t="e">
        <f t="shared" si="15"/>
        <v>#VALUE!</v>
      </c>
      <c r="X83" s="468" t="e">
        <f t="shared" si="16"/>
        <v>#VALUE!</v>
      </c>
      <c r="Y83" s="468" t="e">
        <f t="shared" si="17"/>
        <v>#VALUE!</v>
      </c>
      <c r="Z83" s="469" t="e">
        <f t="shared" si="18"/>
        <v>#VALUE!</v>
      </c>
      <c r="AA83" s="469" t="e">
        <f t="shared" si="18"/>
        <v>#VALUE!</v>
      </c>
      <c r="AB83" s="469" t="e">
        <f t="shared" si="18"/>
        <v>#VALUE!</v>
      </c>
      <c r="AC83" s="469" t="e">
        <f t="shared" si="18"/>
        <v>#VALUE!</v>
      </c>
    </row>
    <row r="84" spans="1:29" hidden="1">
      <c r="A84" s="276">
        <v>78</v>
      </c>
      <c r="B84" s="162" t="s">
        <v>128</v>
      </c>
      <c r="C84" s="462"/>
      <c r="D84" s="462"/>
      <c r="E84" s="462"/>
      <c r="F84" s="462"/>
      <c r="G84" s="696"/>
      <c r="H84" s="696"/>
      <c r="I84" s="462"/>
      <c r="J84" s="462"/>
      <c r="K84" s="462"/>
      <c r="L84" s="462"/>
      <c r="M84" s="462"/>
      <c r="N84" s="462"/>
      <c r="O84" s="462"/>
      <c r="P84" s="462"/>
      <c r="Q84" s="276"/>
      <c r="R84" s="467">
        <f t="shared" si="10"/>
        <v>0</v>
      </c>
      <c r="S84" s="468">
        <f t="shared" si="11"/>
        <v>0</v>
      </c>
      <c r="T84" s="468">
        <f t="shared" si="12"/>
        <v>0</v>
      </c>
      <c r="U84" s="468">
        <f t="shared" si="13"/>
        <v>0</v>
      </c>
      <c r="V84" s="467">
        <f t="shared" si="14"/>
        <v>0</v>
      </c>
      <c r="W84" s="468">
        <f t="shared" si="15"/>
        <v>0</v>
      </c>
      <c r="X84" s="468">
        <f t="shared" si="16"/>
        <v>0</v>
      </c>
      <c r="Y84" s="468">
        <f t="shared" si="17"/>
        <v>0</v>
      </c>
      <c r="Z84" s="469" t="e">
        <f t="shared" si="18"/>
        <v>#DIV/0!</v>
      </c>
      <c r="AA84" s="469" t="e">
        <f t="shared" si="18"/>
        <v>#DIV/0!</v>
      </c>
      <c r="AB84" s="469" t="e">
        <f t="shared" si="18"/>
        <v>#DIV/0!</v>
      </c>
      <c r="AC84" s="469" t="e">
        <f t="shared" si="18"/>
        <v>#DIV/0!</v>
      </c>
    </row>
    <row r="85" spans="1:29">
      <c r="A85" s="276">
        <v>79</v>
      </c>
      <c r="B85" s="162" t="s">
        <v>129</v>
      </c>
      <c r="C85" s="462">
        <v>2</v>
      </c>
      <c r="D85" s="462">
        <v>2</v>
      </c>
      <c r="E85" s="462">
        <v>2</v>
      </c>
      <c r="F85" s="462">
        <v>2</v>
      </c>
      <c r="G85" s="696"/>
      <c r="H85" s="696"/>
      <c r="I85" s="462" t="s">
        <v>889</v>
      </c>
      <c r="J85" s="462" t="s">
        <v>891</v>
      </c>
      <c r="K85" s="462" t="s">
        <v>889</v>
      </c>
      <c r="L85" s="462" t="s">
        <v>891</v>
      </c>
      <c r="M85" s="462" t="s">
        <v>889</v>
      </c>
      <c r="N85" s="462" t="s">
        <v>891</v>
      </c>
      <c r="O85" s="462" t="s">
        <v>889</v>
      </c>
      <c r="P85" s="462" t="s">
        <v>891</v>
      </c>
      <c r="Q85" s="276">
        <v>30</v>
      </c>
      <c r="R85" s="467" t="e">
        <f t="shared" si="10"/>
        <v>#VALUE!</v>
      </c>
      <c r="S85" s="468" t="e">
        <f t="shared" si="11"/>
        <v>#VALUE!</v>
      </c>
      <c r="T85" s="468" t="e">
        <f t="shared" si="12"/>
        <v>#VALUE!</v>
      </c>
      <c r="U85" s="468" t="e">
        <f t="shared" si="13"/>
        <v>#VALUE!</v>
      </c>
      <c r="V85" s="467" t="e">
        <f t="shared" si="14"/>
        <v>#VALUE!</v>
      </c>
      <c r="W85" s="468" t="e">
        <f t="shared" si="15"/>
        <v>#VALUE!</v>
      </c>
      <c r="X85" s="468" t="e">
        <f t="shared" si="16"/>
        <v>#VALUE!</v>
      </c>
      <c r="Y85" s="468" t="e">
        <f t="shared" si="17"/>
        <v>#VALUE!</v>
      </c>
      <c r="Z85" s="469" t="e">
        <f t="shared" si="18"/>
        <v>#VALUE!</v>
      </c>
      <c r="AA85" s="469" t="e">
        <f t="shared" si="18"/>
        <v>#VALUE!</v>
      </c>
      <c r="AB85" s="469" t="e">
        <f t="shared" si="18"/>
        <v>#VALUE!</v>
      </c>
      <c r="AC85" s="469" t="e">
        <f t="shared" si="18"/>
        <v>#VALUE!</v>
      </c>
    </row>
    <row r="86" spans="1:29">
      <c r="A86" s="276">
        <v>80</v>
      </c>
      <c r="B86" s="162" t="s">
        <v>130</v>
      </c>
      <c r="C86" s="462">
        <v>1</v>
      </c>
      <c r="D86" s="462">
        <v>1</v>
      </c>
      <c r="E86" s="462">
        <v>1</v>
      </c>
      <c r="F86" s="462">
        <v>1</v>
      </c>
      <c r="G86" s="696"/>
      <c r="H86" s="696"/>
      <c r="I86" s="462" t="s">
        <v>889</v>
      </c>
      <c r="J86" s="462" t="s">
        <v>891</v>
      </c>
      <c r="K86" s="462" t="s">
        <v>889</v>
      </c>
      <c r="L86" s="462" t="s">
        <v>891</v>
      </c>
      <c r="M86" s="462" t="s">
        <v>889</v>
      </c>
      <c r="N86" s="462" t="s">
        <v>891</v>
      </c>
      <c r="O86" s="462" t="s">
        <v>889</v>
      </c>
      <c r="P86" s="462" t="s">
        <v>891</v>
      </c>
      <c r="Q86" s="276">
        <v>30</v>
      </c>
      <c r="R86" s="467" t="e">
        <f t="shared" si="10"/>
        <v>#VALUE!</v>
      </c>
      <c r="S86" s="468" t="e">
        <f t="shared" si="11"/>
        <v>#VALUE!</v>
      </c>
      <c r="T86" s="468" t="e">
        <f t="shared" si="12"/>
        <v>#VALUE!</v>
      </c>
      <c r="U86" s="468" t="e">
        <f t="shared" si="13"/>
        <v>#VALUE!</v>
      </c>
      <c r="V86" s="467" t="e">
        <f t="shared" si="14"/>
        <v>#VALUE!</v>
      </c>
      <c r="W86" s="468" t="e">
        <f t="shared" si="15"/>
        <v>#VALUE!</v>
      </c>
      <c r="X86" s="468" t="e">
        <f t="shared" si="16"/>
        <v>#VALUE!</v>
      </c>
      <c r="Y86" s="468" t="e">
        <f t="shared" si="17"/>
        <v>#VALUE!</v>
      </c>
      <c r="Z86" s="469" t="e">
        <f t="shared" si="18"/>
        <v>#VALUE!</v>
      </c>
      <c r="AA86" s="469" t="e">
        <f t="shared" si="18"/>
        <v>#VALUE!</v>
      </c>
      <c r="AB86" s="469" t="e">
        <f t="shared" si="18"/>
        <v>#VALUE!</v>
      </c>
      <c r="AC86" s="469" t="e">
        <f t="shared" si="18"/>
        <v>#VALUE!</v>
      </c>
    </row>
    <row r="87" spans="1:29">
      <c r="A87" s="276">
        <v>81</v>
      </c>
      <c r="B87" s="162" t="s">
        <v>131</v>
      </c>
      <c r="C87" s="462">
        <v>1</v>
      </c>
      <c r="D87" s="462">
        <v>1</v>
      </c>
      <c r="E87" s="462">
        <v>1</v>
      </c>
      <c r="F87" s="462">
        <v>1</v>
      </c>
      <c r="G87" s="696"/>
      <c r="H87" s="696"/>
      <c r="I87" s="462" t="s">
        <v>889</v>
      </c>
      <c r="J87" s="462" t="s">
        <v>891</v>
      </c>
      <c r="K87" s="462" t="s">
        <v>889</v>
      </c>
      <c r="L87" s="462" t="s">
        <v>891</v>
      </c>
      <c r="M87" s="462" t="s">
        <v>889</v>
      </c>
      <c r="N87" s="462" t="s">
        <v>891</v>
      </c>
      <c r="O87" s="462" t="s">
        <v>889</v>
      </c>
      <c r="P87" s="462" t="s">
        <v>891</v>
      </c>
      <c r="Q87" s="276">
        <v>30</v>
      </c>
      <c r="R87" s="467" t="e">
        <f t="shared" si="10"/>
        <v>#VALUE!</v>
      </c>
      <c r="S87" s="468" t="e">
        <f t="shared" si="11"/>
        <v>#VALUE!</v>
      </c>
      <c r="T87" s="468" t="e">
        <f t="shared" si="12"/>
        <v>#VALUE!</v>
      </c>
      <c r="U87" s="468" t="e">
        <f t="shared" si="13"/>
        <v>#VALUE!</v>
      </c>
      <c r="V87" s="467" t="e">
        <f t="shared" si="14"/>
        <v>#VALUE!</v>
      </c>
      <c r="W87" s="468" t="e">
        <f t="shared" si="15"/>
        <v>#VALUE!</v>
      </c>
      <c r="X87" s="468" t="e">
        <f t="shared" si="16"/>
        <v>#VALUE!</v>
      </c>
      <c r="Y87" s="468" t="e">
        <f t="shared" si="17"/>
        <v>#VALUE!</v>
      </c>
      <c r="Z87" s="469" t="e">
        <f t="shared" si="18"/>
        <v>#VALUE!</v>
      </c>
      <c r="AA87" s="469" t="e">
        <f t="shared" si="18"/>
        <v>#VALUE!</v>
      </c>
      <c r="AB87" s="469" t="e">
        <f t="shared" si="18"/>
        <v>#VALUE!</v>
      </c>
      <c r="AC87" s="469" t="e">
        <f t="shared" si="18"/>
        <v>#VALUE!</v>
      </c>
    </row>
    <row r="88" spans="1:29">
      <c r="A88" s="276">
        <v>82</v>
      </c>
      <c r="B88" s="162" t="s">
        <v>132</v>
      </c>
      <c r="C88" s="462">
        <v>1</v>
      </c>
      <c r="D88" s="462">
        <v>1</v>
      </c>
      <c r="E88" s="462">
        <v>1</v>
      </c>
      <c r="F88" s="462">
        <v>1</v>
      </c>
      <c r="G88" s="696"/>
      <c r="H88" s="696"/>
      <c r="I88" s="462" t="s">
        <v>889</v>
      </c>
      <c r="J88" s="462" t="s">
        <v>891</v>
      </c>
      <c r="K88" s="462" t="s">
        <v>889</v>
      </c>
      <c r="L88" s="462" t="s">
        <v>891</v>
      </c>
      <c r="M88" s="462" t="s">
        <v>889</v>
      </c>
      <c r="N88" s="462" t="s">
        <v>891</v>
      </c>
      <c r="O88" s="462" t="s">
        <v>889</v>
      </c>
      <c r="P88" s="462" t="s">
        <v>891</v>
      </c>
      <c r="Q88" s="276">
        <v>30</v>
      </c>
      <c r="R88" s="467" t="e">
        <f t="shared" si="10"/>
        <v>#VALUE!</v>
      </c>
      <c r="S88" s="468" t="e">
        <f t="shared" si="11"/>
        <v>#VALUE!</v>
      </c>
      <c r="T88" s="468" t="e">
        <f t="shared" si="12"/>
        <v>#VALUE!</v>
      </c>
      <c r="U88" s="468" t="e">
        <f t="shared" si="13"/>
        <v>#VALUE!</v>
      </c>
      <c r="V88" s="467" t="e">
        <f t="shared" si="14"/>
        <v>#VALUE!</v>
      </c>
      <c r="W88" s="468" t="e">
        <f t="shared" si="15"/>
        <v>#VALUE!</v>
      </c>
      <c r="X88" s="468" t="e">
        <f t="shared" si="16"/>
        <v>#VALUE!</v>
      </c>
      <c r="Y88" s="468" t="e">
        <f t="shared" si="17"/>
        <v>#VALUE!</v>
      </c>
      <c r="Z88" s="469" t="e">
        <f t="shared" si="18"/>
        <v>#VALUE!</v>
      </c>
      <c r="AA88" s="469" t="e">
        <f t="shared" si="18"/>
        <v>#VALUE!</v>
      </c>
      <c r="AB88" s="469" t="e">
        <f t="shared" si="18"/>
        <v>#VALUE!</v>
      </c>
      <c r="AC88" s="469" t="e">
        <f t="shared" si="18"/>
        <v>#VALUE!</v>
      </c>
    </row>
    <row r="89" spans="1:29">
      <c r="A89" s="276">
        <v>83</v>
      </c>
      <c r="B89" s="162" t="s">
        <v>133</v>
      </c>
      <c r="C89" s="462">
        <v>2</v>
      </c>
      <c r="D89" s="462">
        <v>2</v>
      </c>
      <c r="E89" s="462">
        <v>2</v>
      </c>
      <c r="F89" s="462">
        <v>2</v>
      </c>
      <c r="G89" s="696"/>
      <c r="H89" s="696"/>
      <c r="I89" s="462" t="s">
        <v>889</v>
      </c>
      <c r="J89" s="462" t="s">
        <v>891</v>
      </c>
      <c r="K89" s="462" t="s">
        <v>889</v>
      </c>
      <c r="L89" s="462" t="s">
        <v>891</v>
      </c>
      <c r="M89" s="462" t="s">
        <v>889</v>
      </c>
      <c r="N89" s="462" t="s">
        <v>891</v>
      </c>
      <c r="O89" s="462" t="s">
        <v>889</v>
      </c>
      <c r="P89" s="462" t="s">
        <v>891</v>
      </c>
      <c r="Q89" s="276">
        <v>30</v>
      </c>
      <c r="R89" s="467" t="e">
        <f t="shared" si="10"/>
        <v>#VALUE!</v>
      </c>
      <c r="S89" s="468" t="e">
        <f t="shared" si="11"/>
        <v>#VALUE!</v>
      </c>
      <c r="T89" s="468" t="e">
        <f t="shared" si="12"/>
        <v>#VALUE!</v>
      </c>
      <c r="U89" s="468" t="e">
        <f t="shared" si="13"/>
        <v>#VALUE!</v>
      </c>
      <c r="V89" s="467" t="e">
        <f t="shared" si="14"/>
        <v>#VALUE!</v>
      </c>
      <c r="W89" s="468" t="e">
        <f t="shared" si="15"/>
        <v>#VALUE!</v>
      </c>
      <c r="X89" s="468" t="e">
        <f t="shared" si="16"/>
        <v>#VALUE!</v>
      </c>
      <c r="Y89" s="468" t="e">
        <f t="shared" si="17"/>
        <v>#VALUE!</v>
      </c>
      <c r="Z89" s="469" t="e">
        <f t="shared" si="18"/>
        <v>#VALUE!</v>
      </c>
      <c r="AA89" s="469" t="e">
        <f t="shared" si="18"/>
        <v>#VALUE!</v>
      </c>
      <c r="AB89" s="469" t="e">
        <f t="shared" si="18"/>
        <v>#VALUE!</v>
      </c>
      <c r="AC89" s="469" t="e">
        <f t="shared" si="18"/>
        <v>#VALUE!</v>
      </c>
    </row>
    <row r="90" spans="1:29">
      <c r="A90" s="276">
        <v>84</v>
      </c>
      <c r="B90" s="162" t="s">
        <v>134</v>
      </c>
      <c r="C90" s="462">
        <v>2</v>
      </c>
      <c r="D90" s="462">
        <v>2</v>
      </c>
      <c r="E90" s="462">
        <v>2</v>
      </c>
      <c r="F90" s="462">
        <v>2</v>
      </c>
      <c r="G90" s="696"/>
      <c r="H90" s="696"/>
      <c r="I90" s="462" t="s">
        <v>889</v>
      </c>
      <c r="J90" s="462" t="s">
        <v>891</v>
      </c>
      <c r="K90" s="462" t="s">
        <v>889</v>
      </c>
      <c r="L90" s="462" t="s">
        <v>891</v>
      </c>
      <c r="M90" s="462" t="s">
        <v>889</v>
      </c>
      <c r="N90" s="462" t="s">
        <v>891</v>
      </c>
      <c r="O90" s="462" t="s">
        <v>889</v>
      </c>
      <c r="P90" s="462" t="s">
        <v>891</v>
      </c>
      <c r="Q90" s="276">
        <v>30</v>
      </c>
      <c r="R90" s="467" t="e">
        <f t="shared" si="10"/>
        <v>#VALUE!</v>
      </c>
      <c r="S90" s="468" t="e">
        <f t="shared" si="11"/>
        <v>#VALUE!</v>
      </c>
      <c r="T90" s="468" t="e">
        <f t="shared" si="12"/>
        <v>#VALUE!</v>
      </c>
      <c r="U90" s="468" t="e">
        <f t="shared" si="13"/>
        <v>#VALUE!</v>
      </c>
      <c r="V90" s="467" t="e">
        <f t="shared" si="14"/>
        <v>#VALUE!</v>
      </c>
      <c r="W90" s="468" t="e">
        <f t="shared" si="15"/>
        <v>#VALUE!</v>
      </c>
      <c r="X90" s="468" t="e">
        <f t="shared" si="16"/>
        <v>#VALUE!</v>
      </c>
      <c r="Y90" s="468" t="e">
        <f t="shared" si="17"/>
        <v>#VALUE!</v>
      </c>
      <c r="Z90" s="469" t="e">
        <f t="shared" si="18"/>
        <v>#VALUE!</v>
      </c>
      <c r="AA90" s="469" t="e">
        <f t="shared" si="18"/>
        <v>#VALUE!</v>
      </c>
      <c r="AB90" s="469" t="e">
        <f t="shared" si="18"/>
        <v>#VALUE!</v>
      </c>
      <c r="AC90" s="469" t="e">
        <f t="shared" si="18"/>
        <v>#VALUE!</v>
      </c>
    </row>
    <row r="91" spans="1:29">
      <c r="A91" s="276">
        <v>85</v>
      </c>
      <c r="B91" s="162" t="s">
        <v>135</v>
      </c>
      <c r="C91" s="462">
        <v>2</v>
      </c>
      <c r="D91" s="462">
        <v>2</v>
      </c>
      <c r="E91" s="462">
        <v>2</v>
      </c>
      <c r="F91" s="462">
        <v>2</v>
      </c>
      <c r="G91" s="696"/>
      <c r="H91" s="696"/>
      <c r="I91" s="462" t="s">
        <v>889</v>
      </c>
      <c r="J91" s="462" t="s">
        <v>891</v>
      </c>
      <c r="K91" s="462" t="s">
        <v>889</v>
      </c>
      <c r="L91" s="462" t="s">
        <v>891</v>
      </c>
      <c r="M91" s="462" t="s">
        <v>889</v>
      </c>
      <c r="N91" s="462" t="s">
        <v>891</v>
      </c>
      <c r="O91" s="462" t="s">
        <v>889</v>
      </c>
      <c r="P91" s="462" t="s">
        <v>891</v>
      </c>
      <c r="Q91" s="276">
        <v>30</v>
      </c>
      <c r="R91" s="467" t="e">
        <f t="shared" si="10"/>
        <v>#VALUE!</v>
      </c>
      <c r="S91" s="468" t="e">
        <f t="shared" si="11"/>
        <v>#VALUE!</v>
      </c>
      <c r="T91" s="468" t="e">
        <f t="shared" si="12"/>
        <v>#VALUE!</v>
      </c>
      <c r="U91" s="468" t="e">
        <f t="shared" si="13"/>
        <v>#VALUE!</v>
      </c>
      <c r="V91" s="467" t="e">
        <f t="shared" si="14"/>
        <v>#VALUE!</v>
      </c>
      <c r="W91" s="468" t="e">
        <f t="shared" si="15"/>
        <v>#VALUE!</v>
      </c>
      <c r="X91" s="468" t="e">
        <f t="shared" si="16"/>
        <v>#VALUE!</v>
      </c>
      <c r="Y91" s="468" t="e">
        <f t="shared" si="17"/>
        <v>#VALUE!</v>
      </c>
      <c r="Z91" s="469" t="e">
        <f t="shared" si="18"/>
        <v>#VALUE!</v>
      </c>
      <c r="AA91" s="469" t="e">
        <f t="shared" si="18"/>
        <v>#VALUE!</v>
      </c>
      <c r="AB91" s="469" t="e">
        <f t="shared" si="18"/>
        <v>#VALUE!</v>
      </c>
      <c r="AC91" s="469" t="e">
        <f t="shared" si="18"/>
        <v>#VALUE!</v>
      </c>
    </row>
    <row r="92" spans="1:29">
      <c r="A92" s="276">
        <v>86</v>
      </c>
      <c r="B92" s="162" t="s">
        <v>136</v>
      </c>
      <c r="C92" s="462">
        <v>3</v>
      </c>
      <c r="D92" s="462">
        <v>3</v>
      </c>
      <c r="E92" s="462">
        <v>3</v>
      </c>
      <c r="F92" s="462">
        <v>3</v>
      </c>
      <c r="G92" s="696"/>
      <c r="H92" s="696"/>
      <c r="I92" s="462" t="s">
        <v>889</v>
      </c>
      <c r="J92" s="462" t="s">
        <v>891</v>
      </c>
      <c r="K92" s="462" t="s">
        <v>889</v>
      </c>
      <c r="L92" s="462" t="s">
        <v>891</v>
      </c>
      <c r="M92" s="462" t="s">
        <v>889</v>
      </c>
      <c r="N92" s="462" t="s">
        <v>891</v>
      </c>
      <c r="O92" s="462" t="s">
        <v>889</v>
      </c>
      <c r="P92" s="462" t="s">
        <v>891</v>
      </c>
      <c r="Q92" s="276">
        <v>30</v>
      </c>
      <c r="R92" s="467" t="e">
        <f t="shared" si="10"/>
        <v>#VALUE!</v>
      </c>
      <c r="S92" s="468" t="e">
        <f t="shared" si="11"/>
        <v>#VALUE!</v>
      </c>
      <c r="T92" s="468" t="e">
        <f t="shared" si="12"/>
        <v>#VALUE!</v>
      </c>
      <c r="U92" s="468" t="e">
        <f t="shared" si="13"/>
        <v>#VALUE!</v>
      </c>
      <c r="V92" s="467" t="e">
        <f t="shared" si="14"/>
        <v>#VALUE!</v>
      </c>
      <c r="W92" s="468" t="e">
        <f t="shared" si="15"/>
        <v>#VALUE!</v>
      </c>
      <c r="X92" s="468" t="e">
        <f t="shared" si="16"/>
        <v>#VALUE!</v>
      </c>
      <c r="Y92" s="468" t="e">
        <f t="shared" si="17"/>
        <v>#VALUE!</v>
      </c>
      <c r="Z92" s="469" t="e">
        <f t="shared" si="18"/>
        <v>#VALUE!</v>
      </c>
      <c r="AA92" s="469" t="e">
        <f t="shared" si="18"/>
        <v>#VALUE!</v>
      </c>
      <c r="AB92" s="469" t="e">
        <f t="shared" si="18"/>
        <v>#VALUE!</v>
      </c>
      <c r="AC92" s="469" t="e">
        <f t="shared" si="18"/>
        <v>#VALUE!</v>
      </c>
    </row>
    <row r="93" spans="1:29">
      <c r="A93" s="276">
        <v>87</v>
      </c>
      <c r="B93" s="162" t="s">
        <v>137</v>
      </c>
      <c r="C93" s="462">
        <v>2</v>
      </c>
      <c r="D93" s="462">
        <v>2</v>
      </c>
      <c r="E93" s="462">
        <v>2</v>
      </c>
      <c r="F93" s="462">
        <v>2</v>
      </c>
      <c r="G93" s="696"/>
      <c r="H93" s="696"/>
      <c r="I93" s="462" t="s">
        <v>889</v>
      </c>
      <c r="J93" s="462" t="s">
        <v>891</v>
      </c>
      <c r="K93" s="462" t="s">
        <v>889</v>
      </c>
      <c r="L93" s="462" t="s">
        <v>891</v>
      </c>
      <c r="M93" s="462" t="s">
        <v>889</v>
      </c>
      <c r="N93" s="462" t="s">
        <v>891</v>
      </c>
      <c r="O93" s="462" t="s">
        <v>889</v>
      </c>
      <c r="P93" s="462" t="s">
        <v>891</v>
      </c>
      <c r="Q93" s="276">
        <v>30</v>
      </c>
      <c r="R93" s="467" t="e">
        <f t="shared" si="10"/>
        <v>#VALUE!</v>
      </c>
      <c r="S93" s="468" t="e">
        <f t="shared" si="11"/>
        <v>#VALUE!</v>
      </c>
      <c r="T93" s="468" t="e">
        <f t="shared" si="12"/>
        <v>#VALUE!</v>
      </c>
      <c r="U93" s="468" t="e">
        <f t="shared" si="13"/>
        <v>#VALUE!</v>
      </c>
      <c r="V93" s="467" t="e">
        <f t="shared" si="14"/>
        <v>#VALUE!</v>
      </c>
      <c r="W93" s="468" t="e">
        <f t="shared" si="15"/>
        <v>#VALUE!</v>
      </c>
      <c r="X93" s="468" t="e">
        <f t="shared" si="16"/>
        <v>#VALUE!</v>
      </c>
      <c r="Y93" s="468" t="e">
        <f t="shared" si="17"/>
        <v>#VALUE!</v>
      </c>
      <c r="Z93" s="469" t="e">
        <f t="shared" si="18"/>
        <v>#VALUE!</v>
      </c>
      <c r="AA93" s="469" t="e">
        <f t="shared" si="18"/>
        <v>#VALUE!</v>
      </c>
      <c r="AB93" s="469" t="e">
        <f t="shared" si="18"/>
        <v>#VALUE!</v>
      </c>
      <c r="AC93" s="469" t="e">
        <f t="shared" si="18"/>
        <v>#VALUE!</v>
      </c>
    </row>
    <row r="94" spans="1:29">
      <c r="A94" s="276">
        <v>88</v>
      </c>
      <c r="B94" s="162" t="s">
        <v>138</v>
      </c>
      <c r="C94" s="462">
        <v>1</v>
      </c>
      <c r="D94" s="462">
        <v>1</v>
      </c>
      <c r="E94" s="462">
        <v>1</v>
      </c>
      <c r="F94" s="462">
        <v>1</v>
      </c>
      <c r="G94" s="696"/>
      <c r="H94" s="696"/>
      <c r="I94" s="462" t="s">
        <v>889</v>
      </c>
      <c r="J94" s="462" t="s">
        <v>891</v>
      </c>
      <c r="K94" s="462" t="s">
        <v>889</v>
      </c>
      <c r="L94" s="462" t="s">
        <v>891</v>
      </c>
      <c r="M94" s="462" t="s">
        <v>889</v>
      </c>
      <c r="N94" s="462" t="s">
        <v>891</v>
      </c>
      <c r="O94" s="462" t="s">
        <v>889</v>
      </c>
      <c r="P94" s="462" t="s">
        <v>891</v>
      </c>
      <c r="Q94" s="276">
        <v>30</v>
      </c>
      <c r="R94" s="467" t="e">
        <f t="shared" si="10"/>
        <v>#VALUE!</v>
      </c>
      <c r="S94" s="468" t="e">
        <f t="shared" si="11"/>
        <v>#VALUE!</v>
      </c>
      <c r="T94" s="468" t="e">
        <f t="shared" si="12"/>
        <v>#VALUE!</v>
      </c>
      <c r="U94" s="468" t="e">
        <f t="shared" si="13"/>
        <v>#VALUE!</v>
      </c>
      <c r="V94" s="467" t="e">
        <f t="shared" si="14"/>
        <v>#VALUE!</v>
      </c>
      <c r="W94" s="468" t="e">
        <f t="shared" si="15"/>
        <v>#VALUE!</v>
      </c>
      <c r="X94" s="468" t="e">
        <f t="shared" si="16"/>
        <v>#VALUE!</v>
      </c>
      <c r="Y94" s="468" t="e">
        <f t="shared" si="17"/>
        <v>#VALUE!</v>
      </c>
      <c r="Z94" s="469" t="e">
        <f t="shared" si="18"/>
        <v>#VALUE!</v>
      </c>
      <c r="AA94" s="469" t="e">
        <f t="shared" si="18"/>
        <v>#VALUE!</v>
      </c>
      <c r="AB94" s="469" t="e">
        <f t="shared" si="18"/>
        <v>#VALUE!</v>
      </c>
      <c r="AC94" s="469" t="e">
        <f t="shared" si="18"/>
        <v>#VALUE!</v>
      </c>
    </row>
    <row r="95" spans="1:29">
      <c r="A95" s="276">
        <v>89</v>
      </c>
      <c r="B95" s="162" t="s">
        <v>139</v>
      </c>
      <c r="C95" s="462">
        <v>1</v>
      </c>
      <c r="D95" s="462">
        <v>1</v>
      </c>
      <c r="E95" s="462">
        <v>1</v>
      </c>
      <c r="F95" s="462">
        <v>1</v>
      </c>
      <c r="G95" s="696"/>
      <c r="H95" s="696"/>
      <c r="I95" s="462" t="s">
        <v>889</v>
      </c>
      <c r="J95" s="462" t="s">
        <v>891</v>
      </c>
      <c r="K95" s="462" t="s">
        <v>889</v>
      </c>
      <c r="L95" s="462" t="s">
        <v>891</v>
      </c>
      <c r="M95" s="462" t="s">
        <v>889</v>
      </c>
      <c r="N95" s="462" t="s">
        <v>891</v>
      </c>
      <c r="O95" s="462" t="s">
        <v>889</v>
      </c>
      <c r="P95" s="462" t="s">
        <v>891</v>
      </c>
      <c r="Q95" s="276">
        <v>30</v>
      </c>
      <c r="R95" s="467" t="e">
        <f t="shared" si="10"/>
        <v>#VALUE!</v>
      </c>
      <c r="S95" s="468" t="e">
        <f t="shared" si="11"/>
        <v>#VALUE!</v>
      </c>
      <c r="T95" s="468" t="e">
        <f t="shared" si="12"/>
        <v>#VALUE!</v>
      </c>
      <c r="U95" s="468" t="e">
        <f t="shared" si="13"/>
        <v>#VALUE!</v>
      </c>
      <c r="V95" s="467" t="e">
        <f t="shared" si="14"/>
        <v>#VALUE!</v>
      </c>
      <c r="W95" s="468" t="e">
        <f t="shared" si="15"/>
        <v>#VALUE!</v>
      </c>
      <c r="X95" s="468" t="e">
        <f t="shared" si="16"/>
        <v>#VALUE!</v>
      </c>
      <c r="Y95" s="468" t="e">
        <f t="shared" si="17"/>
        <v>#VALUE!</v>
      </c>
      <c r="Z95" s="469" t="e">
        <f t="shared" si="18"/>
        <v>#VALUE!</v>
      </c>
      <c r="AA95" s="469" t="e">
        <f t="shared" si="18"/>
        <v>#VALUE!</v>
      </c>
      <c r="AB95" s="469" t="e">
        <f t="shared" si="18"/>
        <v>#VALUE!</v>
      </c>
      <c r="AC95" s="469" t="e">
        <f t="shared" si="18"/>
        <v>#VALUE!</v>
      </c>
    </row>
    <row r="96" spans="1:29" hidden="1">
      <c r="A96" s="276">
        <v>90</v>
      </c>
      <c r="B96" s="162" t="s">
        <v>140</v>
      </c>
      <c r="C96" s="462"/>
      <c r="D96" s="462"/>
      <c r="E96" s="462"/>
      <c r="F96" s="462"/>
      <c r="G96" s="696"/>
      <c r="H96" s="696"/>
      <c r="I96" s="462"/>
      <c r="J96" s="462"/>
      <c r="K96" s="462"/>
      <c r="L96" s="462"/>
      <c r="M96" s="462"/>
      <c r="N96" s="462"/>
      <c r="O96" s="462"/>
      <c r="P96" s="462"/>
      <c r="Q96" s="276"/>
      <c r="R96" s="467">
        <f t="shared" si="10"/>
        <v>0</v>
      </c>
      <c r="S96" s="468">
        <f t="shared" si="11"/>
        <v>0</v>
      </c>
      <c r="T96" s="468">
        <f t="shared" si="12"/>
        <v>0</v>
      </c>
      <c r="U96" s="468">
        <f t="shared" si="13"/>
        <v>0</v>
      </c>
      <c r="V96" s="467">
        <f t="shared" si="14"/>
        <v>0</v>
      </c>
      <c r="W96" s="468">
        <f t="shared" si="15"/>
        <v>0</v>
      </c>
      <c r="X96" s="468">
        <f t="shared" si="16"/>
        <v>0</v>
      </c>
      <c r="Y96" s="468">
        <f t="shared" si="17"/>
        <v>0</v>
      </c>
      <c r="Z96" s="469" t="e">
        <f t="shared" si="18"/>
        <v>#DIV/0!</v>
      </c>
      <c r="AA96" s="469" t="e">
        <f t="shared" si="18"/>
        <v>#DIV/0!</v>
      </c>
      <c r="AB96" s="469" t="e">
        <f t="shared" si="18"/>
        <v>#DIV/0!</v>
      </c>
      <c r="AC96" s="469" t="e">
        <f t="shared" si="18"/>
        <v>#DIV/0!</v>
      </c>
    </row>
    <row r="97" spans="1:29">
      <c r="A97" s="276">
        <v>91</v>
      </c>
      <c r="B97" s="162" t="s">
        <v>141</v>
      </c>
      <c r="C97" s="462">
        <v>1</v>
      </c>
      <c r="D97" s="462">
        <v>1</v>
      </c>
      <c r="E97" s="462">
        <v>1</v>
      </c>
      <c r="F97" s="462">
        <v>1</v>
      </c>
      <c r="G97" s="696"/>
      <c r="H97" s="696"/>
      <c r="I97" s="462" t="s">
        <v>889</v>
      </c>
      <c r="J97" s="462" t="s">
        <v>891</v>
      </c>
      <c r="K97" s="462" t="s">
        <v>889</v>
      </c>
      <c r="L97" s="462" t="s">
        <v>891</v>
      </c>
      <c r="M97" s="462" t="s">
        <v>889</v>
      </c>
      <c r="N97" s="462" t="s">
        <v>891</v>
      </c>
      <c r="O97" s="462" t="s">
        <v>889</v>
      </c>
      <c r="P97" s="462" t="s">
        <v>891</v>
      </c>
      <c r="Q97" s="276">
        <v>30</v>
      </c>
      <c r="R97" s="467" t="e">
        <f t="shared" si="10"/>
        <v>#VALUE!</v>
      </c>
      <c r="S97" s="468" t="e">
        <f t="shared" si="11"/>
        <v>#VALUE!</v>
      </c>
      <c r="T97" s="468" t="e">
        <f t="shared" si="12"/>
        <v>#VALUE!</v>
      </c>
      <c r="U97" s="468" t="e">
        <f t="shared" si="13"/>
        <v>#VALUE!</v>
      </c>
      <c r="V97" s="467" t="e">
        <f t="shared" si="14"/>
        <v>#VALUE!</v>
      </c>
      <c r="W97" s="468" t="e">
        <f t="shared" si="15"/>
        <v>#VALUE!</v>
      </c>
      <c r="X97" s="468" t="e">
        <f t="shared" si="16"/>
        <v>#VALUE!</v>
      </c>
      <c r="Y97" s="468" t="e">
        <f t="shared" si="17"/>
        <v>#VALUE!</v>
      </c>
      <c r="Z97" s="469" t="e">
        <f t="shared" si="18"/>
        <v>#VALUE!</v>
      </c>
      <c r="AA97" s="469" t="e">
        <f t="shared" si="18"/>
        <v>#VALUE!</v>
      </c>
      <c r="AB97" s="469" t="e">
        <f t="shared" si="18"/>
        <v>#VALUE!</v>
      </c>
      <c r="AC97" s="469" t="e">
        <f t="shared" si="18"/>
        <v>#VALUE!</v>
      </c>
    </row>
    <row r="98" spans="1:29">
      <c r="A98" s="276">
        <v>92</v>
      </c>
      <c r="B98" s="162" t="s">
        <v>142</v>
      </c>
      <c r="C98" s="462">
        <v>2</v>
      </c>
      <c r="D98" s="462">
        <v>2</v>
      </c>
      <c r="E98" s="462">
        <v>2</v>
      </c>
      <c r="F98" s="462">
        <v>2</v>
      </c>
      <c r="G98" s="696"/>
      <c r="H98" s="696"/>
      <c r="I98" s="462" t="s">
        <v>889</v>
      </c>
      <c r="J98" s="462" t="s">
        <v>891</v>
      </c>
      <c r="K98" s="462" t="s">
        <v>889</v>
      </c>
      <c r="L98" s="462" t="s">
        <v>891</v>
      </c>
      <c r="M98" s="462" t="s">
        <v>889</v>
      </c>
      <c r="N98" s="462" t="s">
        <v>891</v>
      </c>
      <c r="O98" s="462" t="s">
        <v>889</v>
      </c>
      <c r="P98" s="462" t="s">
        <v>891</v>
      </c>
      <c r="Q98" s="276">
        <v>30</v>
      </c>
      <c r="R98" s="467" t="e">
        <f t="shared" si="10"/>
        <v>#VALUE!</v>
      </c>
      <c r="S98" s="468" t="e">
        <f t="shared" si="11"/>
        <v>#VALUE!</v>
      </c>
      <c r="T98" s="468" t="e">
        <f t="shared" si="12"/>
        <v>#VALUE!</v>
      </c>
      <c r="U98" s="468" t="e">
        <f t="shared" si="13"/>
        <v>#VALUE!</v>
      </c>
      <c r="V98" s="467" t="e">
        <f t="shared" si="14"/>
        <v>#VALUE!</v>
      </c>
      <c r="W98" s="468" t="e">
        <f t="shared" si="15"/>
        <v>#VALUE!</v>
      </c>
      <c r="X98" s="468" t="e">
        <f t="shared" si="16"/>
        <v>#VALUE!</v>
      </c>
      <c r="Y98" s="468" t="e">
        <f t="shared" si="17"/>
        <v>#VALUE!</v>
      </c>
      <c r="Z98" s="469" t="e">
        <f t="shared" si="18"/>
        <v>#VALUE!</v>
      </c>
      <c r="AA98" s="469" t="e">
        <f t="shared" si="18"/>
        <v>#VALUE!</v>
      </c>
      <c r="AB98" s="469" t="e">
        <f t="shared" si="18"/>
        <v>#VALUE!</v>
      </c>
      <c r="AC98" s="469" t="e">
        <f t="shared" si="18"/>
        <v>#VALUE!</v>
      </c>
    </row>
    <row r="99" spans="1:29" hidden="1">
      <c r="A99" s="276">
        <v>93</v>
      </c>
      <c r="B99" s="162" t="s">
        <v>143</v>
      </c>
      <c r="C99" s="462"/>
      <c r="D99" s="462"/>
      <c r="E99" s="462"/>
      <c r="F99" s="462"/>
      <c r="G99" s="696"/>
      <c r="H99" s="696"/>
      <c r="I99" s="462"/>
      <c r="J99" s="462"/>
      <c r="K99" s="462"/>
      <c r="L99" s="462"/>
      <c r="M99" s="462"/>
      <c r="N99" s="462"/>
      <c r="O99" s="462"/>
      <c r="P99" s="462"/>
      <c r="Q99" s="276"/>
      <c r="R99" s="467">
        <f t="shared" si="10"/>
        <v>0</v>
      </c>
      <c r="S99" s="468">
        <f t="shared" si="11"/>
        <v>0</v>
      </c>
      <c r="T99" s="468">
        <f t="shared" si="12"/>
        <v>0</v>
      </c>
      <c r="U99" s="468">
        <f t="shared" si="13"/>
        <v>0</v>
      </c>
      <c r="V99" s="467">
        <f t="shared" si="14"/>
        <v>0</v>
      </c>
      <c r="W99" s="468">
        <f t="shared" si="15"/>
        <v>0</v>
      </c>
      <c r="X99" s="468">
        <f t="shared" si="16"/>
        <v>0</v>
      </c>
      <c r="Y99" s="468">
        <f t="shared" si="17"/>
        <v>0</v>
      </c>
      <c r="Z99" s="469" t="e">
        <f t="shared" si="18"/>
        <v>#DIV/0!</v>
      </c>
      <c r="AA99" s="469" t="e">
        <f t="shared" si="18"/>
        <v>#DIV/0!</v>
      </c>
      <c r="AB99" s="469" t="e">
        <f t="shared" si="18"/>
        <v>#DIV/0!</v>
      </c>
      <c r="AC99" s="469" t="e">
        <f t="shared" si="18"/>
        <v>#DIV/0!</v>
      </c>
    </row>
    <row r="100" spans="1:29">
      <c r="A100" s="276">
        <v>94</v>
      </c>
      <c r="B100" s="162" t="s">
        <v>144</v>
      </c>
      <c r="C100" s="462">
        <v>1</v>
      </c>
      <c r="D100" s="462">
        <v>1</v>
      </c>
      <c r="E100" s="462">
        <v>1</v>
      </c>
      <c r="F100" s="462">
        <v>1</v>
      </c>
      <c r="G100" s="696"/>
      <c r="H100" s="696"/>
      <c r="I100" s="462" t="s">
        <v>889</v>
      </c>
      <c r="J100" s="462" t="s">
        <v>891</v>
      </c>
      <c r="K100" s="462" t="s">
        <v>889</v>
      </c>
      <c r="L100" s="462" t="s">
        <v>891</v>
      </c>
      <c r="M100" s="462" t="s">
        <v>889</v>
      </c>
      <c r="N100" s="462" t="s">
        <v>891</v>
      </c>
      <c r="O100" s="462" t="s">
        <v>889</v>
      </c>
      <c r="P100" s="462" t="s">
        <v>891</v>
      </c>
      <c r="Q100" s="276">
        <v>30</v>
      </c>
      <c r="R100" s="467" t="e">
        <f t="shared" si="10"/>
        <v>#VALUE!</v>
      </c>
      <c r="S100" s="468" t="e">
        <f t="shared" si="11"/>
        <v>#VALUE!</v>
      </c>
      <c r="T100" s="468" t="e">
        <f t="shared" si="12"/>
        <v>#VALUE!</v>
      </c>
      <c r="U100" s="468" t="e">
        <f t="shared" si="13"/>
        <v>#VALUE!</v>
      </c>
      <c r="V100" s="467" t="e">
        <f t="shared" si="14"/>
        <v>#VALUE!</v>
      </c>
      <c r="W100" s="468" t="e">
        <f t="shared" si="15"/>
        <v>#VALUE!</v>
      </c>
      <c r="X100" s="468" t="e">
        <f t="shared" si="16"/>
        <v>#VALUE!</v>
      </c>
      <c r="Y100" s="468" t="e">
        <f t="shared" si="17"/>
        <v>#VALUE!</v>
      </c>
      <c r="Z100" s="469" t="e">
        <f t="shared" si="18"/>
        <v>#VALUE!</v>
      </c>
      <c r="AA100" s="469" t="e">
        <f t="shared" si="18"/>
        <v>#VALUE!</v>
      </c>
      <c r="AB100" s="469" t="e">
        <f t="shared" si="18"/>
        <v>#VALUE!</v>
      </c>
      <c r="AC100" s="469" t="e">
        <f t="shared" si="18"/>
        <v>#VALUE!</v>
      </c>
    </row>
    <row r="101" spans="1:29">
      <c r="A101" s="276">
        <v>95</v>
      </c>
      <c r="B101" s="162" t="s">
        <v>145</v>
      </c>
      <c r="C101" s="462">
        <v>3</v>
      </c>
      <c r="D101" s="462">
        <v>3</v>
      </c>
      <c r="E101" s="462">
        <v>3</v>
      </c>
      <c r="F101" s="462">
        <v>3</v>
      </c>
      <c r="G101" s="696"/>
      <c r="H101" s="696"/>
      <c r="I101" s="462" t="s">
        <v>889</v>
      </c>
      <c r="J101" s="462" t="s">
        <v>891</v>
      </c>
      <c r="K101" s="462" t="s">
        <v>889</v>
      </c>
      <c r="L101" s="462" t="s">
        <v>891</v>
      </c>
      <c r="M101" s="462" t="s">
        <v>889</v>
      </c>
      <c r="N101" s="462" t="s">
        <v>891</v>
      </c>
      <c r="O101" s="462" t="s">
        <v>889</v>
      </c>
      <c r="P101" s="462" t="s">
        <v>891</v>
      </c>
      <c r="Q101" s="276">
        <v>30</v>
      </c>
      <c r="R101" s="467" t="e">
        <f t="shared" si="10"/>
        <v>#VALUE!</v>
      </c>
      <c r="S101" s="468" t="e">
        <f t="shared" si="11"/>
        <v>#VALUE!</v>
      </c>
      <c r="T101" s="468" t="e">
        <f t="shared" si="12"/>
        <v>#VALUE!</v>
      </c>
      <c r="U101" s="468" t="e">
        <f t="shared" si="13"/>
        <v>#VALUE!</v>
      </c>
      <c r="V101" s="467" t="e">
        <f t="shared" si="14"/>
        <v>#VALUE!</v>
      </c>
      <c r="W101" s="468" t="e">
        <f t="shared" si="15"/>
        <v>#VALUE!</v>
      </c>
      <c r="X101" s="468" t="e">
        <f t="shared" si="16"/>
        <v>#VALUE!</v>
      </c>
      <c r="Y101" s="468" t="e">
        <f t="shared" si="17"/>
        <v>#VALUE!</v>
      </c>
      <c r="Z101" s="469" t="e">
        <f t="shared" si="18"/>
        <v>#VALUE!</v>
      </c>
      <c r="AA101" s="469" t="e">
        <f t="shared" si="18"/>
        <v>#VALUE!</v>
      </c>
      <c r="AB101" s="469" t="e">
        <f t="shared" si="18"/>
        <v>#VALUE!</v>
      </c>
      <c r="AC101" s="469" t="e">
        <f t="shared" si="18"/>
        <v>#VALUE!</v>
      </c>
    </row>
    <row r="102" spans="1:29" hidden="1">
      <c r="A102" s="276">
        <v>96</v>
      </c>
      <c r="B102" s="162" t="s">
        <v>146</v>
      </c>
      <c r="C102" s="462"/>
      <c r="D102" s="462"/>
      <c r="E102" s="462"/>
      <c r="F102" s="462"/>
      <c r="G102" s="696"/>
      <c r="H102" s="696"/>
      <c r="I102" s="462"/>
      <c r="J102" s="462"/>
      <c r="K102" s="462"/>
      <c r="L102" s="462"/>
      <c r="M102" s="462"/>
      <c r="N102" s="462"/>
      <c r="O102" s="462"/>
      <c r="P102" s="462"/>
      <c r="Q102" s="276"/>
      <c r="R102" s="467">
        <f t="shared" si="10"/>
        <v>0</v>
      </c>
      <c r="S102" s="468">
        <f t="shared" si="11"/>
        <v>0</v>
      </c>
      <c r="T102" s="468">
        <f t="shared" si="12"/>
        <v>0</v>
      </c>
      <c r="U102" s="468">
        <f t="shared" si="13"/>
        <v>0</v>
      </c>
      <c r="V102" s="467">
        <f t="shared" si="14"/>
        <v>0</v>
      </c>
      <c r="W102" s="468">
        <f t="shared" si="15"/>
        <v>0</v>
      </c>
      <c r="X102" s="468">
        <f t="shared" si="16"/>
        <v>0</v>
      </c>
      <c r="Y102" s="468">
        <f t="shared" si="17"/>
        <v>0</v>
      </c>
      <c r="Z102" s="469" t="e">
        <f t="shared" si="18"/>
        <v>#DIV/0!</v>
      </c>
      <c r="AA102" s="469" t="e">
        <f t="shared" si="18"/>
        <v>#DIV/0!</v>
      </c>
      <c r="AB102" s="469" t="e">
        <f t="shared" si="18"/>
        <v>#DIV/0!</v>
      </c>
      <c r="AC102" s="469" t="e">
        <f t="shared" si="18"/>
        <v>#DIV/0!</v>
      </c>
    </row>
    <row r="103" spans="1:29">
      <c r="A103" s="276">
        <v>97</v>
      </c>
      <c r="B103" s="162" t="s">
        <v>147</v>
      </c>
      <c r="C103" s="462">
        <v>1</v>
      </c>
      <c r="D103" s="462">
        <v>1</v>
      </c>
      <c r="E103" s="462">
        <v>1</v>
      </c>
      <c r="F103" s="462">
        <v>1</v>
      </c>
      <c r="G103" s="696"/>
      <c r="H103" s="696"/>
      <c r="I103" s="462" t="s">
        <v>889</v>
      </c>
      <c r="J103" s="462" t="s">
        <v>891</v>
      </c>
      <c r="K103" s="462" t="s">
        <v>889</v>
      </c>
      <c r="L103" s="462" t="s">
        <v>891</v>
      </c>
      <c r="M103" s="462" t="s">
        <v>889</v>
      </c>
      <c r="N103" s="462" t="s">
        <v>891</v>
      </c>
      <c r="O103" s="462" t="s">
        <v>889</v>
      </c>
      <c r="P103" s="462" t="s">
        <v>891</v>
      </c>
      <c r="Q103" s="276">
        <v>30</v>
      </c>
      <c r="R103" s="467" t="e">
        <f t="shared" si="10"/>
        <v>#VALUE!</v>
      </c>
      <c r="S103" s="468" t="e">
        <f t="shared" si="11"/>
        <v>#VALUE!</v>
      </c>
      <c r="T103" s="468" t="e">
        <f t="shared" si="12"/>
        <v>#VALUE!</v>
      </c>
      <c r="U103" s="468" t="e">
        <f t="shared" si="13"/>
        <v>#VALUE!</v>
      </c>
      <c r="V103" s="467" t="e">
        <f t="shared" si="14"/>
        <v>#VALUE!</v>
      </c>
      <c r="W103" s="468" t="e">
        <f t="shared" si="15"/>
        <v>#VALUE!</v>
      </c>
      <c r="X103" s="468" t="e">
        <f t="shared" si="16"/>
        <v>#VALUE!</v>
      </c>
      <c r="Y103" s="468" t="e">
        <f t="shared" si="17"/>
        <v>#VALUE!</v>
      </c>
      <c r="Z103" s="469" t="e">
        <f t="shared" ref="Z103:AC139" si="19">V103/R103</f>
        <v>#VALUE!</v>
      </c>
      <c r="AA103" s="469" t="e">
        <f t="shared" si="19"/>
        <v>#VALUE!</v>
      </c>
      <c r="AB103" s="469" t="e">
        <f t="shared" si="19"/>
        <v>#VALUE!</v>
      </c>
      <c r="AC103" s="469" t="e">
        <f t="shared" si="19"/>
        <v>#VALUE!</v>
      </c>
    </row>
    <row r="104" spans="1:29" hidden="1">
      <c r="A104" s="276">
        <v>98</v>
      </c>
      <c r="B104" s="162" t="s">
        <v>148</v>
      </c>
      <c r="C104" s="462"/>
      <c r="D104" s="462"/>
      <c r="E104" s="462"/>
      <c r="F104" s="462"/>
      <c r="G104" s="696"/>
      <c r="H104" s="696"/>
      <c r="I104" s="462"/>
      <c r="J104" s="462"/>
      <c r="K104" s="462"/>
      <c r="L104" s="462"/>
      <c r="M104" s="462"/>
      <c r="N104" s="462"/>
      <c r="O104" s="462"/>
      <c r="P104" s="462"/>
      <c r="Q104" s="276"/>
      <c r="R104" s="467">
        <f t="shared" si="10"/>
        <v>0</v>
      </c>
      <c r="S104" s="468">
        <f t="shared" si="11"/>
        <v>0</v>
      </c>
      <c r="T104" s="468">
        <f t="shared" si="12"/>
        <v>0</v>
      </c>
      <c r="U104" s="468">
        <f t="shared" si="13"/>
        <v>0</v>
      </c>
      <c r="V104" s="467">
        <f t="shared" si="14"/>
        <v>0</v>
      </c>
      <c r="W104" s="468">
        <f t="shared" si="15"/>
        <v>0</v>
      </c>
      <c r="X104" s="468">
        <f t="shared" si="16"/>
        <v>0</v>
      </c>
      <c r="Y104" s="468">
        <f t="shared" si="17"/>
        <v>0</v>
      </c>
      <c r="Z104" s="469" t="e">
        <f t="shared" si="19"/>
        <v>#DIV/0!</v>
      </c>
      <c r="AA104" s="469" t="e">
        <f t="shared" si="19"/>
        <v>#DIV/0!</v>
      </c>
      <c r="AB104" s="469" t="e">
        <f t="shared" si="19"/>
        <v>#DIV/0!</v>
      </c>
      <c r="AC104" s="469" t="e">
        <f t="shared" si="19"/>
        <v>#DIV/0!</v>
      </c>
    </row>
    <row r="105" spans="1:29">
      <c r="A105" s="276">
        <v>99</v>
      </c>
      <c r="B105" s="162" t="s">
        <v>149</v>
      </c>
      <c r="C105" s="462">
        <v>2</v>
      </c>
      <c r="D105" s="462">
        <v>2</v>
      </c>
      <c r="E105" s="462">
        <v>2</v>
      </c>
      <c r="F105" s="462">
        <v>2</v>
      </c>
      <c r="G105" s="696"/>
      <c r="H105" s="696"/>
      <c r="I105" s="462" t="s">
        <v>889</v>
      </c>
      <c r="J105" s="462" t="s">
        <v>891</v>
      </c>
      <c r="K105" s="462" t="s">
        <v>889</v>
      </c>
      <c r="L105" s="462" t="s">
        <v>891</v>
      </c>
      <c r="M105" s="462" t="s">
        <v>889</v>
      </c>
      <c r="N105" s="462" t="s">
        <v>891</v>
      </c>
      <c r="O105" s="462" t="s">
        <v>889</v>
      </c>
      <c r="P105" s="462" t="s">
        <v>891</v>
      </c>
      <c r="Q105" s="276">
        <v>30</v>
      </c>
      <c r="R105" s="467" t="e">
        <f t="shared" si="10"/>
        <v>#VALUE!</v>
      </c>
      <c r="S105" s="468" t="e">
        <f t="shared" si="11"/>
        <v>#VALUE!</v>
      </c>
      <c r="T105" s="468" t="e">
        <f t="shared" si="12"/>
        <v>#VALUE!</v>
      </c>
      <c r="U105" s="468" t="e">
        <f t="shared" si="13"/>
        <v>#VALUE!</v>
      </c>
      <c r="V105" s="467" t="e">
        <f t="shared" si="14"/>
        <v>#VALUE!</v>
      </c>
      <c r="W105" s="468" t="e">
        <f t="shared" si="15"/>
        <v>#VALUE!</v>
      </c>
      <c r="X105" s="468" t="e">
        <f t="shared" si="16"/>
        <v>#VALUE!</v>
      </c>
      <c r="Y105" s="468" t="e">
        <f t="shared" si="17"/>
        <v>#VALUE!</v>
      </c>
      <c r="Z105" s="469" t="e">
        <f t="shared" si="19"/>
        <v>#VALUE!</v>
      </c>
      <c r="AA105" s="469" t="e">
        <f t="shared" si="19"/>
        <v>#VALUE!</v>
      </c>
      <c r="AB105" s="469" t="e">
        <f t="shared" si="19"/>
        <v>#VALUE!</v>
      </c>
      <c r="AC105" s="469" t="e">
        <f t="shared" si="19"/>
        <v>#VALUE!</v>
      </c>
    </row>
    <row r="106" spans="1:29">
      <c r="A106" s="276">
        <v>100</v>
      </c>
      <c r="B106" s="162" t="s">
        <v>150</v>
      </c>
      <c r="C106" s="462">
        <v>1</v>
      </c>
      <c r="D106" s="462">
        <v>1</v>
      </c>
      <c r="E106" s="462">
        <v>1</v>
      </c>
      <c r="F106" s="462">
        <v>1</v>
      </c>
      <c r="G106" s="696"/>
      <c r="H106" s="696"/>
      <c r="I106" s="462" t="s">
        <v>889</v>
      </c>
      <c r="J106" s="462" t="s">
        <v>891</v>
      </c>
      <c r="K106" s="462" t="s">
        <v>889</v>
      </c>
      <c r="L106" s="462" t="s">
        <v>891</v>
      </c>
      <c r="M106" s="462" t="s">
        <v>889</v>
      </c>
      <c r="N106" s="462" t="s">
        <v>891</v>
      </c>
      <c r="O106" s="462" t="s">
        <v>889</v>
      </c>
      <c r="P106" s="462" t="s">
        <v>891</v>
      </c>
      <c r="Q106" s="276">
        <v>30</v>
      </c>
      <c r="R106" s="467" t="e">
        <f t="shared" si="10"/>
        <v>#VALUE!</v>
      </c>
      <c r="S106" s="468" t="e">
        <f t="shared" si="11"/>
        <v>#VALUE!</v>
      </c>
      <c r="T106" s="468" t="e">
        <f t="shared" si="12"/>
        <v>#VALUE!</v>
      </c>
      <c r="U106" s="468" t="e">
        <f t="shared" si="13"/>
        <v>#VALUE!</v>
      </c>
      <c r="V106" s="467" t="e">
        <f t="shared" si="14"/>
        <v>#VALUE!</v>
      </c>
      <c r="W106" s="468" t="e">
        <f t="shared" si="15"/>
        <v>#VALUE!</v>
      </c>
      <c r="X106" s="468" t="e">
        <f t="shared" si="16"/>
        <v>#VALUE!</v>
      </c>
      <c r="Y106" s="468" t="e">
        <f t="shared" si="17"/>
        <v>#VALUE!</v>
      </c>
      <c r="Z106" s="469" t="e">
        <f t="shared" si="19"/>
        <v>#VALUE!</v>
      </c>
      <c r="AA106" s="469" t="e">
        <f t="shared" si="19"/>
        <v>#VALUE!</v>
      </c>
      <c r="AB106" s="469" t="e">
        <f t="shared" si="19"/>
        <v>#VALUE!</v>
      </c>
      <c r="AC106" s="469" t="e">
        <f t="shared" si="19"/>
        <v>#VALUE!</v>
      </c>
    </row>
    <row r="107" spans="1:29">
      <c r="A107" s="276">
        <v>101</v>
      </c>
      <c r="B107" s="162" t="s">
        <v>151</v>
      </c>
      <c r="C107" s="462">
        <v>2</v>
      </c>
      <c r="D107" s="462">
        <v>2</v>
      </c>
      <c r="E107" s="462">
        <v>2</v>
      </c>
      <c r="F107" s="462">
        <v>2</v>
      </c>
      <c r="G107" s="696"/>
      <c r="H107" s="696"/>
      <c r="I107" s="462" t="s">
        <v>889</v>
      </c>
      <c r="J107" s="462" t="s">
        <v>891</v>
      </c>
      <c r="K107" s="462" t="s">
        <v>889</v>
      </c>
      <c r="L107" s="462" t="s">
        <v>891</v>
      </c>
      <c r="M107" s="462" t="s">
        <v>889</v>
      </c>
      <c r="N107" s="462" t="s">
        <v>891</v>
      </c>
      <c r="O107" s="462" t="s">
        <v>889</v>
      </c>
      <c r="P107" s="462" t="s">
        <v>891</v>
      </c>
      <c r="Q107" s="276">
        <v>30</v>
      </c>
      <c r="R107" s="467" t="e">
        <f t="shared" si="10"/>
        <v>#VALUE!</v>
      </c>
      <c r="S107" s="468" t="e">
        <f t="shared" si="11"/>
        <v>#VALUE!</v>
      </c>
      <c r="T107" s="468" t="e">
        <f t="shared" si="12"/>
        <v>#VALUE!</v>
      </c>
      <c r="U107" s="468" t="e">
        <f t="shared" si="13"/>
        <v>#VALUE!</v>
      </c>
      <c r="V107" s="467" t="e">
        <f t="shared" si="14"/>
        <v>#VALUE!</v>
      </c>
      <c r="W107" s="468" t="e">
        <f t="shared" si="15"/>
        <v>#VALUE!</v>
      </c>
      <c r="X107" s="468" t="e">
        <f t="shared" si="16"/>
        <v>#VALUE!</v>
      </c>
      <c r="Y107" s="468" t="e">
        <f t="shared" si="17"/>
        <v>#VALUE!</v>
      </c>
      <c r="Z107" s="469" t="e">
        <f t="shared" si="19"/>
        <v>#VALUE!</v>
      </c>
      <c r="AA107" s="469" t="e">
        <f t="shared" si="19"/>
        <v>#VALUE!</v>
      </c>
      <c r="AB107" s="469" t="e">
        <f t="shared" si="19"/>
        <v>#VALUE!</v>
      </c>
      <c r="AC107" s="469" t="e">
        <f t="shared" si="19"/>
        <v>#VALUE!</v>
      </c>
    </row>
    <row r="108" spans="1:29" hidden="1">
      <c r="A108" s="276">
        <v>102</v>
      </c>
      <c r="B108" s="162" t="s">
        <v>152</v>
      </c>
      <c r="C108" s="462"/>
      <c r="D108" s="462"/>
      <c r="E108" s="462"/>
      <c r="F108" s="462"/>
      <c r="G108" s="696"/>
      <c r="H108" s="696"/>
      <c r="I108" s="462"/>
      <c r="J108" s="462"/>
      <c r="K108" s="462"/>
      <c r="L108" s="462"/>
      <c r="M108" s="462"/>
      <c r="N108" s="462"/>
      <c r="O108" s="462"/>
      <c r="P108" s="462"/>
      <c r="Q108" s="276"/>
      <c r="R108" s="467">
        <f t="shared" si="10"/>
        <v>0</v>
      </c>
      <c r="S108" s="468">
        <f t="shared" si="11"/>
        <v>0</v>
      </c>
      <c r="T108" s="468">
        <f t="shared" si="12"/>
        <v>0</v>
      </c>
      <c r="U108" s="468">
        <f t="shared" si="13"/>
        <v>0</v>
      </c>
      <c r="V108" s="467">
        <f t="shared" si="14"/>
        <v>0</v>
      </c>
      <c r="W108" s="468">
        <f t="shared" si="15"/>
        <v>0</v>
      </c>
      <c r="X108" s="468">
        <f t="shared" si="16"/>
        <v>0</v>
      </c>
      <c r="Y108" s="468">
        <f t="shared" si="17"/>
        <v>0</v>
      </c>
      <c r="Z108" s="469" t="e">
        <f t="shared" si="19"/>
        <v>#DIV/0!</v>
      </c>
      <c r="AA108" s="469" t="e">
        <f t="shared" si="19"/>
        <v>#DIV/0!</v>
      </c>
      <c r="AB108" s="469" t="e">
        <f t="shared" si="19"/>
        <v>#DIV/0!</v>
      </c>
      <c r="AC108" s="469" t="e">
        <f t="shared" si="19"/>
        <v>#DIV/0!</v>
      </c>
    </row>
    <row r="109" spans="1:29">
      <c r="A109" s="276">
        <v>103</v>
      </c>
      <c r="B109" s="162" t="s">
        <v>153</v>
      </c>
      <c r="C109" s="462">
        <v>1</v>
      </c>
      <c r="D109" s="462">
        <v>1</v>
      </c>
      <c r="E109" s="462">
        <v>1</v>
      </c>
      <c r="F109" s="462">
        <v>1</v>
      </c>
      <c r="G109" s="696"/>
      <c r="H109" s="696"/>
      <c r="I109" s="462" t="s">
        <v>889</v>
      </c>
      <c r="J109" s="462" t="s">
        <v>891</v>
      </c>
      <c r="K109" s="462" t="s">
        <v>889</v>
      </c>
      <c r="L109" s="462" t="s">
        <v>891</v>
      </c>
      <c r="M109" s="462" t="s">
        <v>889</v>
      </c>
      <c r="N109" s="462" t="s">
        <v>891</v>
      </c>
      <c r="O109" s="462" t="s">
        <v>889</v>
      </c>
      <c r="P109" s="462" t="s">
        <v>891</v>
      </c>
      <c r="Q109" s="276">
        <v>30</v>
      </c>
      <c r="R109" s="467" t="e">
        <f t="shared" si="10"/>
        <v>#VALUE!</v>
      </c>
      <c r="S109" s="468" t="e">
        <f t="shared" si="11"/>
        <v>#VALUE!</v>
      </c>
      <c r="T109" s="468" t="e">
        <f t="shared" si="12"/>
        <v>#VALUE!</v>
      </c>
      <c r="U109" s="468" t="e">
        <f t="shared" si="13"/>
        <v>#VALUE!</v>
      </c>
      <c r="V109" s="467" t="e">
        <f t="shared" si="14"/>
        <v>#VALUE!</v>
      </c>
      <c r="W109" s="468" t="e">
        <f t="shared" si="15"/>
        <v>#VALUE!</v>
      </c>
      <c r="X109" s="468" t="e">
        <f t="shared" si="16"/>
        <v>#VALUE!</v>
      </c>
      <c r="Y109" s="468" t="e">
        <f t="shared" si="17"/>
        <v>#VALUE!</v>
      </c>
      <c r="Z109" s="469" t="e">
        <f t="shared" si="19"/>
        <v>#VALUE!</v>
      </c>
      <c r="AA109" s="469" t="e">
        <f t="shared" si="19"/>
        <v>#VALUE!</v>
      </c>
      <c r="AB109" s="469" t="e">
        <f t="shared" si="19"/>
        <v>#VALUE!</v>
      </c>
      <c r="AC109" s="469" t="e">
        <f t="shared" si="19"/>
        <v>#VALUE!</v>
      </c>
    </row>
    <row r="110" spans="1:29">
      <c r="A110" s="276">
        <v>104</v>
      </c>
      <c r="B110" s="162" t="s">
        <v>154</v>
      </c>
      <c r="C110" s="462">
        <v>1</v>
      </c>
      <c r="D110" s="462">
        <v>1</v>
      </c>
      <c r="E110" s="462">
        <v>1</v>
      </c>
      <c r="F110" s="462">
        <v>1</v>
      </c>
      <c r="G110" s="696"/>
      <c r="H110" s="696"/>
      <c r="I110" s="462" t="s">
        <v>889</v>
      </c>
      <c r="J110" s="462" t="s">
        <v>891</v>
      </c>
      <c r="K110" s="462" t="s">
        <v>889</v>
      </c>
      <c r="L110" s="462" t="s">
        <v>891</v>
      </c>
      <c r="M110" s="462" t="s">
        <v>889</v>
      </c>
      <c r="N110" s="462" t="s">
        <v>891</v>
      </c>
      <c r="O110" s="462" t="s">
        <v>889</v>
      </c>
      <c r="P110" s="462" t="s">
        <v>891</v>
      </c>
      <c r="Q110" s="276">
        <v>30</v>
      </c>
      <c r="R110" s="467" t="e">
        <f t="shared" si="10"/>
        <v>#VALUE!</v>
      </c>
      <c r="S110" s="468" t="e">
        <f t="shared" si="11"/>
        <v>#VALUE!</v>
      </c>
      <c r="T110" s="468" t="e">
        <f t="shared" si="12"/>
        <v>#VALUE!</v>
      </c>
      <c r="U110" s="468" t="e">
        <f t="shared" si="13"/>
        <v>#VALUE!</v>
      </c>
      <c r="V110" s="467" t="e">
        <f t="shared" si="14"/>
        <v>#VALUE!</v>
      </c>
      <c r="W110" s="468" t="e">
        <f t="shared" si="15"/>
        <v>#VALUE!</v>
      </c>
      <c r="X110" s="468" t="e">
        <f t="shared" si="16"/>
        <v>#VALUE!</v>
      </c>
      <c r="Y110" s="468" t="e">
        <f t="shared" si="17"/>
        <v>#VALUE!</v>
      </c>
      <c r="Z110" s="469" t="e">
        <f t="shared" si="19"/>
        <v>#VALUE!</v>
      </c>
      <c r="AA110" s="469" t="e">
        <f t="shared" si="19"/>
        <v>#VALUE!</v>
      </c>
      <c r="AB110" s="469" t="e">
        <f t="shared" si="19"/>
        <v>#VALUE!</v>
      </c>
      <c r="AC110" s="469" t="e">
        <f t="shared" si="19"/>
        <v>#VALUE!</v>
      </c>
    </row>
    <row r="111" spans="1:29">
      <c r="A111" s="276">
        <v>105</v>
      </c>
      <c r="B111" s="162" t="s">
        <v>155</v>
      </c>
      <c r="C111" s="462">
        <v>1</v>
      </c>
      <c r="D111" s="462">
        <v>1</v>
      </c>
      <c r="E111" s="462">
        <v>1</v>
      </c>
      <c r="F111" s="462">
        <v>1</v>
      </c>
      <c r="G111" s="696"/>
      <c r="H111" s="696"/>
      <c r="I111" s="462" t="s">
        <v>889</v>
      </c>
      <c r="J111" s="462" t="s">
        <v>891</v>
      </c>
      <c r="K111" s="462" t="s">
        <v>889</v>
      </c>
      <c r="L111" s="462" t="s">
        <v>891</v>
      </c>
      <c r="M111" s="462" t="s">
        <v>889</v>
      </c>
      <c r="N111" s="462" t="s">
        <v>891</v>
      </c>
      <c r="O111" s="462" t="s">
        <v>889</v>
      </c>
      <c r="P111" s="462" t="s">
        <v>891</v>
      </c>
      <c r="Q111" s="276">
        <v>30</v>
      </c>
      <c r="R111" s="467" t="e">
        <f t="shared" si="10"/>
        <v>#VALUE!</v>
      </c>
      <c r="S111" s="468" t="e">
        <f t="shared" si="11"/>
        <v>#VALUE!</v>
      </c>
      <c r="T111" s="468" t="e">
        <f t="shared" si="12"/>
        <v>#VALUE!</v>
      </c>
      <c r="U111" s="468" t="e">
        <f t="shared" si="13"/>
        <v>#VALUE!</v>
      </c>
      <c r="V111" s="467" t="e">
        <f t="shared" si="14"/>
        <v>#VALUE!</v>
      </c>
      <c r="W111" s="468" t="e">
        <f t="shared" si="15"/>
        <v>#VALUE!</v>
      </c>
      <c r="X111" s="468" t="e">
        <f t="shared" si="16"/>
        <v>#VALUE!</v>
      </c>
      <c r="Y111" s="468" t="e">
        <f t="shared" si="17"/>
        <v>#VALUE!</v>
      </c>
      <c r="Z111" s="469" t="e">
        <f t="shared" si="19"/>
        <v>#VALUE!</v>
      </c>
      <c r="AA111" s="469" t="e">
        <f t="shared" si="19"/>
        <v>#VALUE!</v>
      </c>
      <c r="AB111" s="469" t="e">
        <f t="shared" si="19"/>
        <v>#VALUE!</v>
      </c>
      <c r="AC111" s="469" t="e">
        <f t="shared" si="19"/>
        <v>#VALUE!</v>
      </c>
    </row>
    <row r="112" spans="1:29" hidden="1">
      <c r="A112" s="276">
        <v>106</v>
      </c>
      <c r="B112" s="162" t="s">
        <v>156</v>
      </c>
      <c r="C112" s="462"/>
      <c r="D112" s="462"/>
      <c r="E112" s="462"/>
      <c r="F112" s="462"/>
      <c r="G112" s="696"/>
      <c r="H112" s="696"/>
      <c r="I112" s="462"/>
      <c r="J112" s="462"/>
      <c r="K112" s="462"/>
      <c r="L112" s="462"/>
      <c r="M112" s="462"/>
      <c r="N112" s="462"/>
      <c r="O112" s="462"/>
      <c r="P112" s="462"/>
      <c r="Q112" s="276"/>
      <c r="R112" s="467">
        <f t="shared" si="10"/>
        <v>0</v>
      </c>
      <c r="S112" s="468">
        <f t="shared" si="11"/>
        <v>0</v>
      </c>
      <c r="T112" s="468">
        <f t="shared" si="12"/>
        <v>0</v>
      </c>
      <c r="U112" s="468">
        <f t="shared" si="13"/>
        <v>0</v>
      </c>
      <c r="V112" s="467">
        <f t="shared" si="14"/>
        <v>0</v>
      </c>
      <c r="W112" s="468">
        <f t="shared" si="15"/>
        <v>0</v>
      </c>
      <c r="X112" s="468">
        <f t="shared" si="16"/>
        <v>0</v>
      </c>
      <c r="Y112" s="468">
        <f t="shared" si="17"/>
        <v>0</v>
      </c>
      <c r="Z112" s="469" t="e">
        <f t="shared" si="19"/>
        <v>#DIV/0!</v>
      </c>
      <c r="AA112" s="469" t="e">
        <f t="shared" si="19"/>
        <v>#DIV/0!</v>
      </c>
      <c r="AB112" s="469" t="e">
        <f t="shared" si="19"/>
        <v>#DIV/0!</v>
      </c>
      <c r="AC112" s="469" t="e">
        <f t="shared" si="19"/>
        <v>#DIV/0!</v>
      </c>
    </row>
    <row r="113" spans="1:29" hidden="1">
      <c r="A113" s="276">
        <v>107</v>
      </c>
      <c r="B113" s="162" t="s">
        <v>69</v>
      </c>
      <c r="C113" s="462"/>
      <c r="D113" s="462"/>
      <c r="E113" s="462"/>
      <c r="F113" s="462"/>
      <c r="G113" s="696"/>
      <c r="H113" s="696"/>
      <c r="I113" s="462"/>
      <c r="J113" s="462"/>
      <c r="K113" s="462"/>
      <c r="L113" s="462"/>
      <c r="M113" s="462"/>
      <c r="N113" s="462"/>
      <c r="O113" s="462"/>
      <c r="P113" s="462"/>
      <c r="Q113" s="276"/>
      <c r="R113" s="467">
        <f t="shared" si="10"/>
        <v>0</v>
      </c>
      <c r="S113" s="468">
        <f t="shared" si="11"/>
        <v>0</v>
      </c>
      <c r="T113" s="468">
        <f t="shared" si="12"/>
        <v>0</v>
      </c>
      <c r="U113" s="468">
        <f t="shared" si="13"/>
        <v>0</v>
      </c>
      <c r="V113" s="467">
        <f t="shared" si="14"/>
        <v>0</v>
      </c>
      <c r="W113" s="468">
        <f t="shared" si="15"/>
        <v>0</v>
      </c>
      <c r="X113" s="468">
        <f t="shared" si="16"/>
        <v>0</v>
      </c>
      <c r="Y113" s="468">
        <f t="shared" si="17"/>
        <v>0</v>
      </c>
      <c r="Z113" s="469" t="e">
        <f t="shared" si="19"/>
        <v>#DIV/0!</v>
      </c>
      <c r="AA113" s="469" t="e">
        <f t="shared" si="19"/>
        <v>#DIV/0!</v>
      </c>
      <c r="AB113" s="469" t="e">
        <f t="shared" si="19"/>
        <v>#DIV/0!</v>
      </c>
      <c r="AC113" s="469" t="e">
        <f t="shared" si="19"/>
        <v>#DIV/0!</v>
      </c>
    </row>
    <row r="114" spans="1:29">
      <c r="A114" s="276">
        <v>108</v>
      </c>
      <c r="B114" s="162" t="s">
        <v>157</v>
      </c>
      <c r="C114" s="462">
        <v>1</v>
      </c>
      <c r="D114" s="462">
        <v>1</v>
      </c>
      <c r="E114" s="462">
        <v>1</v>
      </c>
      <c r="F114" s="462">
        <v>1</v>
      </c>
      <c r="G114" s="696"/>
      <c r="H114" s="696"/>
      <c r="I114" s="462" t="s">
        <v>889</v>
      </c>
      <c r="J114" s="462" t="s">
        <v>891</v>
      </c>
      <c r="K114" s="462" t="s">
        <v>889</v>
      </c>
      <c r="L114" s="462" t="s">
        <v>891</v>
      </c>
      <c r="M114" s="462" t="s">
        <v>889</v>
      </c>
      <c r="N114" s="462" t="s">
        <v>891</v>
      </c>
      <c r="O114" s="462" t="s">
        <v>889</v>
      </c>
      <c r="P114" s="462" t="s">
        <v>891</v>
      </c>
      <c r="Q114" s="276">
        <v>30</v>
      </c>
      <c r="R114" s="467" t="e">
        <f t="shared" si="10"/>
        <v>#VALUE!</v>
      </c>
      <c r="S114" s="468" t="e">
        <f t="shared" si="11"/>
        <v>#VALUE!</v>
      </c>
      <c r="T114" s="468" t="e">
        <f t="shared" si="12"/>
        <v>#VALUE!</v>
      </c>
      <c r="U114" s="468" t="e">
        <f t="shared" si="13"/>
        <v>#VALUE!</v>
      </c>
      <c r="V114" s="467" t="e">
        <f t="shared" si="14"/>
        <v>#VALUE!</v>
      </c>
      <c r="W114" s="468" t="e">
        <f t="shared" si="15"/>
        <v>#VALUE!</v>
      </c>
      <c r="X114" s="468" t="e">
        <f t="shared" si="16"/>
        <v>#VALUE!</v>
      </c>
      <c r="Y114" s="468" t="e">
        <f t="shared" si="17"/>
        <v>#VALUE!</v>
      </c>
      <c r="Z114" s="469" t="e">
        <f t="shared" si="19"/>
        <v>#VALUE!</v>
      </c>
      <c r="AA114" s="469" t="e">
        <f t="shared" si="19"/>
        <v>#VALUE!</v>
      </c>
      <c r="AB114" s="469" t="e">
        <f t="shared" si="19"/>
        <v>#VALUE!</v>
      </c>
      <c r="AC114" s="469" t="e">
        <f t="shared" si="19"/>
        <v>#VALUE!</v>
      </c>
    </row>
    <row r="115" spans="1:29" hidden="1">
      <c r="A115" s="276">
        <v>109</v>
      </c>
      <c r="B115" s="162" t="s">
        <v>158</v>
      </c>
      <c r="C115" s="462"/>
      <c r="D115" s="462"/>
      <c r="E115" s="462"/>
      <c r="F115" s="462"/>
      <c r="G115" s="696"/>
      <c r="H115" s="696"/>
      <c r="I115" s="462"/>
      <c r="J115" s="462"/>
      <c r="K115" s="462"/>
      <c r="L115" s="462"/>
      <c r="M115" s="462"/>
      <c r="N115" s="462"/>
      <c r="O115" s="462"/>
      <c r="P115" s="462"/>
      <c r="Q115" s="276"/>
      <c r="R115" s="467">
        <f t="shared" si="10"/>
        <v>0</v>
      </c>
      <c r="S115" s="468">
        <f t="shared" si="11"/>
        <v>0</v>
      </c>
      <c r="T115" s="468">
        <f t="shared" si="12"/>
        <v>0</v>
      </c>
      <c r="U115" s="468">
        <f t="shared" si="13"/>
        <v>0</v>
      </c>
      <c r="V115" s="467">
        <f t="shared" si="14"/>
        <v>0</v>
      </c>
      <c r="W115" s="468">
        <f t="shared" si="15"/>
        <v>0</v>
      </c>
      <c r="X115" s="468">
        <f t="shared" si="16"/>
        <v>0</v>
      </c>
      <c r="Y115" s="468">
        <f t="shared" si="17"/>
        <v>0</v>
      </c>
      <c r="Z115" s="469" t="e">
        <f t="shared" si="19"/>
        <v>#DIV/0!</v>
      </c>
      <c r="AA115" s="469" t="e">
        <f t="shared" si="19"/>
        <v>#DIV/0!</v>
      </c>
      <c r="AB115" s="469" t="e">
        <f t="shared" si="19"/>
        <v>#DIV/0!</v>
      </c>
      <c r="AC115" s="469" t="e">
        <f t="shared" si="19"/>
        <v>#DIV/0!</v>
      </c>
    </row>
    <row r="116" spans="1:29">
      <c r="A116" s="276">
        <v>110</v>
      </c>
      <c r="B116" s="162" t="s">
        <v>159</v>
      </c>
      <c r="C116" s="462">
        <v>1</v>
      </c>
      <c r="D116" s="462">
        <v>1</v>
      </c>
      <c r="E116" s="462">
        <v>1</v>
      </c>
      <c r="F116" s="462">
        <v>1</v>
      </c>
      <c r="G116" s="696"/>
      <c r="H116" s="696"/>
      <c r="I116" s="462"/>
      <c r="J116" s="462" t="s">
        <v>891</v>
      </c>
      <c r="K116" s="462"/>
      <c r="L116" s="462" t="s">
        <v>891</v>
      </c>
      <c r="M116" s="462"/>
      <c r="N116" s="462" t="s">
        <v>891</v>
      </c>
      <c r="O116" s="462"/>
      <c r="P116" s="462" t="s">
        <v>891</v>
      </c>
      <c r="Q116" s="276">
        <v>30</v>
      </c>
      <c r="R116" s="467">
        <f t="shared" si="10"/>
        <v>0</v>
      </c>
      <c r="S116" s="468">
        <f t="shared" si="11"/>
        <v>0</v>
      </c>
      <c r="T116" s="468">
        <f t="shared" si="12"/>
        <v>0</v>
      </c>
      <c r="U116" s="468">
        <f t="shared" si="13"/>
        <v>0</v>
      </c>
      <c r="V116" s="467">
        <f t="shared" si="14"/>
        <v>0</v>
      </c>
      <c r="W116" s="468">
        <f t="shared" si="15"/>
        <v>0</v>
      </c>
      <c r="X116" s="468">
        <f t="shared" si="16"/>
        <v>0</v>
      </c>
      <c r="Y116" s="468">
        <f t="shared" si="17"/>
        <v>0</v>
      </c>
      <c r="Z116" s="469" t="e">
        <f t="shared" si="19"/>
        <v>#DIV/0!</v>
      </c>
      <c r="AA116" s="469" t="e">
        <f t="shared" si="19"/>
        <v>#DIV/0!</v>
      </c>
      <c r="AB116" s="469" t="e">
        <f t="shared" si="19"/>
        <v>#DIV/0!</v>
      </c>
      <c r="AC116" s="469" t="e">
        <f t="shared" si="19"/>
        <v>#DIV/0!</v>
      </c>
    </row>
    <row r="117" spans="1:29">
      <c r="A117" s="276">
        <v>111</v>
      </c>
      <c r="B117" s="162" t="s">
        <v>160</v>
      </c>
      <c r="C117" s="462">
        <v>2</v>
      </c>
      <c r="D117" s="462">
        <v>2</v>
      </c>
      <c r="E117" s="462">
        <v>2</v>
      </c>
      <c r="F117" s="462">
        <v>2</v>
      </c>
      <c r="G117" s="696"/>
      <c r="H117" s="696"/>
      <c r="I117" s="462" t="s">
        <v>889</v>
      </c>
      <c r="J117" s="462" t="s">
        <v>891</v>
      </c>
      <c r="K117" s="462" t="s">
        <v>889</v>
      </c>
      <c r="L117" s="462" t="s">
        <v>891</v>
      </c>
      <c r="M117" s="462" t="s">
        <v>889</v>
      </c>
      <c r="N117" s="462" t="s">
        <v>891</v>
      </c>
      <c r="O117" s="462" t="s">
        <v>889</v>
      </c>
      <c r="P117" s="462" t="s">
        <v>891</v>
      </c>
      <c r="Q117" s="276">
        <v>30</v>
      </c>
      <c r="R117" s="467" t="e">
        <f t="shared" si="10"/>
        <v>#VALUE!</v>
      </c>
      <c r="S117" s="468" t="e">
        <f t="shared" si="11"/>
        <v>#VALUE!</v>
      </c>
      <c r="T117" s="468" t="e">
        <f t="shared" si="12"/>
        <v>#VALUE!</v>
      </c>
      <c r="U117" s="468" t="e">
        <f t="shared" si="13"/>
        <v>#VALUE!</v>
      </c>
      <c r="V117" s="467" t="e">
        <f t="shared" si="14"/>
        <v>#VALUE!</v>
      </c>
      <c r="W117" s="468" t="e">
        <f t="shared" si="15"/>
        <v>#VALUE!</v>
      </c>
      <c r="X117" s="468" t="e">
        <f t="shared" si="16"/>
        <v>#VALUE!</v>
      </c>
      <c r="Y117" s="468" t="e">
        <f t="shared" si="17"/>
        <v>#VALUE!</v>
      </c>
      <c r="Z117" s="469" t="e">
        <f t="shared" si="19"/>
        <v>#VALUE!</v>
      </c>
      <c r="AA117" s="469" t="e">
        <f t="shared" si="19"/>
        <v>#VALUE!</v>
      </c>
      <c r="AB117" s="469" t="e">
        <f t="shared" si="19"/>
        <v>#VALUE!</v>
      </c>
      <c r="AC117" s="469" t="e">
        <f t="shared" si="19"/>
        <v>#VALUE!</v>
      </c>
    </row>
    <row r="118" spans="1:29" hidden="1">
      <c r="A118" s="276">
        <v>112</v>
      </c>
      <c r="B118" s="162" t="s">
        <v>161</v>
      </c>
      <c r="C118" s="462"/>
      <c r="D118" s="462"/>
      <c r="E118" s="462"/>
      <c r="F118" s="462"/>
      <c r="G118" s="696"/>
      <c r="H118" s="696"/>
      <c r="I118" s="462"/>
      <c r="J118" s="462"/>
      <c r="K118" s="462"/>
      <c r="L118" s="462"/>
      <c r="M118" s="462"/>
      <c r="N118" s="462"/>
      <c r="O118" s="462"/>
      <c r="P118" s="462"/>
      <c r="Q118" s="276"/>
      <c r="R118" s="467">
        <f t="shared" si="10"/>
        <v>0</v>
      </c>
      <c r="S118" s="468">
        <f t="shared" si="11"/>
        <v>0</v>
      </c>
      <c r="T118" s="468">
        <f t="shared" si="12"/>
        <v>0</v>
      </c>
      <c r="U118" s="468">
        <f t="shared" si="13"/>
        <v>0</v>
      </c>
      <c r="V118" s="467">
        <f t="shared" si="14"/>
        <v>0</v>
      </c>
      <c r="W118" s="468">
        <f t="shared" si="15"/>
        <v>0</v>
      </c>
      <c r="X118" s="468">
        <f t="shared" si="16"/>
        <v>0</v>
      </c>
      <c r="Y118" s="468">
        <f t="shared" si="17"/>
        <v>0</v>
      </c>
      <c r="Z118" s="469" t="e">
        <f t="shared" si="19"/>
        <v>#DIV/0!</v>
      </c>
      <c r="AA118" s="469" t="e">
        <f t="shared" si="19"/>
        <v>#DIV/0!</v>
      </c>
      <c r="AB118" s="469" t="e">
        <f t="shared" si="19"/>
        <v>#DIV/0!</v>
      </c>
      <c r="AC118" s="469" t="e">
        <f t="shared" si="19"/>
        <v>#DIV/0!</v>
      </c>
    </row>
    <row r="119" spans="1:29">
      <c r="A119" s="276">
        <v>113</v>
      </c>
      <c r="B119" s="162" t="s">
        <v>162</v>
      </c>
      <c r="C119" s="462">
        <v>1</v>
      </c>
      <c r="D119" s="462">
        <v>1</v>
      </c>
      <c r="E119" s="462">
        <v>1</v>
      </c>
      <c r="F119" s="462">
        <v>1</v>
      </c>
      <c r="G119" s="696"/>
      <c r="H119" s="696"/>
      <c r="I119" s="462"/>
      <c r="J119" s="462" t="s">
        <v>891</v>
      </c>
      <c r="K119" s="462"/>
      <c r="L119" s="462" t="s">
        <v>891</v>
      </c>
      <c r="M119" s="462"/>
      <c r="N119" s="462" t="s">
        <v>891</v>
      </c>
      <c r="O119" s="462"/>
      <c r="P119" s="462" t="s">
        <v>891</v>
      </c>
      <c r="Q119" s="276">
        <v>30</v>
      </c>
      <c r="R119" s="467">
        <f t="shared" si="10"/>
        <v>0</v>
      </c>
      <c r="S119" s="468">
        <f t="shared" si="11"/>
        <v>0</v>
      </c>
      <c r="T119" s="468">
        <f t="shared" si="12"/>
        <v>0</v>
      </c>
      <c r="U119" s="468">
        <f t="shared" si="13"/>
        <v>0</v>
      </c>
      <c r="V119" s="467">
        <f t="shared" si="14"/>
        <v>0</v>
      </c>
      <c r="W119" s="468">
        <f t="shared" si="15"/>
        <v>0</v>
      </c>
      <c r="X119" s="468">
        <f t="shared" si="16"/>
        <v>0</v>
      </c>
      <c r="Y119" s="468">
        <f t="shared" si="17"/>
        <v>0</v>
      </c>
      <c r="Z119" s="469" t="e">
        <f t="shared" si="19"/>
        <v>#DIV/0!</v>
      </c>
      <c r="AA119" s="469" t="e">
        <f t="shared" si="19"/>
        <v>#DIV/0!</v>
      </c>
      <c r="AB119" s="469" t="e">
        <f t="shared" si="19"/>
        <v>#DIV/0!</v>
      </c>
      <c r="AC119" s="469" t="e">
        <f t="shared" si="19"/>
        <v>#DIV/0!</v>
      </c>
    </row>
    <row r="120" spans="1:29">
      <c r="A120" s="276">
        <v>114</v>
      </c>
      <c r="B120" s="162" t="s">
        <v>163</v>
      </c>
      <c r="C120" s="462">
        <v>1</v>
      </c>
      <c r="D120" s="462">
        <v>1</v>
      </c>
      <c r="E120" s="462">
        <v>1</v>
      </c>
      <c r="F120" s="462">
        <v>1</v>
      </c>
      <c r="G120" s="696"/>
      <c r="H120" s="696"/>
      <c r="I120" s="462" t="s">
        <v>889</v>
      </c>
      <c r="J120" s="462" t="s">
        <v>891</v>
      </c>
      <c r="K120" s="462" t="s">
        <v>889</v>
      </c>
      <c r="L120" s="462" t="s">
        <v>891</v>
      </c>
      <c r="M120" s="462" t="s">
        <v>889</v>
      </c>
      <c r="N120" s="462" t="s">
        <v>891</v>
      </c>
      <c r="O120" s="462" t="s">
        <v>889</v>
      </c>
      <c r="P120" s="462" t="s">
        <v>891</v>
      </c>
      <c r="Q120" s="276">
        <v>30</v>
      </c>
      <c r="R120" s="467" t="e">
        <f t="shared" si="10"/>
        <v>#VALUE!</v>
      </c>
      <c r="S120" s="468" t="e">
        <f t="shared" si="11"/>
        <v>#VALUE!</v>
      </c>
      <c r="T120" s="468" t="e">
        <f t="shared" si="12"/>
        <v>#VALUE!</v>
      </c>
      <c r="U120" s="468" t="e">
        <f t="shared" si="13"/>
        <v>#VALUE!</v>
      </c>
      <c r="V120" s="467" t="e">
        <f t="shared" si="14"/>
        <v>#VALUE!</v>
      </c>
      <c r="W120" s="468" t="e">
        <f t="shared" si="15"/>
        <v>#VALUE!</v>
      </c>
      <c r="X120" s="468" t="e">
        <f t="shared" si="16"/>
        <v>#VALUE!</v>
      </c>
      <c r="Y120" s="468" t="e">
        <f t="shared" si="17"/>
        <v>#VALUE!</v>
      </c>
      <c r="Z120" s="469" t="e">
        <f t="shared" si="19"/>
        <v>#VALUE!</v>
      </c>
      <c r="AA120" s="469" t="e">
        <f t="shared" si="19"/>
        <v>#VALUE!</v>
      </c>
      <c r="AB120" s="469" t="e">
        <f t="shared" si="19"/>
        <v>#VALUE!</v>
      </c>
      <c r="AC120" s="469" t="e">
        <f t="shared" si="19"/>
        <v>#VALUE!</v>
      </c>
    </row>
    <row r="121" spans="1:29">
      <c r="A121" s="276">
        <v>115</v>
      </c>
      <c r="B121" s="162" t="s">
        <v>74</v>
      </c>
      <c r="C121" s="462">
        <v>1</v>
      </c>
      <c r="D121" s="462">
        <v>1</v>
      </c>
      <c r="E121" s="462">
        <v>1</v>
      </c>
      <c r="F121" s="462">
        <v>1</v>
      </c>
      <c r="G121" s="696"/>
      <c r="H121" s="696"/>
      <c r="I121" s="462" t="s">
        <v>889</v>
      </c>
      <c r="J121" s="462" t="s">
        <v>891</v>
      </c>
      <c r="K121" s="462" t="s">
        <v>889</v>
      </c>
      <c r="L121" s="462" t="s">
        <v>891</v>
      </c>
      <c r="M121" s="462" t="s">
        <v>889</v>
      </c>
      <c r="N121" s="462" t="s">
        <v>891</v>
      </c>
      <c r="O121" s="462" t="s">
        <v>889</v>
      </c>
      <c r="P121" s="462" t="s">
        <v>891</v>
      </c>
      <c r="Q121" s="276">
        <v>30</v>
      </c>
      <c r="R121" s="467" t="e">
        <f t="shared" si="10"/>
        <v>#VALUE!</v>
      </c>
      <c r="S121" s="468" t="e">
        <f t="shared" si="11"/>
        <v>#VALUE!</v>
      </c>
      <c r="T121" s="468" t="e">
        <f t="shared" si="12"/>
        <v>#VALUE!</v>
      </c>
      <c r="U121" s="468" t="e">
        <f t="shared" si="13"/>
        <v>#VALUE!</v>
      </c>
      <c r="V121" s="467" t="e">
        <f t="shared" si="14"/>
        <v>#VALUE!</v>
      </c>
      <c r="W121" s="468" t="e">
        <f t="shared" si="15"/>
        <v>#VALUE!</v>
      </c>
      <c r="X121" s="468" t="e">
        <f t="shared" si="16"/>
        <v>#VALUE!</v>
      </c>
      <c r="Y121" s="468" t="e">
        <f t="shared" si="17"/>
        <v>#VALUE!</v>
      </c>
      <c r="Z121" s="469" t="e">
        <f t="shared" si="19"/>
        <v>#VALUE!</v>
      </c>
      <c r="AA121" s="469" t="e">
        <f t="shared" si="19"/>
        <v>#VALUE!</v>
      </c>
      <c r="AB121" s="469" t="e">
        <f t="shared" si="19"/>
        <v>#VALUE!</v>
      </c>
      <c r="AC121" s="469" t="e">
        <f t="shared" si="19"/>
        <v>#VALUE!</v>
      </c>
    </row>
    <row r="122" spans="1:29">
      <c r="A122" s="276">
        <v>116</v>
      </c>
      <c r="B122" s="162" t="s">
        <v>164</v>
      </c>
      <c r="C122" s="462">
        <v>2</v>
      </c>
      <c r="D122" s="462">
        <v>2</v>
      </c>
      <c r="E122" s="462">
        <v>2</v>
      </c>
      <c r="F122" s="462">
        <v>2</v>
      </c>
      <c r="G122" s="696"/>
      <c r="H122" s="696"/>
      <c r="I122" s="462" t="s">
        <v>889</v>
      </c>
      <c r="J122" s="462" t="s">
        <v>891</v>
      </c>
      <c r="K122" s="462" t="s">
        <v>889</v>
      </c>
      <c r="L122" s="462" t="s">
        <v>891</v>
      </c>
      <c r="M122" s="462" t="s">
        <v>889</v>
      </c>
      <c r="N122" s="462" t="s">
        <v>891</v>
      </c>
      <c r="O122" s="462" t="s">
        <v>889</v>
      </c>
      <c r="P122" s="462" t="s">
        <v>891</v>
      </c>
      <c r="Q122" s="276">
        <v>30</v>
      </c>
      <c r="R122" s="467" t="e">
        <f t="shared" si="10"/>
        <v>#VALUE!</v>
      </c>
      <c r="S122" s="468" t="e">
        <f t="shared" si="11"/>
        <v>#VALUE!</v>
      </c>
      <c r="T122" s="468" t="e">
        <f t="shared" si="12"/>
        <v>#VALUE!</v>
      </c>
      <c r="U122" s="468" t="e">
        <f t="shared" si="13"/>
        <v>#VALUE!</v>
      </c>
      <c r="V122" s="467" t="e">
        <f t="shared" si="14"/>
        <v>#VALUE!</v>
      </c>
      <c r="W122" s="468" t="e">
        <f t="shared" si="15"/>
        <v>#VALUE!</v>
      </c>
      <c r="X122" s="468" t="e">
        <f t="shared" si="16"/>
        <v>#VALUE!</v>
      </c>
      <c r="Y122" s="468" t="e">
        <f t="shared" si="17"/>
        <v>#VALUE!</v>
      </c>
      <c r="Z122" s="469" t="e">
        <f t="shared" si="19"/>
        <v>#VALUE!</v>
      </c>
      <c r="AA122" s="469" t="e">
        <f t="shared" si="19"/>
        <v>#VALUE!</v>
      </c>
      <c r="AB122" s="469" t="e">
        <f t="shared" si="19"/>
        <v>#VALUE!</v>
      </c>
      <c r="AC122" s="469" t="e">
        <f t="shared" si="19"/>
        <v>#VALUE!</v>
      </c>
    </row>
    <row r="123" spans="1:29" hidden="1">
      <c r="A123" s="276">
        <v>117</v>
      </c>
      <c r="B123" s="162" t="s">
        <v>165</v>
      </c>
      <c r="C123" s="462"/>
      <c r="D123" s="462"/>
      <c r="E123" s="462"/>
      <c r="F123" s="462"/>
      <c r="G123" s="696"/>
      <c r="H123" s="696"/>
      <c r="I123" s="462"/>
      <c r="J123" s="462"/>
      <c r="K123" s="462"/>
      <c r="L123" s="462"/>
      <c r="M123" s="462"/>
      <c r="N123" s="462"/>
      <c r="O123" s="462"/>
      <c r="P123" s="462"/>
      <c r="Q123" s="276"/>
      <c r="R123" s="467">
        <f t="shared" si="10"/>
        <v>0</v>
      </c>
      <c r="S123" s="468">
        <f t="shared" si="11"/>
        <v>0</v>
      </c>
      <c r="T123" s="468">
        <f t="shared" si="12"/>
        <v>0</v>
      </c>
      <c r="U123" s="468">
        <f t="shared" si="13"/>
        <v>0</v>
      </c>
      <c r="V123" s="467">
        <f t="shared" si="14"/>
        <v>0</v>
      </c>
      <c r="W123" s="468">
        <f t="shared" si="15"/>
        <v>0</v>
      </c>
      <c r="X123" s="468">
        <f t="shared" si="16"/>
        <v>0</v>
      </c>
      <c r="Y123" s="468">
        <f t="shared" si="17"/>
        <v>0</v>
      </c>
      <c r="Z123" s="469" t="e">
        <f t="shared" si="19"/>
        <v>#DIV/0!</v>
      </c>
      <c r="AA123" s="469" t="e">
        <f t="shared" si="19"/>
        <v>#DIV/0!</v>
      </c>
      <c r="AB123" s="469" t="e">
        <f t="shared" si="19"/>
        <v>#DIV/0!</v>
      </c>
      <c r="AC123" s="469" t="e">
        <f t="shared" si="19"/>
        <v>#DIV/0!</v>
      </c>
    </row>
    <row r="124" spans="1:29" hidden="1">
      <c r="A124" s="276">
        <v>118</v>
      </c>
      <c r="B124" s="162" t="s">
        <v>166</v>
      </c>
      <c r="C124" s="462"/>
      <c r="D124" s="462"/>
      <c r="E124" s="462"/>
      <c r="F124" s="462"/>
      <c r="G124" s="696"/>
      <c r="H124" s="696"/>
      <c r="I124" s="462"/>
      <c r="J124" s="462"/>
      <c r="K124" s="462"/>
      <c r="L124" s="462"/>
      <c r="M124" s="462"/>
      <c r="N124" s="462"/>
      <c r="O124" s="462"/>
      <c r="P124" s="462"/>
      <c r="Q124" s="276"/>
      <c r="R124" s="467">
        <f t="shared" si="10"/>
        <v>0</v>
      </c>
      <c r="S124" s="468">
        <f t="shared" si="11"/>
        <v>0</v>
      </c>
      <c r="T124" s="468">
        <f t="shared" si="12"/>
        <v>0</v>
      </c>
      <c r="U124" s="468">
        <f t="shared" si="13"/>
        <v>0</v>
      </c>
      <c r="V124" s="467">
        <f t="shared" si="14"/>
        <v>0</v>
      </c>
      <c r="W124" s="468">
        <f t="shared" si="15"/>
        <v>0</v>
      </c>
      <c r="X124" s="468">
        <f t="shared" si="16"/>
        <v>0</v>
      </c>
      <c r="Y124" s="468">
        <f t="shared" si="17"/>
        <v>0</v>
      </c>
      <c r="Z124" s="469" t="e">
        <f t="shared" si="19"/>
        <v>#DIV/0!</v>
      </c>
      <c r="AA124" s="469" t="e">
        <f t="shared" si="19"/>
        <v>#DIV/0!</v>
      </c>
      <c r="AB124" s="469" t="e">
        <f t="shared" si="19"/>
        <v>#DIV/0!</v>
      </c>
      <c r="AC124" s="469" t="e">
        <f t="shared" si="19"/>
        <v>#DIV/0!</v>
      </c>
    </row>
    <row r="125" spans="1:29" hidden="1">
      <c r="A125" s="276">
        <v>119</v>
      </c>
      <c r="B125" s="162" t="s">
        <v>167</v>
      </c>
      <c r="C125" s="462"/>
      <c r="D125" s="462"/>
      <c r="E125" s="462"/>
      <c r="F125" s="462"/>
      <c r="G125" s="696"/>
      <c r="H125" s="696"/>
      <c r="I125" s="462"/>
      <c r="J125" s="462"/>
      <c r="K125" s="462"/>
      <c r="L125" s="462"/>
      <c r="M125" s="462"/>
      <c r="N125" s="462"/>
      <c r="O125" s="462"/>
      <c r="P125" s="462"/>
      <c r="Q125" s="276"/>
      <c r="R125" s="467">
        <f t="shared" si="10"/>
        <v>0</v>
      </c>
      <c r="S125" s="468">
        <f t="shared" si="11"/>
        <v>0</v>
      </c>
      <c r="T125" s="468">
        <f t="shared" si="12"/>
        <v>0</v>
      </c>
      <c r="U125" s="468">
        <f t="shared" si="13"/>
        <v>0</v>
      </c>
      <c r="V125" s="467">
        <f t="shared" si="14"/>
        <v>0</v>
      </c>
      <c r="W125" s="468">
        <f t="shared" si="15"/>
        <v>0</v>
      </c>
      <c r="X125" s="468">
        <f t="shared" si="16"/>
        <v>0</v>
      </c>
      <c r="Y125" s="468">
        <f t="shared" si="17"/>
        <v>0</v>
      </c>
      <c r="Z125" s="469" t="e">
        <f t="shared" si="19"/>
        <v>#DIV/0!</v>
      </c>
      <c r="AA125" s="469" t="e">
        <f t="shared" si="19"/>
        <v>#DIV/0!</v>
      </c>
      <c r="AB125" s="469" t="e">
        <f t="shared" si="19"/>
        <v>#DIV/0!</v>
      </c>
      <c r="AC125" s="469" t="e">
        <f t="shared" si="19"/>
        <v>#DIV/0!</v>
      </c>
    </row>
    <row r="126" spans="1:29" hidden="1">
      <c r="A126" s="276">
        <v>120</v>
      </c>
      <c r="B126" s="162" t="s">
        <v>168</v>
      </c>
      <c r="C126" s="462"/>
      <c r="D126" s="462"/>
      <c r="E126" s="462"/>
      <c r="F126" s="462"/>
      <c r="G126" s="696"/>
      <c r="H126" s="696"/>
      <c r="I126" s="462"/>
      <c r="J126" s="462"/>
      <c r="K126" s="462"/>
      <c r="L126" s="462"/>
      <c r="M126" s="462"/>
      <c r="N126" s="462"/>
      <c r="O126" s="462"/>
      <c r="P126" s="462"/>
      <c r="Q126" s="276"/>
      <c r="R126" s="467">
        <f t="shared" si="10"/>
        <v>0</v>
      </c>
      <c r="S126" s="468">
        <f t="shared" si="11"/>
        <v>0</v>
      </c>
      <c r="T126" s="468">
        <f t="shared" si="12"/>
        <v>0</v>
      </c>
      <c r="U126" s="468">
        <f t="shared" si="13"/>
        <v>0</v>
      </c>
      <c r="V126" s="467">
        <f t="shared" si="14"/>
        <v>0</v>
      </c>
      <c r="W126" s="468">
        <f t="shared" si="15"/>
        <v>0</v>
      </c>
      <c r="X126" s="468">
        <f t="shared" si="16"/>
        <v>0</v>
      </c>
      <c r="Y126" s="468">
        <f t="shared" si="17"/>
        <v>0</v>
      </c>
      <c r="Z126" s="469" t="e">
        <f t="shared" si="19"/>
        <v>#DIV/0!</v>
      </c>
      <c r="AA126" s="469" t="e">
        <f t="shared" si="19"/>
        <v>#DIV/0!</v>
      </c>
      <c r="AB126" s="469" t="e">
        <f t="shared" si="19"/>
        <v>#DIV/0!</v>
      </c>
      <c r="AC126" s="469" t="e">
        <f t="shared" si="19"/>
        <v>#DIV/0!</v>
      </c>
    </row>
    <row r="127" spans="1:29" hidden="1">
      <c r="A127" s="276">
        <v>121</v>
      </c>
      <c r="B127" s="162" t="s">
        <v>169</v>
      </c>
      <c r="C127" s="462"/>
      <c r="D127" s="462"/>
      <c r="E127" s="462"/>
      <c r="F127" s="462"/>
      <c r="G127" s="696"/>
      <c r="H127" s="696"/>
      <c r="I127" s="462"/>
      <c r="J127" s="462"/>
      <c r="K127" s="462"/>
      <c r="L127" s="462"/>
      <c r="M127" s="462"/>
      <c r="N127" s="462"/>
      <c r="O127" s="462"/>
      <c r="P127" s="462"/>
      <c r="Q127" s="276"/>
      <c r="R127" s="467">
        <f t="shared" si="10"/>
        <v>0</v>
      </c>
      <c r="S127" s="468">
        <f t="shared" si="11"/>
        <v>0</v>
      </c>
      <c r="T127" s="468">
        <f t="shared" si="12"/>
        <v>0</v>
      </c>
      <c r="U127" s="468">
        <f t="shared" si="13"/>
        <v>0</v>
      </c>
      <c r="V127" s="467">
        <f t="shared" si="14"/>
        <v>0</v>
      </c>
      <c r="W127" s="468">
        <f t="shared" si="15"/>
        <v>0</v>
      </c>
      <c r="X127" s="468">
        <f t="shared" si="16"/>
        <v>0</v>
      </c>
      <c r="Y127" s="468">
        <f t="shared" si="17"/>
        <v>0</v>
      </c>
      <c r="Z127" s="469" t="e">
        <f t="shared" si="19"/>
        <v>#DIV/0!</v>
      </c>
      <c r="AA127" s="469" t="e">
        <f t="shared" si="19"/>
        <v>#DIV/0!</v>
      </c>
      <c r="AB127" s="469" t="e">
        <f t="shared" si="19"/>
        <v>#DIV/0!</v>
      </c>
      <c r="AC127" s="469" t="e">
        <f t="shared" si="19"/>
        <v>#DIV/0!</v>
      </c>
    </row>
    <row r="128" spans="1:29" hidden="1">
      <c r="A128" s="276">
        <v>122</v>
      </c>
      <c r="B128" s="162" t="s">
        <v>170</v>
      </c>
      <c r="C128" s="462"/>
      <c r="D128" s="462"/>
      <c r="E128" s="462"/>
      <c r="F128" s="462"/>
      <c r="G128" s="696"/>
      <c r="H128" s="696"/>
      <c r="I128" s="462"/>
      <c r="J128" s="462"/>
      <c r="K128" s="462"/>
      <c r="L128" s="462"/>
      <c r="M128" s="462"/>
      <c r="N128" s="462"/>
      <c r="O128" s="462"/>
      <c r="P128" s="462"/>
      <c r="Q128" s="276"/>
      <c r="R128" s="467">
        <f t="shared" si="10"/>
        <v>0</v>
      </c>
      <c r="S128" s="468">
        <f t="shared" si="11"/>
        <v>0</v>
      </c>
      <c r="T128" s="468">
        <f t="shared" si="12"/>
        <v>0</v>
      </c>
      <c r="U128" s="468">
        <f t="shared" si="13"/>
        <v>0</v>
      </c>
      <c r="V128" s="467">
        <f t="shared" si="14"/>
        <v>0</v>
      </c>
      <c r="W128" s="468">
        <f t="shared" si="15"/>
        <v>0</v>
      </c>
      <c r="X128" s="468">
        <f t="shared" si="16"/>
        <v>0</v>
      </c>
      <c r="Y128" s="468">
        <f t="shared" si="17"/>
        <v>0</v>
      </c>
      <c r="Z128" s="469" t="e">
        <f t="shared" si="19"/>
        <v>#DIV/0!</v>
      </c>
      <c r="AA128" s="469" t="e">
        <f t="shared" si="19"/>
        <v>#DIV/0!</v>
      </c>
      <c r="AB128" s="469" t="e">
        <f t="shared" si="19"/>
        <v>#DIV/0!</v>
      </c>
      <c r="AC128" s="469" t="e">
        <f t="shared" si="19"/>
        <v>#DIV/0!</v>
      </c>
    </row>
    <row r="129" spans="1:29" hidden="1">
      <c r="A129" s="276">
        <v>123</v>
      </c>
      <c r="B129" s="162" t="s">
        <v>171</v>
      </c>
      <c r="C129" s="462"/>
      <c r="D129" s="462"/>
      <c r="E129" s="462"/>
      <c r="F129" s="462"/>
      <c r="G129" s="696"/>
      <c r="H129" s="696"/>
      <c r="I129" s="462"/>
      <c r="J129" s="462"/>
      <c r="K129" s="462"/>
      <c r="L129" s="462"/>
      <c r="M129" s="462"/>
      <c r="N129" s="462"/>
      <c r="O129" s="462"/>
      <c r="P129" s="462"/>
      <c r="Q129" s="276"/>
      <c r="R129" s="467">
        <f t="shared" si="10"/>
        <v>0</v>
      </c>
      <c r="S129" s="468">
        <f t="shared" si="11"/>
        <v>0</v>
      </c>
      <c r="T129" s="468">
        <f t="shared" si="12"/>
        <v>0</v>
      </c>
      <c r="U129" s="468">
        <f t="shared" si="13"/>
        <v>0</v>
      </c>
      <c r="V129" s="467">
        <f t="shared" si="14"/>
        <v>0</v>
      </c>
      <c r="W129" s="468">
        <f t="shared" si="15"/>
        <v>0</v>
      </c>
      <c r="X129" s="468">
        <f t="shared" si="16"/>
        <v>0</v>
      </c>
      <c r="Y129" s="468">
        <f t="shared" si="17"/>
        <v>0</v>
      </c>
      <c r="Z129" s="469" t="e">
        <f t="shared" si="19"/>
        <v>#DIV/0!</v>
      </c>
      <c r="AA129" s="469" t="e">
        <f t="shared" si="19"/>
        <v>#DIV/0!</v>
      </c>
      <c r="AB129" s="469" t="e">
        <f t="shared" si="19"/>
        <v>#DIV/0!</v>
      </c>
      <c r="AC129" s="469" t="e">
        <f t="shared" si="19"/>
        <v>#DIV/0!</v>
      </c>
    </row>
    <row r="130" spans="1:29" hidden="1">
      <c r="A130" s="276">
        <v>124</v>
      </c>
      <c r="B130" s="162" t="s">
        <v>172</v>
      </c>
      <c r="C130" s="462"/>
      <c r="D130" s="462"/>
      <c r="E130" s="462"/>
      <c r="F130" s="462"/>
      <c r="G130" s="696"/>
      <c r="H130" s="696"/>
      <c r="I130" s="462"/>
      <c r="J130" s="462"/>
      <c r="K130" s="462"/>
      <c r="L130" s="462"/>
      <c r="M130" s="462"/>
      <c r="N130" s="462"/>
      <c r="O130" s="462"/>
      <c r="P130" s="462"/>
      <c r="Q130" s="276"/>
      <c r="R130" s="467">
        <f t="shared" si="10"/>
        <v>0</v>
      </c>
      <c r="S130" s="468">
        <f t="shared" si="11"/>
        <v>0</v>
      </c>
      <c r="T130" s="468">
        <f t="shared" si="12"/>
        <v>0</v>
      </c>
      <c r="U130" s="468">
        <f t="shared" si="13"/>
        <v>0</v>
      </c>
      <c r="V130" s="467">
        <f t="shared" si="14"/>
        <v>0</v>
      </c>
      <c r="W130" s="468">
        <f t="shared" si="15"/>
        <v>0</v>
      </c>
      <c r="X130" s="468">
        <f t="shared" si="16"/>
        <v>0</v>
      </c>
      <c r="Y130" s="468">
        <f t="shared" si="17"/>
        <v>0</v>
      </c>
      <c r="Z130" s="469" t="e">
        <f t="shared" si="19"/>
        <v>#DIV/0!</v>
      </c>
      <c r="AA130" s="469" t="e">
        <f t="shared" si="19"/>
        <v>#DIV/0!</v>
      </c>
      <c r="AB130" s="469" t="e">
        <f t="shared" si="19"/>
        <v>#DIV/0!</v>
      </c>
      <c r="AC130" s="469" t="e">
        <f t="shared" si="19"/>
        <v>#DIV/0!</v>
      </c>
    </row>
    <row r="131" spans="1:29">
      <c r="A131" s="276">
        <v>125</v>
      </c>
      <c r="B131" s="162" t="s">
        <v>173</v>
      </c>
      <c r="C131" s="462">
        <v>1</v>
      </c>
      <c r="D131" s="462">
        <v>1</v>
      </c>
      <c r="E131" s="462">
        <v>1</v>
      </c>
      <c r="F131" s="462">
        <v>1</v>
      </c>
      <c r="G131" s="696"/>
      <c r="H131" s="696"/>
      <c r="I131" s="462" t="s">
        <v>889</v>
      </c>
      <c r="J131" s="462" t="s">
        <v>891</v>
      </c>
      <c r="K131" s="462" t="s">
        <v>889</v>
      </c>
      <c r="L131" s="462" t="s">
        <v>891</v>
      </c>
      <c r="M131" s="462" t="s">
        <v>889</v>
      </c>
      <c r="N131" s="462" t="s">
        <v>891</v>
      </c>
      <c r="O131" s="462" t="s">
        <v>889</v>
      </c>
      <c r="P131" s="462" t="s">
        <v>891</v>
      </c>
      <c r="Q131" s="276">
        <v>30</v>
      </c>
      <c r="R131" s="467" t="e">
        <f t="shared" si="10"/>
        <v>#VALUE!</v>
      </c>
      <c r="S131" s="468" t="e">
        <f t="shared" si="11"/>
        <v>#VALUE!</v>
      </c>
      <c r="T131" s="468" t="e">
        <f t="shared" si="12"/>
        <v>#VALUE!</v>
      </c>
      <c r="U131" s="468" t="e">
        <f t="shared" si="13"/>
        <v>#VALUE!</v>
      </c>
      <c r="V131" s="467" t="e">
        <f t="shared" si="14"/>
        <v>#VALUE!</v>
      </c>
      <c r="W131" s="468" t="e">
        <f t="shared" si="15"/>
        <v>#VALUE!</v>
      </c>
      <c r="X131" s="468" t="e">
        <f t="shared" si="16"/>
        <v>#VALUE!</v>
      </c>
      <c r="Y131" s="468" t="e">
        <f t="shared" si="17"/>
        <v>#VALUE!</v>
      </c>
      <c r="Z131" s="469" t="e">
        <f t="shared" si="19"/>
        <v>#VALUE!</v>
      </c>
      <c r="AA131" s="469" t="e">
        <f t="shared" si="19"/>
        <v>#VALUE!</v>
      </c>
      <c r="AB131" s="469" t="e">
        <f t="shared" si="19"/>
        <v>#VALUE!</v>
      </c>
      <c r="AC131" s="469" t="e">
        <f t="shared" si="19"/>
        <v>#VALUE!</v>
      </c>
    </row>
    <row r="132" spans="1:29" hidden="1">
      <c r="A132" s="276">
        <v>126</v>
      </c>
      <c r="B132" s="162" t="s">
        <v>99</v>
      </c>
      <c r="C132" s="462">
        <v>0</v>
      </c>
      <c r="D132" s="462">
        <v>0</v>
      </c>
      <c r="E132" s="462">
        <v>0</v>
      </c>
      <c r="F132" s="462">
        <v>0</v>
      </c>
      <c r="G132" s="696"/>
      <c r="H132" s="696"/>
      <c r="I132" s="462"/>
      <c r="J132" s="462"/>
      <c r="K132" s="462"/>
      <c r="L132" s="462"/>
      <c r="M132" s="462"/>
      <c r="N132" s="462"/>
      <c r="O132" s="462"/>
      <c r="P132" s="462"/>
      <c r="Q132" s="276"/>
      <c r="R132" s="467">
        <f t="shared" si="10"/>
        <v>0</v>
      </c>
      <c r="S132" s="468">
        <f t="shared" si="11"/>
        <v>0</v>
      </c>
      <c r="T132" s="468">
        <f t="shared" si="12"/>
        <v>0</v>
      </c>
      <c r="U132" s="468">
        <f t="shared" si="13"/>
        <v>0</v>
      </c>
      <c r="V132" s="467">
        <f t="shared" si="14"/>
        <v>0</v>
      </c>
      <c r="W132" s="468">
        <f t="shared" si="15"/>
        <v>0</v>
      </c>
      <c r="X132" s="468">
        <f t="shared" si="16"/>
        <v>0</v>
      </c>
      <c r="Y132" s="468">
        <f t="shared" si="17"/>
        <v>0</v>
      </c>
      <c r="Z132" s="469" t="e">
        <f t="shared" si="19"/>
        <v>#DIV/0!</v>
      </c>
      <c r="AA132" s="469" t="e">
        <f t="shared" si="19"/>
        <v>#DIV/0!</v>
      </c>
      <c r="AB132" s="469" t="e">
        <f t="shared" si="19"/>
        <v>#DIV/0!</v>
      </c>
      <c r="AC132" s="469" t="e">
        <f t="shared" si="19"/>
        <v>#DIV/0!</v>
      </c>
    </row>
    <row r="133" spans="1:29">
      <c r="A133" s="276">
        <v>127</v>
      </c>
      <c r="B133" s="162" t="s">
        <v>174</v>
      </c>
      <c r="C133" s="462">
        <v>1</v>
      </c>
      <c r="D133" s="462">
        <v>1</v>
      </c>
      <c r="E133" s="462">
        <v>1</v>
      </c>
      <c r="F133" s="462">
        <v>1</v>
      </c>
      <c r="G133" s="696"/>
      <c r="H133" s="696"/>
      <c r="I133" s="462" t="s">
        <v>889</v>
      </c>
      <c r="J133" s="462" t="s">
        <v>891</v>
      </c>
      <c r="K133" s="462" t="s">
        <v>889</v>
      </c>
      <c r="L133" s="462" t="s">
        <v>891</v>
      </c>
      <c r="M133" s="462" t="s">
        <v>889</v>
      </c>
      <c r="N133" s="462" t="s">
        <v>891</v>
      </c>
      <c r="O133" s="462" t="s">
        <v>889</v>
      </c>
      <c r="P133" s="462" t="s">
        <v>891</v>
      </c>
      <c r="Q133" s="276">
        <v>30</v>
      </c>
      <c r="R133" s="467" t="e">
        <f t="shared" si="10"/>
        <v>#VALUE!</v>
      </c>
      <c r="S133" s="468" t="e">
        <f t="shared" si="11"/>
        <v>#VALUE!</v>
      </c>
      <c r="T133" s="468" t="e">
        <f t="shared" si="12"/>
        <v>#VALUE!</v>
      </c>
      <c r="U133" s="468" t="e">
        <f t="shared" si="13"/>
        <v>#VALUE!</v>
      </c>
      <c r="V133" s="467" t="e">
        <f t="shared" si="14"/>
        <v>#VALUE!</v>
      </c>
      <c r="W133" s="468" t="e">
        <f t="shared" si="15"/>
        <v>#VALUE!</v>
      </c>
      <c r="X133" s="468" t="e">
        <f t="shared" si="16"/>
        <v>#VALUE!</v>
      </c>
      <c r="Y133" s="468" t="e">
        <f t="shared" si="17"/>
        <v>#VALUE!</v>
      </c>
      <c r="Z133" s="469" t="e">
        <f t="shared" si="19"/>
        <v>#VALUE!</v>
      </c>
      <c r="AA133" s="469" t="e">
        <f t="shared" si="19"/>
        <v>#VALUE!</v>
      </c>
      <c r="AB133" s="469" t="e">
        <f t="shared" si="19"/>
        <v>#VALUE!</v>
      </c>
      <c r="AC133" s="469" t="e">
        <f t="shared" si="19"/>
        <v>#VALUE!</v>
      </c>
    </row>
    <row r="134" spans="1:29">
      <c r="A134" s="276">
        <v>128</v>
      </c>
      <c r="B134" s="162" t="s">
        <v>72</v>
      </c>
      <c r="C134" s="462">
        <v>2</v>
      </c>
      <c r="D134" s="462">
        <v>2</v>
      </c>
      <c r="E134" s="462">
        <v>2</v>
      </c>
      <c r="F134" s="462">
        <v>2</v>
      </c>
      <c r="G134" s="696"/>
      <c r="H134" s="696"/>
      <c r="I134" s="462" t="s">
        <v>889</v>
      </c>
      <c r="J134" s="462" t="s">
        <v>891</v>
      </c>
      <c r="K134" s="462" t="s">
        <v>889</v>
      </c>
      <c r="L134" s="462" t="s">
        <v>891</v>
      </c>
      <c r="M134" s="462" t="s">
        <v>889</v>
      </c>
      <c r="N134" s="462" t="s">
        <v>891</v>
      </c>
      <c r="O134" s="462" t="s">
        <v>889</v>
      </c>
      <c r="P134" s="462" t="s">
        <v>891</v>
      </c>
      <c r="Q134" s="276">
        <v>30</v>
      </c>
      <c r="R134" s="467" t="e">
        <f t="shared" si="10"/>
        <v>#VALUE!</v>
      </c>
      <c r="S134" s="468" t="e">
        <f t="shared" si="11"/>
        <v>#VALUE!</v>
      </c>
      <c r="T134" s="468" t="e">
        <f t="shared" si="12"/>
        <v>#VALUE!</v>
      </c>
      <c r="U134" s="468" t="e">
        <f t="shared" si="13"/>
        <v>#VALUE!</v>
      </c>
      <c r="V134" s="467" t="e">
        <f t="shared" si="14"/>
        <v>#VALUE!</v>
      </c>
      <c r="W134" s="468" t="e">
        <f t="shared" si="15"/>
        <v>#VALUE!</v>
      </c>
      <c r="X134" s="468" t="e">
        <f t="shared" si="16"/>
        <v>#VALUE!</v>
      </c>
      <c r="Y134" s="468" t="e">
        <f t="shared" si="17"/>
        <v>#VALUE!</v>
      </c>
      <c r="Z134" s="469" t="e">
        <f t="shared" si="19"/>
        <v>#VALUE!</v>
      </c>
      <c r="AA134" s="469" t="e">
        <f t="shared" si="19"/>
        <v>#VALUE!</v>
      </c>
      <c r="AB134" s="469" t="e">
        <f t="shared" si="19"/>
        <v>#VALUE!</v>
      </c>
      <c r="AC134" s="469" t="e">
        <f t="shared" si="19"/>
        <v>#VALUE!</v>
      </c>
    </row>
    <row r="135" spans="1:29">
      <c r="A135" s="276">
        <v>129</v>
      </c>
      <c r="B135" s="162" t="s">
        <v>76</v>
      </c>
      <c r="C135" s="462">
        <v>2</v>
      </c>
      <c r="D135" s="462">
        <v>2</v>
      </c>
      <c r="E135" s="462">
        <v>2</v>
      </c>
      <c r="F135" s="462">
        <v>2</v>
      </c>
      <c r="G135" s="696"/>
      <c r="H135" s="696"/>
      <c r="I135" s="462" t="s">
        <v>889</v>
      </c>
      <c r="J135" s="462" t="s">
        <v>891</v>
      </c>
      <c r="K135" s="462" t="s">
        <v>889</v>
      </c>
      <c r="L135" s="462" t="s">
        <v>891</v>
      </c>
      <c r="M135" s="462" t="s">
        <v>889</v>
      </c>
      <c r="N135" s="462" t="s">
        <v>891</v>
      </c>
      <c r="O135" s="462" t="s">
        <v>889</v>
      </c>
      <c r="P135" s="462" t="s">
        <v>891</v>
      </c>
      <c r="Q135" s="276">
        <v>30</v>
      </c>
      <c r="R135" s="467" t="e">
        <f t="shared" ref="R135:R140" si="20">C135*G135*I135*Q135</f>
        <v>#VALUE!</v>
      </c>
      <c r="S135" s="468" t="e">
        <f t="shared" ref="S135:S140" si="21">D135*G135*K135*Q135</f>
        <v>#VALUE!</v>
      </c>
      <c r="T135" s="468" t="e">
        <f t="shared" ref="T135:T140" si="22">E135*G135*M135*Q135</f>
        <v>#VALUE!</v>
      </c>
      <c r="U135" s="468" t="e">
        <f t="shared" ref="U135:U140" si="23">F135*G135*O135*Q135</f>
        <v>#VALUE!</v>
      </c>
      <c r="V135" s="467" t="e">
        <f t="shared" ref="V135:V140" si="24">C135*H135*I135*Q135</f>
        <v>#VALUE!</v>
      </c>
      <c r="W135" s="468" t="e">
        <f t="shared" ref="W135:W140" si="25">D135*H135*K135*Q135</f>
        <v>#VALUE!</v>
      </c>
      <c r="X135" s="468" t="e">
        <f t="shared" ref="X135:X140" si="26">E135*H135*M135*Q135</f>
        <v>#VALUE!</v>
      </c>
      <c r="Y135" s="468" t="e">
        <f t="shared" ref="Y135:Y140" si="27">F135*H135*O135*Q135</f>
        <v>#VALUE!</v>
      </c>
      <c r="Z135" s="469" t="e">
        <f t="shared" si="19"/>
        <v>#VALUE!</v>
      </c>
      <c r="AA135" s="469" t="e">
        <f t="shared" si="19"/>
        <v>#VALUE!</v>
      </c>
      <c r="AB135" s="469" t="e">
        <f t="shared" si="19"/>
        <v>#VALUE!</v>
      </c>
      <c r="AC135" s="469" t="e">
        <f t="shared" si="19"/>
        <v>#VALUE!</v>
      </c>
    </row>
    <row r="136" spans="1:29">
      <c r="A136" s="276">
        <v>130</v>
      </c>
      <c r="B136" s="162" t="s">
        <v>175</v>
      </c>
      <c r="C136" s="462">
        <v>1</v>
      </c>
      <c r="D136" s="462">
        <v>1</v>
      </c>
      <c r="E136" s="462">
        <v>1</v>
      </c>
      <c r="F136" s="462">
        <v>1</v>
      </c>
      <c r="G136" s="696"/>
      <c r="H136" s="696"/>
      <c r="I136" s="462" t="s">
        <v>889</v>
      </c>
      <c r="J136" s="462" t="s">
        <v>891</v>
      </c>
      <c r="K136" s="462" t="s">
        <v>889</v>
      </c>
      <c r="L136" s="462" t="s">
        <v>891</v>
      </c>
      <c r="M136" s="462" t="s">
        <v>889</v>
      </c>
      <c r="N136" s="462" t="s">
        <v>891</v>
      </c>
      <c r="O136" s="462" t="s">
        <v>889</v>
      </c>
      <c r="P136" s="462" t="s">
        <v>891</v>
      </c>
      <c r="Q136" s="276">
        <v>30</v>
      </c>
      <c r="R136" s="467" t="e">
        <f t="shared" si="20"/>
        <v>#VALUE!</v>
      </c>
      <c r="S136" s="468" t="e">
        <f t="shared" si="21"/>
        <v>#VALUE!</v>
      </c>
      <c r="T136" s="468" t="e">
        <f t="shared" si="22"/>
        <v>#VALUE!</v>
      </c>
      <c r="U136" s="468" t="e">
        <f t="shared" si="23"/>
        <v>#VALUE!</v>
      </c>
      <c r="V136" s="467" t="e">
        <f t="shared" si="24"/>
        <v>#VALUE!</v>
      </c>
      <c r="W136" s="468" t="e">
        <f t="shared" si="25"/>
        <v>#VALUE!</v>
      </c>
      <c r="X136" s="468" t="e">
        <f t="shared" si="26"/>
        <v>#VALUE!</v>
      </c>
      <c r="Y136" s="468" t="e">
        <f t="shared" si="27"/>
        <v>#VALUE!</v>
      </c>
      <c r="Z136" s="469" t="e">
        <f t="shared" si="19"/>
        <v>#VALUE!</v>
      </c>
      <c r="AA136" s="469" t="e">
        <f t="shared" si="19"/>
        <v>#VALUE!</v>
      </c>
      <c r="AB136" s="469" t="e">
        <f t="shared" si="19"/>
        <v>#VALUE!</v>
      </c>
      <c r="AC136" s="469" t="e">
        <f t="shared" si="19"/>
        <v>#VALUE!</v>
      </c>
    </row>
    <row r="137" spans="1:29">
      <c r="A137" s="276">
        <v>131</v>
      </c>
      <c r="B137" s="162" t="s">
        <v>488</v>
      </c>
      <c r="C137" s="462">
        <v>1</v>
      </c>
      <c r="D137" s="462">
        <v>1</v>
      </c>
      <c r="E137" s="462">
        <v>1</v>
      </c>
      <c r="F137" s="462">
        <v>1</v>
      </c>
      <c r="G137" s="696"/>
      <c r="H137" s="696"/>
      <c r="I137" s="462" t="s">
        <v>889</v>
      </c>
      <c r="J137" s="462" t="s">
        <v>890</v>
      </c>
      <c r="K137" s="462" t="s">
        <v>889</v>
      </c>
      <c r="L137" s="462" t="s">
        <v>890</v>
      </c>
      <c r="M137" s="462" t="s">
        <v>889</v>
      </c>
      <c r="N137" s="462" t="s">
        <v>890</v>
      </c>
      <c r="O137" s="462" t="s">
        <v>889</v>
      </c>
      <c r="P137" s="462" t="s">
        <v>890</v>
      </c>
      <c r="Q137" s="276">
        <v>30</v>
      </c>
      <c r="R137" s="467" t="e">
        <f t="shared" si="20"/>
        <v>#VALUE!</v>
      </c>
      <c r="S137" s="468" t="e">
        <f t="shared" si="21"/>
        <v>#VALUE!</v>
      </c>
      <c r="T137" s="468" t="e">
        <f t="shared" si="22"/>
        <v>#VALUE!</v>
      </c>
      <c r="U137" s="468" t="e">
        <f t="shared" si="23"/>
        <v>#VALUE!</v>
      </c>
      <c r="V137" s="467" t="e">
        <f t="shared" si="24"/>
        <v>#VALUE!</v>
      </c>
      <c r="W137" s="468" t="e">
        <f t="shared" si="25"/>
        <v>#VALUE!</v>
      </c>
      <c r="X137" s="468" t="e">
        <f t="shared" si="26"/>
        <v>#VALUE!</v>
      </c>
      <c r="Y137" s="468" t="e">
        <f t="shared" si="27"/>
        <v>#VALUE!</v>
      </c>
      <c r="Z137" s="469" t="e">
        <f t="shared" si="19"/>
        <v>#VALUE!</v>
      </c>
      <c r="AA137" s="469" t="e">
        <f t="shared" si="19"/>
        <v>#VALUE!</v>
      </c>
      <c r="AB137" s="469" t="e">
        <f t="shared" si="19"/>
        <v>#VALUE!</v>
      </c>
      <c r="AC137" s="469" t="e">
        <f t="shared" si="19"/>
        <v>#VALUE!</v>
      </c>
    </row>
    <row r="138" spans="1:29">
      <c r="A138" s="276">
        <v>131</v>
      </c>
      <c r="B138" s="162" t="s">
        <v>892</v>
      </c>
      <c r="C138" s="462">
        <v>3</v>
      </c>
      <c r="D138" s="462">
        <v>3</v>
      </c>
      <c r="E138" s="462">
        <v>3</v>
      </c>
      <c r="F138" s="462">
        <v>3</v>
      </c>
      <c r="G138" s="696"/>
      <c r="H138" s="696"/>
      <c r="I138" s="462" t="s">
        <v>889</v>
      </c>
      <c r="J138" s="462" t="s">
        <v>890</v>
      </c>
      <c r="K138" s="462" t="s">
        <v>889</v>
      </c>
      <c r="L138" s="462" t="s">
        <v>890</v>
      </c>
      <c r="M138" s="462" t="s">
        <v>889</v>
      </c>
      <c r="N138" s="462" t="s">
        <v>890</v>
      </c>
      <c r="O138" s="462" t="s">
        <v>889</v>
      </c>
      <c r="P138" s="462" t="s">
        <v>890</v>
      </c>
      <c r="Q138" s="276">
        <v>30</v>
      </c>
      <c r="R138" s="467" t="e">
        <f t="shared" si="20"/>
        <v>#VALUE!</v>
      </c>
      <c r="S138" s="468" t="e">
        <f t="shared" si="21"/>
        <v>#VALUE!</v>
      </c>
      <c r="T138" s="468" t="e">
        <f t="shared" si="22"/>
        <v>#VALUE!</v>
      </c>
      <c r="U138" s="468" t="e">
        <f t="shared" si="23"/>
        <v>#VALUE!</v>
      </c>
      <c r="V138" s="467" t="e">
        <f t="shared" si="24"/>
        <v>#VALUE!</v>
      </c>
      <c r="W138" s="468" t="e">
        <f t="shared" si="25"/>
        <v>#VALUE!</v>
      </c>
      <c r="X138" s="468" t="e">
        <f t="shared" si="26"/>
        <v>#VALUE!</v>
      </c>
      <c r="Y138" s="468" t="e">
        <f t="shared" si="27"/>
        <v>#VALUE!</v>
      </c>
      <c r="Z138" s="469" t="e">
        <f t="shared" si="19"/>
        <v>#VALUE!</v>
      </c>
      <c r="AA138" s="469" t="e">
        <f t="shared" si="19"/>
        <v>#VALUE!</v>
      </c>
      <c r="AB138" s="469" t="e">
        <f t="shared" si="19"/>
        <v>#VALUE!</v>
      </c>
      <c r="AC138" s="469" t="e">
        <f t="shared" si="19"/>
        <v>#VALUE!</v>
      </c>
    </row>
    <row r="139" spans="1:29">
      <c r="A139" s="276">
        <v>132</v>
      </c>
      <c r="B139" s="162" t="s">
        <v>893</v>
      </c>
      <c r="C139" s="462">
        <v>2</v>
      </c>
      <c r="D139" s="462">
        <v>2</v>
      </c>
      <c r="E139" s="462">
        <v>2</v>
      </c>
      <c r="F139" s="462">
        <v>2</v>
      </c>
      <c r="G139" s="696"/>
      <c r="H139" s="696"/>
      <c r="I139" s="462" t="s">
        <v>887</v>
      </c>
      <c r="J139" s="462" t="s">
        <v>888</v>
      </c>
      <c r="K139" s="462" t="s">
        <v>887</v>
      </c>
      <c r="L139" s="462" t="s">
        <v>888</v>
      </c>
      <c r="M139" s="462" t="s">
        <v>887</v>
      </c>
      <c r="N139" s="462" t="s">
        <v>888</v>
      </c>
      <c r="O139" s="462" t="s">
        <v>887</v>
      </c>
      <c r="P139" s="462" t="s">
        <v>888</v>
      </c>
      <c r="Q139" s="276">
        <v>30</v>
      </c>
      <c r="R139" s="467" t="e">
        <f t="shared" si="20"/>
        <v>#VALUE!</v>
      </c>
      <c r="S139" s="468" t="e">
        <f t="shared" si="21"/>
        <v>#VALUE!</v>
      </c>
      <c r="T139" s="468" t="e">
        <f t="shared" si="22"/>
        <v>#VALUE!</v>
      </c>
      <c r="U139" s="468" t="e">
        <f t="shared" si="23"/>
        <v>#VALUE!</v>
      </c>
      <c r="V139" s="467" t="e">
        <f t="shared" si="24"/>
        <v>#VALUE!</v>
      </c>
      <c r="W139" s="468" t="e">
        <f t="shared" si="25"/>
        <v>#VALUE!</v>
      </c>
      <c r="X139" s="468" t="e">
        <f t="shared" si="26"/>
        <v>#VALUE!</v>
      </c>
      <c r="Y139" s="468" t="e">
        <f t="shared" si="27"/>
        <v>#VALUE!</v>
      </c>
      <c r="Z139" s="469" t="e">
        <f t="shared" si="19"/>
        <v>#VALUE!</v>
      </c>
      <c r="AA139" s="469" t="e">
        <f t="shared" si="19"/>
        <v>#VALUE!</v>
      </c>
      <c r="AB139" s="469" t="e">
        <f t="shared" si="19"/>
        <v>#VALUE!</v>
      </c>
      <c r="AC139" s="469" t="e">
        <f t="shared" si="19"/>
        <v>#VALUE!</v>
      </c>
    </row>
    <row r="140" spans="1:29" s="703" customFormat="1">
      <c r="A140" s="697">
        <v>133</v>
      </c>
      <c r="B140" s="698" t="s">
        <v>894</v>
      </c>
      <c r="C140" s="699"/>
      <c r="D140" s="699"/>
      <c r="E140" s="699"/>
      <c r="F140" s="699"/>
      <c r="G140" s="696"/>
      <c r="H140" s="696"/>
      <c r="I140" s="699"/>
      <c r="J140" s="699"/>
      <c r="K140" s="699"/>
      <c r="L140" s="699"/>
      <c r="M140" s="699"/>
      <c r="N140" s="699"/>
      <c r="O140" s="699"/>
      <c r="P140" s="699"/>
      <c r="Q140" s="697"/>
      <c r="R140" s="700">
        <f t="shared" si="20"/>
        <v>0</v>
      </c>
      <c r="S140" s="701">
        <f t="shared" si="21"/>
        <v>0</v>
      </c>
      <c r="T140" s="701">
        <f t="shared" si="22"/>
        <v>0</v>
      </c>
      <c r="U140" s="701">
        <f t="shared" si="23"/>
        <v>0</v>
      </c>
      <c r="V140" s="700">
        <f t="shared" si="24"/>
        <v>0</v>
      </c>
      <c r="W140" s="701">
        <f t="shared" si="25"/>
        <v>0</v>
      </c>
      <c r="X140" s="701">
        <f t="shared" si="26"/>
        <v>0</v>
      </c>
      <c r="Y140" s="701">
        <f t="shared" si="27"/>
        <v>0</v>
      </c>
      <c r="Z140" s="702" t="e">
        <f t="shared" ref="Z140:AC140" si="28">V140/R140</f>
        <v>#DIV/0!</v>
      </c>
      <c r="AA140" s="702" t="e">
        <f t="shared" si="28"/>
        <v>#DIV/0!</v>
      </c>
      <c r="AB140" s="702" t="e">
        <f t="shared" si="28"/>
        <v>#DIV/0!</v>
      </c>
      <c r="AC140" s="702" t="e">
        <f t="shared" si="28"/>
        <v>#DIV/0!</v>
      </c>
    </row>
    <row r="141" spans="1:29" s="571" customFormat="1">
      <c r="A141" s="704">
        <v>134</v>
      </c>
      <c r="B141" s="695" t="s">
        <v>1815</v>
      </c>
      <c r="C141" s="696">
        <v>1</v>
      </c>
      <c r="D141" s="696">
        <v>1</v>
      </c>
      <c r="E141" s="696">
        <v>1</v>
      </c>
      <c r="F141" s="696">
        <v>1</v>
      </c>
      <c r="G141" s="696"/>
      <c r="H141" s="696"/>
      <c r="I141" s="696" t="s">
        <v>889</v>
      </c>
      <c r="J141" s="696" t="s">
        <v>890</v>
      </c>
      <c r="K141" s="696" t="s">
        <v>889</v>
      </c>
      <c r="L141" s="696" t="s">
        <v>890</v>
      </c>
      <c r="M141" s="696" t="s">
        <v>889</v>
      </c>
      <c r="N141" s="696" t="s">
        <v>890</v>
      </c>
      <c r="O141" s="696" t="s">
        <v>889</v>
      </c>
      <c r="P141" s="696" t="s">
        <v>890</v>
      </c>
      <c r="Q141" s="704">
        <v>30</v>
      </c>
      <c r="R141" s="705"/>
      <c r="S141" s="706"/>
      <c r="T141" s="706"/>
      <c r="U141" s="706"/>
      <c r="V141" s="705"/>
      <c r="W141" s="706"/>
      <c r="X141" s="706"/>
      <c r="Y141" s="706"/>
      <c r="Z141" s="707"/>
      <c r="AA141" s="707"/>
      <c r="AB141" s="707"/>
      <c r="AC141" s="707"/>
    </row>
    <row r="142" spans="1:29">
      <c r="A142" s="276">
        <v>135</v>
      </c>
      <c r="B142" s="162" t="s">
        <v>1585</v>
      </c>
      <c r="C142" s="462">
        <v>2</v>
      </c>
      <c r="D142" s="462">
        <v>2</v>
      </c>
      <c r="E142" s="462">
        <v>2</v>
      </c>
      <c r="F142" s="462">
        <v>2</v>
      </c>
      <c r="G142" s="696"/>
      <c r="H142" s="696"/>
      <c r="I142" s="462">
        <v>11</v>
      </c>
      <c r="J142" s="462" t="s">
        <v>890</v>
      </c>
      <c r="K142" s="462">
        <v>11</v>
      </c>
      <c r="L142" s="462" t="s">
        <v>890</v>
      </c>
      <c r="M142" s="462">
        <v>11</v>
      </c>
      <c r="N142" s="462" t="s">
        <v>890</v>
      </c>
      <c r="O142" s="462">
        <v>11</v>
      </c>
      <c r="P142" s="462" t="s">
        <v>890</v>
      </c>
      <c r="Q142" s="276">
        <v>30</v>
      </c>
      <c r="R142" s="467"/>
      <c r="S142" s="468"/>
      <c r="T142" s="468"/>
      <c r="U142" s="468"/>
      <c r="V142" s="467"/>
      <c r="W142" s="468"/>
      <c r="X142" s="468"/>
      <c r="Y142" s="468"/>
      <c r="Z142" s="469"/>
      <c r="AA142" s="469"/>
      <c r="AB142" s="469"/>
      <c r="AC142" s="469"/>
    </row>
    <row r="143" spans="1:29">
      <c r="A143" s="276">
        <v>136</v>
      </c>
      <c r="B143" s="162" t="s">
        <v>1586</v>
      </c>
      <c r="C143" s="462">
        <v>2</v>
      </c>
      <c r="D143" s="462">
        <v>2</v>
      </c>
      <c r="E143" s="462">
        <v>2</v>
      </c>
      <c r="F143" s="462">
        <v>2</v>
      </c>
      <c r="G143" s="696"/>
      <c r="H143" s="696"/>
      <c r="I143" s="462">
        <v>11</v>
      </c>
      <c r="J143" s="462" t="s">
        <v>890</v>
      </c>
      <c r="K143" s="462">
        <v>11</v>
      </c>
      <c r="L143" s="462" t="s">
        <v>890</v>
      </c>
      <c r="M143" s="462">
        <v>11</v>
      </c>
      <c r="N143" s="462" t="s">
        <v>890</v>
      </c>
      <c r="O143" s="462">
        <v>11</v>
      </c>
      <c r="P143" s="462" t="s">
        <v>890</v>
      </c>
      <c r="Q143" s="276">
        <v>30</v>
      </c>
      <c r="R143" s="467"/>
      <c r="S143" s="468"/>
      <c r="T143" s="468"/>
      <c r="U143" s="468"/>
      <c r="V143" s="467"/>
      <c r="W143" s="468"/>
      <c r="X143" s="468"/>
      <c r="Y143" s="468"/>
      <c r="Z143" s="469"/>
      <c r="AA143" s="469"/>
      <c r="AB143" s="469"/>
      <c r="AC143" s="469"/>
    </row>
    <row r="144" spans="1:29">
      <c r="A144" s="276">
        <v>137</v>
      </c>
      <c r="B144" s="162" t="s">
        <v>1587</v>
      </c>
      <c r="C144" s="462">
        <v>2</v>
      </c>
      <c r="D144" s="462">
        <v>2</v>
      </c>
      <c r="E144" s="462">
        <v>2</v>
      </c>
      <c r="F144" s="462">
        <v>2</v>
      </c>
      <c r="G144" s="696"/>
      <c r="H144" s="696"/>
      <c r="I144" s="462">
        <v>11</v>
      </c>
      <c r="J144" s="462" t="s">
        <v>890</v>
      </c>
      <c r="K144" s="462">
        <v>11</v>
      </c>
      <c r="L144" s="462" t="s">
        <v>890</v>
      </c>
      <c r="M144" s="462">
        <v>11</v>
      </c>
      <c r="N144" s="462" t="s">
        <v>890</v>
      </c>
      <c r="O144" s="462">
        <v>11</v>
      </c>
      <c r="P144" s="462" t="s">
        <v>890</v>
      </c>
      <c r="Q144" s="276">
        <v>30</v>
      </c>
      <c r="R144" s="467"/>
      <c r="S144" s="468"/>
      <c r="T144" s="468"/>
      <c r="U144" s="468"/>
      <c r="V144" s="467"/>
      <c r="W144" s="468"/>
      <c r="X144" s="468"/>
      <c r="Y144" s="468"/>
      <c r="Z144" s="469"/>
      <c r="AA144" s="469"/>
      <c r="AB144" s="469"/>
      <c r="AC144" s="469"/>
    </row>
    <row r="145" spans="1:29">
      <c r="A145" s="276">
        <v>138</v>
      </c>
      <c r="B145" s="162" t="s">
        <v>1588</v>
      </c>
      <c r="C145" s="462">
        <v>2</v>
      </c>
      <c r="D145" s="462">
        <v>2</v>
      </c>
      <c r="E145" s="462">
        <v>2</v>
      </c>
      <c r="F145" s="462">
        <v>2</v>
      </c>
      <c r="G145" s="696"/>
      <c r="H145" s="696"/>
      <c r="I145" s="462">
        <v>24</v>
      </c>
      <c r="J145" s="462" t="s">
        <v>1589</v>
      </c>
      <c r="K145" s="462">
        <v>24</v>
      </c>
      <c r="L145" s="462" t="s">
        <v>1589</v>
      </c>
      <c r="M145" s="462">
        <v>24</v>
      </c>
      <c r="N145" s="462" t="s">
        <v>1589</v>
      </c>
      <c r="O145" s="462">
        <v>24</v>
      </c>
      <c r="P145" s="462" t="s">
        <v>1589</v>
      </c>
      <c r="Q145" s="276">
        <v>30</v>
      </c>
      <c r="R145" s="467"/>
      <c r="S145" s="468"/>
      <c r="T145" s="468"/>
      <c r="U145" s="468"/>
      <c r="V145" s="467"/>
      <c r="W145" s="468"/>
      <c r="X145" s="468"/>
      <c r="Y145" s="468"/>
      <c r="Z145" s="469"/>
      <c r="AA145" s="469"/>
      <c r="AB145" s="469"/>
      <c r="AC145" s="469"/>
    </row>
    <row r="146" spans="1:29">
      <c r="A146" s="276">
        <v>139</v>
      </c>
      <c r="B146" s="162" t="s">
        <v>1590</v>
      </c>
      <c r="C146" s="462">
        <v>3</v>
      </c>
      <c r="D146" s="462">
        <v>3</v>
      </c>
      <c r="E146" s="462">
        <v>3</v>
      </c>
      <c r="F146" s="462">
        <v>3</v>
      </c>
      <c r="G146" s="696"/>
      <c r="H146" s="696"/>
      <c r="I146" s="462">
        <v>24</v>
      </c>
      <c r="J146" s="462" t="s">
        <v>1589</v>
      </c>
      <c r="K146" s="462">
        <v>24</v>
      </c>
      <c r="L146" s="462" t="s">
        <v>1589</v>
      </c>
      <c r="M146" s="462">
        <v>24</v>
      </c>
      <c r="N146" s="462" t="s">
        <v>1589</v>
      </c>
      <c r="O146" s="462">
        <v>24</v>
      </c>
      <c r="P146" s="462" t="s">
        <v>1589</v>
      </c>
      <c r="Q146" s="276">
        <v>30</v>
      </c>
      <c r="R146" s="467"/>
      <c r="S146" s="468"/>
      <c r="T146" s="468"/>
      <c r="U146" s="468"/>
      <c r="V146" s="467"/>
      <c r="W146" s="468"/>
      <c r="X146" s="468"/>
      <c r="Y146" s="468"/>
      <c r="Z146" s="469"/>
      <c r="AA146" s="469"/>
      <c r="AB146" s="469"/>
      <c r="AC146" s="469"/>
    </row>
    <row r="147" spans="1:29">
      <c r="A147" s="276">
        <v>140</v>
      </c>
      <c r="B147" s="162" t="s">
        <v>1591</v>
      </c>
      <c r="C147" s="462">
        <v>2</v>
      </c>
      <c r="D147" s="462">
        <v>2</v>
      </c>
      <c r="E147" s="462">
        <v>2</v>
      </c>
      <c r="F147" s="462">
        <v>2</v>
      </c>
      <c r="G147" s="696"/>
      <c r="H147" s="696"/>
      <c r="I147" s="462">
        <v>24</v>
      </c>
      <c r="J147" s="462" t="s">
        <v>1589</v>
      </c>
      <c r="K147" s="462">
        <v>24</v>
      </c>
      <c r="L147" s="462" t="s">
        <v>1589</v>
      </c>
      <c r="M147" s="462">
        <v>24</v>
      </c>
      <c r="N147" s="462" t="s">
        <v>1589</v>
      </c>
      <c r="O147" s="462">
        <v>24</v>
      </c>
      <c r="P147" s="462" t="s">
        <v>1589</v>
      </c>
      <c r="Q147" s="276">
        <v>30</v>
      </c>
      <c r="R147" s="467"/>
      <c r="S147" s="468"/>
      <c r="T147" s="468"/>
      <c r="U147" s="468"/>
      <c r="V147" s="467"/>
      <c r="W147" s="468"/>
      <c r="X147" s="468"/>
      <c r="Y147" s="468"/>
      <c r="Z147" s="469"/>
      <c r="AA147" s="469"/>
      <c r="AB147" s="469"/>
      <c r="AC147" s="469"/>
    </row>
    <row r="148" spans="1:29">
      <c r="A148" s="276" t="s">
        <v>18</v>
      </c>
      <c r="B148" s="277" t="s">
        <v>619</v>
      </c>
      <c r="C148" s="162"/>
      <c r="D148" s="162"/>
      <c r="E148" s="162"/>
      <c r="F148" s="162"/>
      <c r="G148" s="695"/>
      <c r="H148" s="695"/>
      <c r="I148" s="466"/>
      <c r="J148" s="466"/>
      <c r="K148" s="466"/>
      <c r="L148" s="466"/>
      <c r="M148" s="466"/>
      <c r="N148" s="466"/>
      <c r="O148" s="466"/>
      <c r="P148" s="466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</row>
    <row r="149" spans="1:29">
      <c r="A149" s="276">
        <v>141</v>
      </c>
      <c r="B149" s="162" t="s">
        <v>545</v>
      </c>
      <c r="C149" s="462">
        <v>1</v>
      </c>
      <c r="D149" s="462">
        <v>1</v>
      </c>
      <c r="E149" s="462">
        <v>1</v>
      </c>
      <c r="F149" s="462">
        <v>1</v>
      </c>
      <c r="G149" s="696"/>
      <c r="H149" s="696"/>
      <c r="I149" s="462">
        <v>8</v>
      </c>
      <c r="J149" s="462" t="s">
        <v>895</v>
      </c>
      <c r="K149" s="462">
        <v>8</v>
      </c>
      <c r="L149" s="462" t="s">
        <v>895</v>
      </c>
      <c r="M149" s="462">
        <v>8</v>
      </c>
      <c r="N149" s="462" t="s">
        <v>895</v>
      </c>
      <c r="O149" s="462">
        <v>8</v>
      </c>
      <c r="P149" s="462" t="s">
        <v>895</v>
      </c>
      <c r="Q149" s="276">
        <v>30</v>
      </c>
      <c r="R149" s="467">
        <f t="shared" ref="R149:R150" si="29">C149*G149*I149*Q149</f>
        <v>0</v>
      </c>
      <c r="S149" s="468">
        <f t="shared" ref="S149:S150" si="30">D149*G149*K149*Q149</f>
        <v>0</v>
      </c>
      <c r="T149" s="468">
        <f t="shared" ref="T149:T150" si="31">E149*G149*M149*Q149</f>
        <v>0</v>
      </c>
      <c r="U149" s="468">
        <f t="shared" ref="U149:U150" si="32">F149*G149*O149*Q149</f>
        <v>0</v>
      </c>
      <c r="V149" s="467">
        <f t="shared" ref="V149:V150" si="33">C149*H149*I149*Q149</f>
        <v>0</v>
      </c>
      <c r="W149" s="468">
        <f t="shared" ref="W149:W150" si="34">D149*H149*K149*Q149</f>
        <v>0</v>
      </c>
      <c r="X149" s="468">
        <f t="shared" ref="X149:X150" si="35">E149*H149*M149*Q149</f>
        <v>0</v>
      </c>
      <c r="Y149" s="468">
        <f t="shared" ref="Y149:Y150" si="36">F149*H149*O149*Q149</f>
        <v>0</v>
      </c>
      <c r="Z149" s="469" t="e">
        <f t="shared" ref="Z149:AC150" si="37">V149/R149</f>
        <v>#DIV/0!</v>
      </c>
      <c r="AA149" s="469" t="e">
        <f t="shared" si="37"/>
        <v>#DIV/0!</v>
      </c>
      <c r="AB149" s="469" t="e">
        <f t="shared" si="37"/>
        <v>#DIV/0!</v>
      </c>
      <c r="AC149" s="469" t="e">
        <f t="shared" si="37"/>
        <v>#DIV/0!</v>
      </c>
    </row>
    <row r="150" spans="1:29">
      <c r="A150" s="276">
        <v>142</v>
      </c>
      <c r="B150" s="162" t="s">
        <v>546</v>
      </c>
      <c r="C150" s="462">
        <v>1</v>
      </c>
      <c r="D150" s="462">
        <v>1</v>
      </c>
      <c r="E150" s="462">
        <v>1</v>
      </c>
      <c r="F150" s="462">
        <v>1</v>
      </c>
      <c r="G150" s="696"/>
      <c r="H150" s="696"/>
      <c r="I150" s="462">
        <v>10</v>
      </c>
      <c r="J150" s="462" t="s">
        <v>891</v>
      </c>
      <c r="K150" s="462">
        <v>10</v>
      </c>
      <c r="L150" s="462" t="s">
        <v>891</v>
      </c>
      <c r="M150" s="462">
        <v>10</v>
      </c>
      <c r="N150" s="462" t="s">
        <v>891</v>
      </c>
      <c r="O150" s="462">
        <v>10</v>
      </c>
      <c r="P150" s="462" t="s">
        <v>891</v>
      </c>
      <c r="Q150" s="276">
        <v>30</v>
      </c>
      <c r="R150" s="467">
        <f t="shared" si="29"/>
        <v>0</v>
      </c>
      <c r="S150" s="468">
        <f t="shared" si="30"/>
        <v>0</v>
      </c>
      <c r="T150" s="468">
        <f t="shared" si="31"/>
        <v>0</v>
      </c>
      <c r="U150" s="468">
        <f t="shared" si="32"/>
        <v>0</v>
      </c>
      <c r="V150" s="467">
        <f t="shared" si="33"/>
        <v>0</v>
      </c>
      <c r="W150" s="468">
        <f t="shared" si="34"/>
        <v>0</v>
      </c>
      <c r="X150" s="468">
        <f t="shared" si="35"/>
        <v>0</v>
      </c>
      <c r="Y150" s="468">
        <f t="shared" si="36"/>
        <v>0</v>
      </c>
      <c r="Z150" s="469" t="e">
        <f t="shared" si="37"/>
        <v>#DIV/0!</v>
      </c>
      <c r="AA150" s="469" t="e">
        <f t="shared" si="37"/>
        <v>#DIV/0!</v>
      </c>
      <c r="AB150" s="469" t="e">
        <f t="shared" si="37"/>
        <v>#DIV/0!</v>
      </c>
      <c r="AC150" s="469" t="e">
        <f t="shared" si="37"/>
        <v>#DIV/0!</v>
      </c>
    </row>
    <row r="151" spans="1:29" s="571" customFormat="1">
      <c r="A151" s="704">
        <v>143</v>
      </c>
      <c r="B151" s="695" t="s">
        <v>1816</v>
      </c>
      <c r="C151" s="696">
        <v>1</v>
      </c>
      <c r="D151" s="696">
        <v>1</v>
      </c>
      <c r="E151" s="696">
        <v>1</v>
      </c>
      <c r="F151" s="696">
        <v>1</v>
      </c>
      <c r="G151" s="696"/>
      <c r="H151" s="696"/>
      <c r="I151" s="696">
        <v>8</v>
      </c>
      <c r="J151" s="696" t="s">
        <v>895</v>
      </c>
      <c r="K151" s="696">
        <v>8</v>
      </c>
      <c r="L151" s="696" t="s">
        <v>895</v>
      </c>
      <c r="M151" s="696">
        <v>8</v>
      </c>
      <c r="N151" s="696" t="s">
        <v>895</v>
      </c>
      <c r="O151" s="696">
        <v>8</v>
      </c>
      <c r="P151" s="696" t="s">
        <v>895</v>
      </c>
      <c r="Q151" s="704">
        <v>30</v>
      </c>
      <c r="R151" s="705"/>
      <c r="S151" s="706"/>
      <c r="T151" s="706"/>
      <c r="U151" s="706"/>
      <c r="V151" s="705"/>
      <c r="W151" s="706"/>
      <c r="X151" s="706"/>
      <c r="Y151" s="706"/>
      <c r="Z151" s="707"/>
      <c r="AA151" s="707"/>
      <c r="AB151" s="707"/>
      <c r="AC151" s="707"/>
    </row>
    <row r="152" spans="1:29">
      <c r="A152" s="276" t="s">
        <v>24</v>
      </c>
      <c r="B152" s="277" t="s">
        <v>620</v>
      </c>
      <c r="C152" s="162"/>
      <c r="D152" s="162"/>
      <c r="E152" s="162"/>
      <c r="F152" s="162"/>
      <c r="G152" s="695"/>
      <c r="H152" s="695"/>
      <c r="I152" s="466"/>
      <c r="J152" s="466"/>
      <c r="K152" s="466"/>
      <c r="L152" s="466"/>
      <c r="M152" s="466"/>
      <c r="N152" s="466"/>
      <c r="O152" s="466"/>
      <c r="P152" s="466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</row>
    <row r="153" spans="1:29">
      <c r="A153" s="276">
        <v>144</v>
      </c>
      <c r="B153" s="162" t="s">
        <v>547</v>
      </c>
      <c r="C153" s="462">
        <v>2</v>
      </c>
      <c r="D153" s="462">
        <v>2</v>
      </c>
      <c r="E153" s="462">
        <v>2</v>
      </c>
      <c r="F153" s="462">
        <v>2</v>
      </c>
      <c r="G153" s="696"/>
      <c r="H153" s="696"/>
      <c r="I153" s="462">
        <v>8</v>
      </c>
      <c r="J153" s="462" t="s">
        <v>895</v>
      </c>
      <c r="K153" s="462">
        <v>8</v>
      </c>
      <c r="L153" s="462" t="s">
        <v>895</v>
      </c>
      <c r="M153" s="462">
        <v>8</v>
      </c>
      <c r="N153" s="462" t="s">
        <v>895</v>
      </c>
      <c r="O153" s="462">
        <v>8</v>
      </c>
      <c r="P153" s="462" t="s">
        <v>895</v>
      </c>
      <c r="Q153" s="276">
        <v>30</v>
      </c>
      <c r="R153" s="467">
        <f t="shared" ref="R153:R161" si="38">C153*G153*I153*Q153</f>
        <v>0</v>
      </c>
      <c r="S153" s="468">
        <f t="shared" ref="S153:S161" si="39">D153*G153*K153*Q153</f>
        <v>0</v>
      </c>
      <c r="T153" s="468">
        <f t="shared" ref="T153:T161" si="40">E153*G153*M153*Q153</f>
        <v>0</v>
      </c>
      <c r="U153" s="468">
        <f t="shared" ref="U153:U161" si="41">F153*G153*O153*Q153</f>
        <v>0</v>
      </c>
      <c r="V153" s="467">
        <f t="shared" ref="V153:V161" si="42">C153*H153*I153*Q153</f>
        <v>0</v>
      </c>
      <c r="W153" s="468">
        <f t="shared" ref="W153:W161" si="43">D153*H153*K153*Q153</f>
        <v>0</v>
      </c>
      <c r="X153" s="468">
        <f t="shared" ref="X153:X161" si="44">E153*H153*M153*Q153</f>
        <v>0</v>
      </c>
      <c r="Y153" s="468">
        <f t="shared" ref="Y153:Y161" si="45">F153*H153*O153*Q153</f>
        <v>0</v>
      </c>
      <c r="Z153" s="469" t="e">
        <f t="shared" ref="Z153:AC161" si="46">V153/R153</f>
        <v>#DIV/0!</v>
      </c>
      <c r="AA153" s="469" t="e">
        <f t="shared" si="46"/>
        <v>#DIV/0!</v>
      </c>
      <c r="AB153" s="469" t="e">
        <f t="shared" si="46"/>
        <v>#DIV/0!</v>
      </c>
      <c r="AC153" s="469" t="e">
        <f t="shared" si="46"/>
        <v>#DIV/0!</v>
      </c>
    </row>
    <row r="154" spans="1:29">
      <c r="A154" s="276">
        <v>145</v>
      </c>
      <c r="B154" s="162" t="s">
        <v>548</v>
      </c>
      <c r="C154" s="462">
        <v>1</v>
      </c>
      <c r="D154" s="462">
        <v>1</v>
      </c>
      <c r="E154" s="462">
        <v>1</v>
      </c>
      <c r="F154" s="462">
        <v>1</v>
      </c>
      <c r="G154" s="696"/>
      <c r="H154" s="696"/>
      <c r="I154" s="462" t="s">
        <v>896</v>
      </c>
      <c r="J154" s="462" t="s">
        <v>897</v>
      </c>
      <c r="K154" s="462" t="s">
        <v>896</v>
      </c>
      <c r="L154" s="462" t="s">
        <v>897</v>
      </c>
      <c r="M154" s="462" t="s">
        <v>896</v>
      </c>
      <c r="N154" s="462" t="s">
        <v>897</v>
      </c>
      <c r="O154" s="462" t="s">
        <v>896</v>
      </c>
      <c r="P154" s="462" t="s">
        <v>897</v>
      </c>
      <c r="Q154" s="276">
        <v>30</v>
      </c>
      <c r="R154" s="467" t="e">
        <f t="shared" si="38"/>
        <v>#VALUE!</v>
      </c>
      <c r="S154" s="468" t="e">
        <f t="shared" si="39"/>
        <v>#VALUE!</v>
      </c>
      <c r="T154" s="468" t="e">
        <f t="shared" si="40"/>
        <v>#VALUE!</v>
      </c>
      <c r="U154" s="468" t="e">
        <f t="shared" si="41"/>
        <v>#VALUE!</v>
      </c>
      <c r="V154" s="467" t="e">
        <f t="shared" si="42"/>
        <v>#VALUE!</v>
      </c>
      <c r="W154" s="468" t="e">
        <f t="shared" si="43"/>
        <v>#VALUE!</v>
      </c>
      <c r="X154" s="468" t="e">
        <f t="shared" si="44"/>
        <v>#VALUE!</v>
      </c>
      <c r="Y154" s="468" t="e">
        <f t="shared" si="45"/>
        <v>#VALUE!</v>
      </c>
      <c r="Z154" s="469" t="e">
        <f t="shared" si="46"/>
        <v>#VALUE!</v>
      </c>
      <c r="AA154" s="469" t="e">
        <f t="shared" si="46"/>
        <v>#VALUE!</v>
      </c>
      <c r="AB154" s="469" t="e">
        <f t="shared" si="46"/>
        <v>#VALUE!</v>
      </c>
      <c r="AC154" s="469" t="e">
        <f t="shared" si="46"/>
        <v>#VALUE!</v>
      </c>
    </row>
    <row r="155" spans="1:29">
      <c r="A155" s="276">
        <v>146</v>
      </c>
      <c r="B155" s="162" t="s">
        <v>149</v>
      </c>
      <c r="C155" s="462">
        <v>1</v>
      </c>
      <c r="D155" s="462">
        <v>1</v>
      </c>
      <c r="E155" s="462">
        <v>1</v>
      </c>
      <c r="F155" s="462">
        <v>1</v>
      </c>
      <c r="G155" s="696"/>
      <c r="H155" s="696"/>
      <c r="I155" s="462" t="s">
        <v>887</v>
      </c>
      <c r="J155" s="462" t="s">
        <v>895</v>
      </c>
      <c r="K155" s="462" t="s">
        <v>887</v>
      </c>
      <c r="L155" s="462" t="s">
        <v>895</v>
      </c>
      <c r="M155" s="462" t="s">
        <v>887</v>
      </c>
      <c r="N155" s="462" t="s">
        <v>895</v>
      </c>
      <c r="O155" s="462" t="s">
        <v>887</v>
      </c>
      <c r="P155" s="462" t="s">
        <v>895</v>
      </c>
      <c r="Q155" s="276">
        <v>30</v>
      </c>
      <c r="R155" s="467"/>
      <c r="S155" s="468"/>
      <c r="T155" s="468"/>
      <c r="U155" s="468"/>
      <c r="V155" s="467"/>
      <c r="W155" s="468"/>
      <c r="X155" s="468"/>
      <c r="Y155" s="468"/>
      <c r="Z155" s="469"/>
      <c r="AA155" s="469"/>
      <c r="AB155" s="469"/>
      <c r="AC155" s="469"/>
    </row>
    <row r="156" spans="1:29">
      <c r="A156" s="276">
        <v>147</v>
      </c>
      <c r="B156" s="162" t="s">
        <v>78</v>
      </c>
      <c r="C156" s="462">
        <v>1</v>
      </c>
      <c r="D156" s="462">
        <v>1</v>
      </c>
      <c r="E156" s="462">
        <v>1</v>
      </c>
      <c r="F156" s="462">
        <v>1</v>
      </c>
      <c r="G156" s="696"/>
      <c r="H156" s="696"/>
      <c r="I156" s="462" t="s">
        <v>887</v>
      </c>
      <c r="J156" s="462" t="s">
        <v>895</v>
      </c>
      <c r="K156" s="462" t="s">
        <v>887</v>
      </c>
      <c r="L156" s="462" t="s">
        <v>895</v>
      </c>
      <c r="M156" s="462" t="s">
        <v>887</v>
      </c>
      <c r="N156" s="462" t="s">
        <v>895</v>
      </c>
      <c r="O156" s="462" t="s">
        <v>887</v>
      </c>
      <c r="P156" s="462" t="s">
        <v>895</v>
      </c>
      <c r="Q156" s="276">
        <v>30</v>
      </c>
      <c r="R156" s="467"/>
      <c r="S156" s="468"/>
      <c r="T156" s="468"/>
      <c r="U156" s="468"/>
      <c r="V156" s="467"/>
      <c r="W156" s="468"/>
      <c r="X156" s="468"/>
      <c r="Y156" s="468"/>
      <c r="Z156" s="469"/>
      <c r="AA156" s="469"/>
      <c r="AB156" s="469"/>
      <c r="AC156" s="469"/>
    </row>
    <row r="157" spans="1:29">
      <c r="A157" s="276">
        <v>148</v>
      </c>
      <c r="B157" s="162" t="s">
        <v>169</v>
      </c>
      <c r="C157" s="462">
        <v>1</v>
      </c>
      <c r="D157" s="462">
        <v>1</v>
      </c>
      <c r="E157" s="462">
        <v>1</v>
      </c>
      <c r="F157" s="462">
        <v>1</v>
      </c>
      <c r="G157" s="696"/>
      <c r="H157" s="696"/>
      <c r="I157" s="462" t="s">
        <v>887</v>
      </c>
      <c r="J157" s="462" t="s">
        <v>895</v>
      </c>
      <c r="K157" s="462" t="s">
        <v>887</v>
      </c>
      <c r="L157" s="462" t="s">
        <v>895</v>
      </c>
      <c r="M157" s="462" t="s">
        <v>887</v>
      </c>
      <c r="N157" s="462" t="s">
        <v>895</v>
      </c>
      <c r="O157" s="462" t="s">
        <v>887</v>
      </c>
      <c r="P157" s="462" t="s">
        <v>895</v>
      </c>
      <c r="Q157" s="276">
        <v>30</v>
      </c>
      <c r="R157" s="467"/>
      <c r="S157" s="468"/>
      <c r="T157" s="468"/>
      <c r="U157" s="468"/>
      <c r="V157" s="467"/>
      <c r="W157" s="468"/>
      <c r="X157" s="468"/>
      <c r="Y157" s="468"/>
      <c r="Z157" s="469"/>
      <c r="AA157" s="469"/>
      <c r="AB157" s="469"/>
      <c r="AC157" s="469"/>
    </row>
    <row r="158" spans="1:29">
      <c r="A158" s="276">
        <v>149</v>
      </c>
      <c r="B158" s="162" t="s">
        <v>117</v>
      </c>
      <c r="C158" s="462">
        <v>1</v>
      </c>
      <c r="D158" s="462">
        <v>1</v>
      </c>
      <c r="E158" s="462">
        <v>1</v>
      </c>
      <c r="F158" s="462">
        <v>1</v>
      </c>
      <c r="G158" s="696"/>
      <c r="H158" s="696"/>
      <c r="I158" s="462" t="s">
        <v>887</v>
      </c>
      <c r="J158" s="462" t="s">
        <v>895</v>
      </c>
      <c r="K158" s="462" t="s">
        <v>887</v>
      </c>
      <c r="L158" s="462" t="s">
        <v>895</v>
      </c>
      <c r="M158" s="462" t="s">
        <v>887</v>
      </c>
      <c r="N158" s="462" t="s">
        <v>895</v>
      </c>
      <c r="O158" s="462" t="s">
        <v>887</v>
      </c>
      <c r="P158" s="462" t="s">
        <v>895</v>
      </c>
      <c r="Q158" s="276">
        <v>30</v>
      </c>
      <c r="R158" s="467"/>
      <c r="S158" s="468"/>
      <c r="T158" s="468"/>
      <c r="U158" s="468"/>
      <c r="V158" s="467"/>
      <c r="W158" s="468"/>
      <c r="X158" s="468"/>
      <c r="Y158" s="468"/>
      <c r="Z158" s="469"/>
      <c r="AA158" s="469"/>
      <c r="AB158" s="469"/>
      <c r="AC158" s="469"/>
    </row>
    <row r="159" spans="1:29">
      <c r="A159" s="276">
        <v>150</v>
      </c>
      <c r="B159" s="162" t="s">
        <v>165</v>
      </c>
      <c r="C159" s="462">
        <v>1</v>
      </c>
      <c r="D159" s="462">
        <v>1</v>
      </c>
      <c r="E159" s="462">
        <v>1</v>
      </c>
      <c r="F159" s="462">
        <v>1</v>
      </c>
      <c r="G159" s="696"/>
      <c r="H159" s="696"/>
      <c r="I159" s="462" t="s">
        <v>887</v>
      </c>
      <c r="J159" s="462" t="s">
        <v>895</v>
      </c>
      <c r="K159" s="462" t="s">
        <v>887</v>
      </c>
      <c r="L159" s="462" t="s">
        <v>895</v>
      </c>
      <c r="M159" s="462" t="s">
        <v>887</v>
      </c>
      <c r="N159" s="462" t="s">
        <v>895</v>
      </c>
      <c r="O159" s="462" t="s">
        <v>887</v>
      </c>
      <c r="P159" s="462" t="s">
        <v>895</v>
      </c>
      <c r="Q159" s="276">
        <v>30</v>
      </c>
      <c r="R159" s="467"/>
      <c r="S159" s="468"/>
      <c r="T159" s="468"/>
      <c r="U159" s="468"/>
      <c r="V159" s="467"/>
      <c r="W159" s="468"/>
      <c r="X159" s="468"/>
      <c r="Y159" s="468"/>
      <c r="Z159" s="469"/>
      <c r="AA159" s="469"/>
      <c r="AB159" s="469"/>
      <c r="AC159" s="469"/>
    </row>
    <row r="160" spans="1:29">
      <c r="A160" s="276">
        <v>151</v>
      </c>
      <c r="B160" s="162" t="s">
        <v>99</v>
      </c>
      <c r="C160" s="462">
        <v>1</v>
      </c>
      <c r="D160" s="462">
        <v>1</v>
      </c>
      <c r="E160" s="462">
        <v>1</v>
      </c>
      <c r="F160" s="462">
        <v>1</v>
      </c>
      <c r="G160" s="696"/>
      <c r="H160" s="696"/>
      <c r="I160" s="462" t="s">
        <v>887</v>
      </c>
      <c r="J160" s="462" t="s">
        <v>895</v>
      </c>
      <c r="K160" s="462" t="s">
        <v>887</v>
      </c>
      <c r="L160" s="462" t="s">
        <v>895</v>
      </c>
      <c r="M160" s="462" t="s">
        <v>887</v>
      </c>
      <c r="N160" s="462" t="s">
        <v>895</v>
      </c>
      <c r="O160" s="462" t="s">
        <v>887</v>
      </c>
      <c r="P160" s="462" t="s">
        <v>895</v>
      </c>
      <c r="Q160" s="276">
        <v>30</v>
      </c>
      <c r="R160" s="467"/>
      <c r="S160" s="468"/>
      <c r="T160" s="468"/>
      <c r="U160" s="468"/>
      <c r="V160" s="467"/>
      <c r="W160" s="468"/>
      <c r="X160" s="468"/>
      <c r="Y160" s="468"/>
      <c r="Z160" s="469"/>
      <c r="AA160" s="469"/>
      <c r="AB160" s="469"/>
      <c r="AC160" s="469"/>
    </row>
    <row r="161" spans="1:29">
      <c r="A161" s="276">
        <v>152</v>
      </c>
      <c r="B161" s="162" t="s">
        <v>100</v>
      </c>
      <c r="C161" s="462">
        <v>1</v>
      </c>
      <c r="D161" s="462">
        <v>1</v>
      </c>
      <c r="E161" s="462">
        <v>1</v>
      </c>
      <c r="F161" s="462">
        <v>1</v>
      </c>
      <c r="G161" s="696"/>
      <c r="H161" s="696"/>
      <c r="I161" s="462" t="s">
        <v>887</v>
      </c>
      <c r="J161" s="462" t="s">
        <v>895</v>
      </c>
      <c r="K161" s="462" t="s">
        <v>887</v>
      </c>
      <c r="L161" s="462" t="s">
        <v>895</v>
      </c>
      <c r="M161" s="462" t="s">
        <v>887</v>
      </c>
      <c r="N161" s="462" t="s">
        <v>895</v>
      </c>
      <c r="O161" s="462" t="s">
        <v>887</v>
      </c>
      <c r="P161" s="462" t="s">
        <v>895</v>
      </c>
      <c r="Q161" s="276">
        <v>30</v>
      </c>
      <c r="R161" s="467" t="e">
        <f t="shared" si="38"/>
        <v>#VALUE!</v>
      </c>
      <c r="S161" s="468" t="e">
        <f t="shared" si="39"/>
        <v>#VALUE!</v>
      </c>
      <c r="T161" s="468" t="e">
        <f t="shared" si="40"/>
        <v>#VALUE!</v>
      </c>
      <c r="U161" s="468" t="e">
        <f t="shared" si="41"/>
        <v>#VALUE!</v>
      </c>
      <c r="V161" s="467" t="e">
        <f t="shared" si="42"/>
        <v>#VALUE!</v>
      </c>
      <c r="W161" s="468" t="e">
        <f t="shared" si="43"/>
        <v>#VALUE!</v>
      </c>
      <c r="X161" s="468" t="e">
        <f t="shared" si="44"/>
        <v>#VALUE!</v>
      </c>
      <c r="Y161" s="468" t="e">
        <f t="shared" si="45"/>
        <v>#VALUE!</v>
      </c>
      <c r="Z161" s="469" t="e">
        <f t="shared" si="46"/>
        <v>#VALUE!</v>
      </c>
      <c r="AA161" s="469" t="e">
        <f t="shared" si="46"/>
        <v>#VALUE!</v>
      </c>
      <c r="AB161" s="469" t="e">
        <f t="shared" si="46"/>
        <v>#VALUE!</v>
      </c>
      <c r="AC161" s="469" t="e">
        <f t="shared" si="46"/>
        <v>#VALUE!</v>
      </c>
    </row>
    <row r="162" spans="1:29" s="286" customFormat="1" ht="24.75" customHeight="1">
      <c r="A162" s="683"/>
      <c r="B162" s="734" t="s">
        <v>7</v>
      </c>
      <c r="C162" s="734"/>
      <c r="D162" s="734"/>
      <c r="E162" s="734"/>
      <c r="F162" s="734"/>
      <c r="G162" s="734"/>
      <c r="H162" s="734"/>
      <c r="I162" s="734"/>
      <c r="J162" s="734"/>
      <c r="K162" s="734"/>
      <c r="L162" s="734"/>
      <c r="M162" s="734"/>
      <c r="N162" s="734"/>
      <c r="O162" s="683"/>
      <c r="P162" s="683"/>
      <c r="Q162" s="683"/>
      <c r="R162" s="285" t="e">
        <f t="shared" ref="R162:Y162" si="47">SUM(R7:R140)</f>
        <v>#VALUE!</v>
      </c>
      <c r="S162" s="285" t="e">
        <f t="shared" si="47"/>
        <v>#VALUE!</v>
      </c>
      <c r="T162" s="285" t="e">
        <f t="shared" si="47"/>
        <v>#VALUE!</v>
      </c>
      <c r="U162" s="285" t="e">
        <f t="shared" si="47"/>
        <v>#VALUE!</v>
      </c>
      <c r="V162" s="285" t="e">
        <f t="shared" si="47"/>
        <v>#VALUE!</v>
      </c>
      <c r="W162" s="285" t="e">
        <f t="shared" si="47"/>
        <v>#VALUE!</v>
      </c>
      <c r="X162" s="285" t="e">
        <f t="shared" si="47"/>
        <v>#VALUE!</v>
      </c>
      <c r="Y162" s="285" t="e">
        <f t="shared" si="47"/>
        <v>#VALUE!</v>
      </c>
      <c r="Z162" s="469"/>
      <c r="AA162" s="469"/>
      <c r="AB162" s="469"/>
      <c r="AC162" s="469"/>
    </row>
    <row r="163" spans="1:29" ht="16.899999999999999" customHeight="1">
      <c r="A163" s="735"/>
      <c r="B163" s="735"/>
      <c r="C163" s="735"/>
      <c r="D163" s="735"/>
      <c r="E163" s="735"/>
      <c r="F163" s="735"/>
    </row>
    <row r="165" spans="1:29" ht="18.75">
      <c r="P165" s="287" t="s">
        <v>615</v>
      </c>
    </row>
  </sheetData>
  <mergeCells count="18">
    <mergeCell ref="AD7:AD8"/>
    <mergeCell ref="A1:AB1"/>
    <mergeCell ref="A2:A3"/>
    <mergeCell ref="B2:B3"/>
    <mergeCell ref="C2:F2"/>
    <mergeCell ref="G2:G3"/>
    <mergeCell ref="H2:H3"/>
    <mergeCell ref="I2:P2"/>
    <mergeCell ref="Q2:Q3"/>
    <mergeCell ref="R2:U2"/>
    <mergeCell ref="V2:Y2"/>
    <mergeCell ref="B162:N162"/>
    <mergeCell ref="A163:F163"/>
    <mergeCell ref="Z2:AC2"/>
    <mergeCell ref="I3:J3"/>
    <mergeCell ref="K3:L3"/>
    <mergeCell ref="M3:N3"/>
    <mergeCell ref="O3:P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202"/>
  <sheetViews>
    <sheetView view="pageBreakPreview" zoomScale="60" zoomScaleNormal="55" workbookViewId="0">
      <pane ySplit="1" topLeftCell="A2" activePane="bottomLeft" state="frozen"/>
      <selection pane="bottomLeft" sqref="A1:AC200"/>
    </sheetView>
  </sheetViews>
  <sheetFormatPr defaultColWidth="8.85546875" defaultRowHeight="15"/>
  <cols>
    <col min="1" max="1" width="9.140625" style="53" customWidth="1"/>
    <col min="2" max="2" width="37.5703125" style="39" customWidth="1"/>
    <col min="3" max="3" width="10.42578125" style="66" customWidth="1"/>
    <col min="4" max="4" width="11.42578125" style="39" bestFit="1" customWidth="1"/>
    <col min="5" max="6" width="10.42578125" style="39" customWidth="1"/>
    <col min="7" max="8" width="11.42578125" style="39" customWidth="1"/>
    <col min="9" max="10" width="17.28515625" style="53" customWidth="1"/>
    <col min="11" max="17" width="17.28515625" style="39" customWidth="1"/>
    <col min="18" max="21" width="13.7109375" style="39" hidden="1" customWidth="1"/>
    <col min="22" max="22" width="17.7109375" style="39" hidden="1" customWidth="1"/>
    <col min="23" max="25" width="16.7109375" style="39" hidden="1" customWidth="1"/>
    <col min="26" max="29" width="13.7109375" style="39" hidden="1" customWidth="1"/>
    <col min="30" max="16384" width="8.85546875" style="39"/>
  </cols>
  <sheetData>
    <row r="1" spans="1:29" s="10" customFormat="1" ht="25.5">
      <c r="A1" s="725" t="s">
        <v>621</v>
      </c>
      <c r="B1" s="725"/>
      <c r="C1" s="725"/>
      <c r="D1" s="725"/>
      <c r="E1" s="725"/>
      <c r="F1" s="725"/>
      <c r="G1" s="725"/>
      <c r="H1" s="725"/>
      <c r="I1" s="749"/>
      <c r="J1" s="749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38"/>
    </row>
    <row r="2" spans="1:29" ht="15.6" customHeight="1">
      <c r="A2" s="717" t="s">
        <v>1</v>
      </c>
      <c r="B2" s="717" t="s">
        <v>2</v>
      </c>
      <c r="C2" s="728" t="s">
        <v>536</v>
      </c>
      <c r="D2" s="726"/>
      <c r="E2" s="726"/>
      <c r="F2" s="727"/>
      <c r="G2" s="717" t="s">
        <v>8</v>
      </c>
      <c r="H2" s="716" t="s">
        <v>497</v>
      </c>
      <c r="I2" s="726" t="s">
        <v>4</v>
      </c>
      <c r="J2" s="726"/>
      <c r="K2" s="726"/>
      <c r="L2" s="726"/>
      <c r="M2" s="726"/>
      <c r="N2" s="726"/>
      <c r="O2" s="726"/>
      <c r="P2" s="727"/>
      <c r="Q2" s="717" t="s">
        <v>5</v>
      </c>
      <c r="R2" s="18"/>
      <c r="S2" s="18"/>
      <c r="T2" s="18"/>
      <c r="U2" s="18"/>
      <c r="V2" s="716"/>
      <c r="W2" s="716"/>
      <c r="X2" s="716"/>
      <c r="Y2" s="290"/>
      <c r="Z2" s="18"/>
      <c r="AA2" s="18"/>
      <c r="AB2" s="18"/>
      <c r="AC2" s="18"/>
    </row>
    <row r="3" spans="1:29" ht="47.25" customHeight="1">
      <c r="A3" s="718"/>
      <c r="B3" s="718"/>
      <c r="C3" s="290" t="s">
        <v>612</v>
      </c>
      <c r="D3" s="290" t="s">
        <v>613</v>
      </c>
      <c r="E3" s="290" t="s">
        <v>534</v>
      </c>
      <c r="F3" s="290" t="s">
        <v>535</v>
      </c>
      <c r="G3" s="718"/>
      <c r="H3" s="716"/>
      <c r="I3" s="726" t="s">
        <v>612</v>
      </c>
      <c r="J3" s="727"/>
      <c r="K3" s="728" t="s">
        <v>613</v>
      </c>
      <c r="L3" s="727"/>
      <c r="M3" s="716" t="s">
        <v>534</v>
      </c>
      <c r="N3" s="716"/>
      <c r="O3" s="716" t="s">
        <v>535</v>
      </c>
      <c r="P3" s="716"/>
      <c r="Q3" s="718"/>
      <c r="R3" s="716" t="s">
        <v>501</v>
      </c>
      <c r="S3" s="716"/>
      <c r="T3" s="716"/>
      <c r="U3" s="716"/>
      <c r="V3" s="726" t="s">
        <v>502</v>
      </c>
      <c r="W3" s="726"/>
      <c r="X3" s="726"/>
      <c r="Y3" s="727"/>
      <c r="Z3" s="726" t="s">
        <v>503</v>
      </c>
      <c r="AA3" s="726"/>
      <c r="AB3" s="726"/>
      <c r="AC3" s="727"/>
    </row>
    <row r="4" spans="1:29" ht="31.5">
      <c r="A4" s="291"/>
      <c r="B4" s="291"/>
      <c r="C4" s="308"/>
      <c r="D4" s="308"/>
      <c r="E4" s="308"/>
      <c r="F4" s="308"/>
      <c r="G4" s="291"/>
      <c r="H4" s="290"/>
      <c r="I4" s="310" t="s">
        <v>498</v>
      </c>
      <c r="J4" s="309" t="s">
        <v>496</v>
      </c>
      <c r="K4" s="310" t="s">
        <v>498</v>
      </c>
      <c r="L4" s="309" t="s">
        <v>496</v>
      </c>
      <c r="M4" s="310" t="s">
        <v>498</v>
      </c>
      <c r="N4" s="309" t="s">
        <v>496</v>
      </c>
      <c r="O4" s="310" t="s">
        <v>498</v>
      </c>
      <c r="P4" s="309" t="s">
        <v>496</v>
      </c>
      <c r="Q4" s="291"/>
      <c r="R4" s="290" t="s">
        <v>612</v>
      </c>
      <c r="S4" s="290" t="s">
        <v>613</v>
      </c>
      <c r="T4" s="290" t="s">
        <v>534</v>
      </c>
      <c r="U4" s="290" t="s">
        <v>535</v>
      </c>
      <c r="V4" s="290" t="s">
        <v>612</v>
      </c>
      <c r="W4" s="290" t="s">
        <v>613</v>
      </c>
      <c r="X4" s="290" t="s">
        <v>534</v>
      </c>
      <c r="Y4" s="290" t="s">
        <v>535</v>
      </c>
      <c r="Z4" s="290" t="s">
        <v>612</v>
      </c>
      <c r="AA4" s="290" t="s">
        <v>613</v>
      </c>
      <c r="AB4" s="290" t="s">
        <v>534</v>
      </c>
      <c r="AC4" s="290" t="s">
        <v>535</v>
      </c>
    </row>
    <row r="5" spans="1:29" s="10" customFormat="1" ht="15.75">
      <c r="A5" s="13">
        <v>1</v>
      </c>
      <c r="B5" s="13">
        <v>2</v>
      </c>
      <c r="C5" s="22"/>
      <c r="D5" s="22"/>
      <c r="E5" s="22"/>
      <c r="F5" s="22"/>
      <c r="G5" s="13">
        <v>5</v>
      </c>
      <c r="H5" s="13"/>
      <c r="I5" s="13"/>
      <c r="J5" s="13"/>
      <c r="K5" s="13"/>
      <c r="L5" s="13"/>
      <c r="M5" s="13"/>
      <c r="N5" s="13"/>
      <c r="O5" s="13"/>
      <c r="P5" s="13"/>
      <c r="Q5" s="13">
        <v>8</v>
      </c>
      <c r="R5" s="13"/>
      <c r="S5" s="22"/>
      <c r="T5" s="22"/>
      <c r="U5" s="22"/>
      <c r="V5" s="13"/>
      <c r="W5" s="22"/>
      <c r="X5" s="22"/>
      <c r="Y5" s="22"/>
      <c r="Z5" s="13"/>
      <c r="AA5" s="22"/>
      <c r="AB5" s="22"/>
      <c r="AC5" s="22"/>
    </row>
    <row r="6" spans="1:29" s="10" customFormat="1" ht="26.25" customHeight="1">
      <c r="A6" s="319" t="s">
        <v>6</v>
      </c>
      <c r="B6" s="51" t="s">
        <v>176</v>
      </c>
      <c r="C6" s="15"/>
      <c r="D6" s="18"/>
      <c r="E6" s="18"/>
      <c r="F6" s="18"/>
      <c r="G6" s="18"/>
      <c r="H6" s="18"/>
      <c r="I6" s="32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2"/>
      <c r="W6" s="18"/>
      <c r="X6" s="18"/>
      <c r="Y6" s="18"/>
      <c r="Z6" s="18"/>
      <c r="AA6" s="18"/>
      <c r="AB6" s="18"/>
      <c r="AC6" s="18"/>
    </row>
    <row r="7" spans="1:29" s="10" customFormat="1" ht="33.75" customHeight="1">
      <c r="A7" s="15">
        <v>1</v>
      </c>
      <c r="B7" s="16" t="s">
        <v>177</v>
      </c>
      <c r="C7" s="17">
        <v>2</v>
      </c>
      <c r="D7" s="17">
        <v>3</v>
      </c>
      <c r="E7" s="17">
        <v>4</v>
      </c>
      <c r="F7" s="17">
        <v>4</v>
      </c>
      <c r="G7" s="17">
        <v>13</v>
      </c>
      <c r="H7" s="17">
        <v>10</v>
      </c>
      <c r="I7" s="17">
        <v>8</v>
      </c>
      <c r="J7" s="168" t="s">
        <v>898</v>
      </c>
      <c r="K7" s="19">
        <v>8</v>
      </c>
      <c r="L7" s="168" t="s">
        <v>899</v>
      </c>
      <c r="M7" s="19">
        <v>8</v>
      </c>
      <c r="N7" s="168" t="s">
        <v>899</v>
      </c>
      <c r="O7" s="19">
        <v>8</v>
      </c>
      <c r="P7" s="168" t="s">
        <v>899</v>
      </c>
      <c r="Q7" s="15">
        <v>30</v>
      </c>
      <c r="R7" s="73">
        <f t="shared" ref="R7:R47" si="0">C7*G7*I7*Q7</f>
        <v>6240</v>
      </c>
      <c r="S7" s="74">
        <f t="shared" ref="S7:S47" si="1">D7*G7*K7*Q7</f>
        <v>9360</v>
      </c>
      <c r="T7" s="74">
        <f t="shared" ref="T7:T47" si="2">E7*G7*M7*Q7</f>
        <v>12480</v>
      </c>
      <c r="U7" s="74">
        <f t="shared" ref="U7:U47" si="3">F7*G7*O7*Q7</f>
        <v>12480</v>
      </c>
      <c r="V7" s="73">
        <f t="shared" ref="V7:V47" si="4">C7*H7*I7*Q7</f>
        <v>4800</v>
      </c>
      <c r="W7" s="74">
        <f t="shared" ref="W7:W47" si="5">D7*H7*K7*Q7</f>
        <v>7200</v>
      </c>
      <c r="X7" s="74">
        <f t="shared" ref="X7:X47" si="6">E7*H7*M7*Q7</f>
        <v>9600</v>
      </c>
      <c r="Y7" s="74">
        <f t="shared" ref="Y7:Y47" si="7">F7*H7*O7*Q7</f>
        <v>9600</v>
      </c>
      <c r="Z7" s="72">
        <f t="shared" ref="Z7:AC47" si="8">V7/R7</f>
        <v>0.76923076923076927</v>
      </c>
      <c r="AA7" s="72">
        <f t="shared" si="8"/>
        <v>0.76923076923076927</v>
      </c>
      <c r="AB7" s="72">
        <f t="shared" si="8"/>
        <v>0.76923076923076927</v>
      </c>
      <c r="AC7" s="72">
        <f t="shared" si="8"/>
        <v>0.76923076923076927</v>
      </c>
    </row>
    <row r="8" spans="1:29" s="10" customFormat="1" ht="33.75" customHeight="1">
      <c r="A8" s="15">
        <v>2</v>
      </c>
      <c r="B8" s="16" t="s">
        <v>178</v>
      </c>
      <c r="C8" s="17">
        <v>170</v>
      </c>
      <c r="D8" s="17">
        <v>200</v>
      </c>
      <c r="E8" s="17">
        <v>240</v>
      </c>
      <c r="F8" s="17">
        <v>240</v>
      </c>
      <c r="G8" s="17">
        <v>3.5999999999999997E-2</v>
      </c>
      <c r="H8" s="17">
        <v>3.5999999999999997E-2</v>
      </c>
      <c r="I8" s="17">
        <v>8</v>
      </c>
      <c r="J8" s="168" t="s">
        <v>898</v>
      </c>
      <c r="K8" s="19">
        <v>8</v>
      </c>
      <c r="L8" s="168" t="s">
        <v>899</v>
      </c>
      <c r="M8" s="19">
        <v>8</v>
      </c>
      <c r="N8" s="168" t="s">
        <v>899</v>
      </c>
      <c r="O8" s="19">
        <v>8</v>
      </c>
      <c r="P8" s="168" t="s">
        <v>899</v>
      </c>
      <c r="Q8" s="15">
        <v>30</v>
      </c>
      <c r="R8" s="73">
        <f t="shared" si="0"/>
        <v>1468.7999999999997</v>
      </c>
      <c r="S8" s="74">
        <f t="shared" si="1"/>
        <v>1727.9999999999998</v>
      </c>
      <c r="T8" s="74">
        <f t="shared" si="2"/>
        <v>2073.6</v>
      </c>
      <c r="U8" s="74">
        <f t="shared" si="3"/>
        <v>2073.6</v>
      </c>
      <c r="V8" s="73">
        <f t="shared" si="4"/>
        <v>1468.7999999999997</v>
      </c>
      <c r="W8" s="74">
        <f t="shared" si="5"/>
        <v>1727.9999999999998</v>
      </c>
      <c r="X8" s="74">
        <f t="shared" si="6"/>
        <v>2073.6</v>
      </c>
      <c r="Y8" s="74">
        <f t="shared" si="7"/>
        <v>2073.6</v>
      </c>
      <c r="Z8" s="72">
        <f t="shared" si="8"/>
        <v>1</v>
      </c>
      <c r="AA8" s="72">
        <f t="shared" si="8"/>
        <v>1</v>
      </c>
      <c r="AB8" s="72">
        <f t="shared" si="8"/>
        <v>1</v>
      </c>
      <c r="AC8" s="72">
        <f t="shared" si="8"/>
        <v>1</v>
      </c>
    </row>
    <row r="9" spans="1:29" s="10" customFormat="1" ht="33.75" customHeight="1">
      <c r="A9" s="15">
        <v>4</v>
      </c>
      <c r="B9" s="16" t="s">
        <v>179</v>
      </c>
      <c r="C9" s="17">
        <v>1</v>
      </c>
      <c r="D9" s="17">
        <v>1</v>
      </c>
      <c r="E9" s="17">
        <v>1</v>
      </c>
      <c r="F9" s="17">
        <v>1</v>
      </c>
      <c r="G9" s="17">
        <v>2.2000000000000002</v>
      </c>
      <c r="H9" s="17">
        <v>2.2000000000000002</v>
      </c>
      <c r="I9" s="17">
        <v>2</v>
      </c>
      <c r="J9" s="168" t="s">
        <v>900</v>
      </c>
      <c r="K9" s="19">
        <v>3</v>
      </c>
      <c r="L9" s="168" t="s">
        <v>900</v>
      </c>
      <c r="M9" s="19">
        <v>4</v>
      </c>
      <c r="N9" s="168" t="s">
        <v>900</v>
      </c>
      <c r="O9" s="19">
        <v>4</v>
      </c>
      <c r="P9" s="168" t="s">
        <v>900</v>
      </c>
      <c r="Q9" s="15">
        <v>30</v>
      </c>
      <c r="R9" s="73">
        <f t="shared" si="0"/>
        <v>132</v>
      </c>
      <c r="S9" s="74">
        <f t="shared" si="1"/>
        <v>198.00000000000003</v>
      </c>
      <c r="T9" s="74">
        <f t="shared" si="2"/>
        <v>264</v>
      </c>
      <c r="U9" s="74">
        <f t="shared" si="3"/>
        <v>264</v>
      </c>
      <c r="V9" s="73">
        <f t="shared" si="4"/>
        <v>132</v>
      </c>
      <c r="W9" s="74">
        <f t="shared" si="5"/>
        <v>198.00000000000003</v>
      </c>
      <c r="X9" s="74">
        <f t="shared" si="6"/>
        <v>264</v>
      </c>
      <c r="Y9" s="74">
        <f t="shared" si="7"/>
        <v>264</v>
      </c>
      <c r="Z9" s="72">
        <f t="shared" si="8"/>
        <v>1</v>
      </c>
      <c r="AA9" s="72">
        <f t="shared" si="8"/>
        <v>1</v>
      </c>
      <c r="AB9" s="72">
        <f t="shared" si="8"/>
        <v>1</v>
      </c>
      <c r="AC9" s="72">
        <f t="shared" si="8"/>
        <v>1</v>
      </c>
    </row>
    <row r="10" spans="1:29" s="10" customFormat="1" ht="33.75" customHeight="1">
      <c r="A10" s="15">
        <v>5</v>
      </c>
      <c r="B10" s="16" t="s">
        <v>180</v>
      </c>
      <c r="C10" s="17">
        <v>1</v>
      </c>
      <c r="D10" s="17">
        <v>1</v>
      </c>
      <c r="E10" s="17">
        <v>1</v>
      </c>
      <c r="F10" s="17">
        <v>1</v>
      </c>
      <c r="G10" s="17">
        <v>3</v>
      </c>
      <c r="H10" s="17">
        <v>3</v>
      </c>
      <c r="I10" s="17">
        <v>2</v>
      </c>
      <c r="J10" s="168" t="s">
        <v>900</v>
      </c>
      <c r="K10" s="19">
        <v>3</v>
      </c>
      <c r="L10" s="168" t="s">
        <v>900</v>
      </c>
      <c r="M10" s="19">
        <v>4</v>
      </c>
      <c r="N10" s="168" t="s">
        <v>900</v>
      </c>
      <c r="O10" s="19">
        <v>4</v>
      </c>
      <c r="P10" s="168" t="s">
        <v>900</v>
      </c>
      <c r="Q10" s="15">
        <v>30</v>
      </c>
      <c r="R10" s="73">
        <f t="shared" si="0"/>
        <v>180</v>
      </c>
      <c r="S10" s="74">
        <f t="shared" si="1"/>
        <v>270</v>
      </c>
      <c r="T10" s="74">
        <f t="shared" si="2"/>
        <v>360</v>
      </c>
      <c r="U10" s="74">
        <f t="shared" si="3"/>
        <v>360</v>
      </c>
      <c r="V10" s="73">
        <f t="shared" si="4"/>
        <v>180</v>
      </c>
      <c r="W10" s="74">
        <f t="shared" si="5"/>
        <v>270</v>
      </c>
      <c r="X10" s="74">
        <f t="shared" si="6"/>
        <v>360</v>
      </c>
      <c r="Y10" s="74">
        <f t="shared" si="7"/>
        <v>360</v>
      </c>
      <c r="Z10" s="72">
        <f t="shared" si="8"/>
        <v>1</v>
      </c>
      <c r="AA10" s="72">
        <f t="shared" si="8"/>
        <v>1</v>
      </c>
      <c r="AB10" s="72">
        <f t="shared" si="8"/>
        <v>1</v>
      </c>
      <c r="AC10" s="72">
        <f t="shared" si="8"/>
        <v>1</v>
      </c>
    </row>
    <row r="11" spans="1:29" s="10" customFormat="1" ht="26.25" customHeight="1">
      <c r="A11" s="319" t="s">
        <v>18</v>
      </c>
      <c r="B11" s="51" t="s">
        <v>181</v>
      </c>
      <c r="C11" s="15"/>
      <c r="D11" s="17"/>
      <c r="E11" s="17"/>
      <c r="F11" s="17"/>
      <c r="G11" s="18"/>
      <c r="H11" s="18"/>
      <c r="I11" s="320"/>
      <c r="J11" s="79"/>
      <c r="K11" s="79"/>
      <c r="L11" s="79"/>
      <c r="M11" s="79"/>
      <c r="N11" s="79"/>
      <c r="O11" s="79"/>
      <c r="P11" s="79"/>
      <c r="Q11" s="15"/>
      <c r="R11" s="73">
        <f t="shared" si="0"/>
        <v>0</v>
      </c>
      <c r="S11" s="74">
        <f t="shared" si="1"/>
        <v>0</v>
      </c>
      <c r="T11" s="74">
        <f t="shared" si="2"/>
        <v>0</v>
      </c>
      <c r="U11" s="74">
        <f t="shared" si="3"/>
        <v>0</v>
      </c>
      <c r="V11" s="73">
        <f t="shared" si="4"/>
        <v>0</v>
      </c>
      <c r="W11" s="74">
        <f t="shared" si="5"/>
        <v>0</v>
      </c>
      <c r="X11" s="74">
        <f t="shared" si="6"/>
        <v>0</v>
      </c>
      <c r="Y11" s="74">
        <f t="shared" si="7"/>
        <v>0</v>
      </c>
      <c r="Z11" s="72" t="e">
        <f t="shared" si="8"/>
        <v>#DIV/0!</v>
      </c>
      <c r="AA11" s="72" t="e">
        <f t="shared" si="8"/>
        <v>#DIV/0!</v>
      </c>
      <c r="AB11" s="72" t="e">
        <f t="shared" si="8"/>
        <v>#DIV/0!</v>
      </c>
      <c r="AC11" s="72" t="e">
        <f t="shared" si="8"/>
        <v>#DIV/0!</v>
      </c>
    </row>
    <row r="12" spans="1:29" s="10" customFormat="1" ht="36" customHeight="1">
      <c r="A12" s="15">
        <v>1</v>
      </c>
      <c r="B12" s="16" t="s">
        <v>182</v>
      </c>
      <c r="C12" s="17">
        <v>12</v>
      </c>
      <c r="D12" s="17">
        <v>12</v>
      </c>
      <c r="E12" s="17">
        <v>12</v>
      </c>
      <c r="F12" s="17">
        <v>12</v>
      </c>
      <c r="G12" s="17">
        <v>0.1</v>
      </c>
      <c r="H12" s="17">
        <v>0.1</v>
      </c>
      <c r="I12" s="17">
        <v>4</v>
      </c>
      <c r="J12" s="168" t="s">
        <v>901</v>
      </c>
      <c r="K12" s="15">
        <v>4</v>
      </c>
      <c r="L12" s="168" t="s">
        <v>901</v>
      </c>
      <c r="M12" s="15">
        <v>4</v>
      </c>
      <c r="N12" s="168" t="s">
        <v>901</v>
      </c>
      <c r="O12" s="15">
        <v>4</v>
      </c>
      <c r="P12" s="168" t="s">
        <v>901</v>
      </c>
      <c r="Q12" s="15">
        <v>30</v>
      </c>
      <c r="R12" s="73">
        <f t="shared" si="0"/>
        <v>144.00000000000003</v>
      </c>
      <c r="S12" s="74">
        <f t="shared" si="1"/>
        <v>144.00000000000003</v>
      </c>
      <c r="T12" s="74">
        <f t="shared" si="2"/>
        <v>144.00000000000003</v>
      </c>
      <c r="U12" s="74">
        <f t="shared" si="3"/>
        <v>144.00000000000003</v>
      </c>
      <c r="V12" s="73">
        <f t="shared" si="4"/>
        <v>144.00000000000003</v>
      </c>
      <c r="W12" s="74">
        <f t="shared" si="5"/>
        <v>144.00000000000003</v>
      </c>
      <c r="X12" s="74">
        <f t="shared" si="6"/>
        <v>144.00000000000003</v>
      </c>
      <c r="Y12" s="74">
        <f t="shared" si="7"/>
        <v>144.00000000000003</v>
      </c>
      <c r="Z12" s="72">
        <f t="shared" si="8"/>
        <v>1</v>
      </c>
      <c r="AA12" s="72">
        <f t="shared" si="8"/>
        <v>1</v>
      </c>
      <c r="AB12" s="72">
        <f t="shared" si="8"/>
        <v>1</v>
      </c>
      <c r="AC12" s="72">
        <f t="shared" si="8"/>
        <v>1</v>
      </c>
    </row>
    <row r="13" spans="1:29" s="10" customFormat="1" ht="30.75" customHeight="1">
      <c r="A13" s="319" t="s">
        <v>24</v>
      </c>
      <c r="B13" s="51" t="s">
        <v>902</v>
      </c>
      <c r="C13" s="15"/>
      <c r="D13" s="17"/>
      <c r="E13" s="17"/>
      <c r="F13" s="17"/>
      <c r="G13" s="18"/>
      <c r="H13" s="18"/>
      <c r="I13" s="320"/>
      <c r="J13" s="79"/>
      <c r="K13" s="79"/>
      <c r="L13" s="79"/>
      <c r="M13" s="79"/>
      <c r="N13" s="79"/>
      <c r="O13" s="79"/>
      <c r="P13" s="79"/>
      <c r="Q13" s="15"/>
      <c r="R13" s="73">
        <f t="shared" si="0"/>
        <v>0</v>
      </c>
      <c r="S13" s="74">
        <f t="shared" si="1"/>
        <v>0</v>
      </c>
      <c r="T13" s="74">
        <f t="shared" si="2"/>
        <v>0</v>
      </c>
      <c r="U13" s="74">
        <f t="shared" si="3"/>
        <v>0</v>
      </c>
      <c r="V13" s="73">
        <f t="shared" si="4"/>
        <v>0</v>
      </c>
      <c r="W13" s="74">
        <f t="shared" si="5"/>
        <v>0</v>
      </c>
      <c r="X13" s="74">
        <f t="shared" si="6"/>
        <v>0</v>
      </c>
      <c r="Y13" s="74">
        <f t="shared" si="7"/>
        <v>0</v>
      </c>
      <c r="Z13" s="72" t="e">
        <f t="shared" si="8"/>
        <v>#DIV/0!</v>
      </c>
      <c r="AA13" s="72" t="e">
        <f t="shared" si="8"/>
        <v>#DIV/0!</v>
      </c>
      <c r="AB13" s="72" t="e">
        <f t="shared" si="8"/>
        <v>#DIV/0!</v>
      </c>
      <c r="AC13" s="72" t="e">
        <f t="shared" si="8"/>
        <v>#DIV/0!</v>
      </c>
    </row>
    <row r="14" spans="1:29" s="10" customFormat="1" ht="45">
      <c r="A14" s="15">
        <v>1</v>
      </c>
      <c r="B14" s="18" t="s">
        <v>183</v>
      </c>
      <c r="C14" s="17">
        <v>75</v>
      </c>
      <c r="D14" s="17">
        <v>151</v>
      </c>
      <c r="E14" s="17">
        <v>151</v>
      </c>
      <c r="F14" s="17">
        <v>151</v>
      </c>
      <c r="G14" s="17">
        <v>1.1000000000000001</v>
      </c>
      <c r="H14" s="17">
        <v>1.1000000000000001</v>
      </c>
      <c r="I14" s="17">
        <v>4</v>
      </c>
      <c r="J14" s="168" t="s">
        <v>903</v>
      </c>
      <c r="K14" s="15">
        <v>4</v>
      </c>
      <c r="L14" s="168" t="s">
        <v>903</v>
      </c>
      <c r="M14" s="15">
        <v>4</v>
      </c>
      <c r="N14" s="168" t="s">
        <v>903</v>
      </c>
      <c r="O14" s="15">
        <v>4</v>
      </c>
      <c r="P14" s="168" t="s">
        <v>903</v>
      </c>
      <c r="Q14" s="15">
        <v>30</v>
      </c>
      <c r="R14" s="73">
        <f t="shared" si="0"/>
        <v>9900</v>
      </c>
      <c r="S14" s="74">
        <f t="shared" si="1"/>
        <v>19932.000000000004</v>
      </c>
      <c r="T14" s="74">
        <f t="shared" si="2"/>
        <v>19932.000000000004</v>
      </c>
      <c r="U14" s="74">
        <f t="shared" si="3"/>
        <v>19932.000000000004</v>
      </c>
      <c r="V14" s="73">
        <f t="shared" si="4"/>
        <v>9900</v>
      </c>
      <c r="W14" s="74">
        <f t="shared" si="5"/>
        <v>19932.000000000004</v>
      </c>
      <c r="X14" s="74">
        <f t="shared" si="6"/>
        <v>19932.000000000004</v>
      </c>
      <c r="Y14" s="74">
        <f t="shared" si="7"/>
        <v>19932.000000000004</v>
      </c>
      <c r="Z14" s="72">
        <f t="shared" si="8"/>
        <v>1</v>
      </c>
      <c r="AA14" s="72">
        <f t="shared" si="8"/>
        <v>1</v>
      </c>
      <c r="AB14" s="72">
        <f t="shared" si="8"/>
        <v>1</v>
      </c>
      <c r="AC14" s="72">
        <f t="shared" si="8"/>
        <v>1</v>
      </c>
    </row>
    <row r="15" spans="1:29" s="10" customFormat="1" ht="27" customHeight="1">
      <c r="A15" s="15">
        <v>2</v>
      </c>
      <c r="B15" s="18" t="s">
        <v>184</v>
      </c>
      <c r="C15" s="17">
        <v>60</v>
      </c>
      <c r="D15" s="17">
        <v>120</v>
      </c>
      <c r="E15" s="17">
        <v>120</v>
      </c>
      <c r="F15" s="17">
        <v>120</v>
      </c>
      <c r="G15" s="17">
        <v>0.05</v>
      </c>
      <c r="H15" s="17">
        <v>0.05</v>
      </c>
      <c r="I15" s="17">
        <v>4</v>
      </c>
      <c r="J15" s="168" t="s">
        <v>904</v>
      </c>
      <c r="K15" s="15">
        <v>4</v>
      </c>
      <c r="L15" s="168" t="s">
        <v>904</v>
      </c>
      <c r="M15" s="15">
        <v>4</v>
      </c>
      <c r="N15" s="168" t="s">
        <v>904</v>
      </c>
      <c r="O15" s="15">
        <v>4</v>
      </c>
      <c r="P15" s="168" t="s">
        <v>904</v>
      </c>
      <c r="Q15" s="15">
        <v>30</v>
      </c>
      <c r="R15" s="73">
        <f t="shared" si="0"/>
        <v>360</v>
      </c>
      <c r="S15" s="74">
        <f t="shared" si="1"/>
        <v>720</v>
      </c>
      <c r="T15" s="74">
        <f t="shared" si="2"/>
        <v>720</v>
      </c>
      <c r="U15" s="74">
        <f t="shared" si="3"/>
        <v>720</v>
      </c>
      <c r="V15" s="73">
        <f t="shared" si="4"/>
        <v>360</v>
      </c>
      <c r="W15" s="74">
        <f t="shared" si="5"/>
        <v>720</v>
      </c>
      <c r="X15" s="74">
        <f t="shared" si="6"/>
        <v>720</v>
      </c>
      <c r="Y15" s="74">
        <f t="shared" si="7"/>
        <v>720</v>
      </c>
      <c r="Z15" s="72">
        <f t="shared" si="8"/>
        <v>1</v>
      </c>
      <c r="AA15" s="72">
        <f t="shared" si="8"/>
        <v>1</v>
      </c>
      <c r="AB15" s="72">
        <f t="shared" si="8"/>
        <v>1</v>
      </c>
      <c r="AC15" s="72">
        <f t="shared" si="8"/>
        <v>1</v>
      </c>
    </row>
    <row r="16" spans="1:29" s="10" customFormat="1" ht="27" customHeight="1">
      <c r="A16" s="15">
        <v>3</v>
      </c>
      <c r="B16" s="18" t="s">
        <v>185</v>
      </c>
      <c r="C16" s="17">
        <v>67</v>
      </c>
      <c r="D16" s="17">
        <v>136</v>
      </c>
      <c r="E16" s="17">
        <v>136</v>
      </c>
      <c r="F16" s="17">
        <v>136</v>
      </c>
      <c r="G16" s="17">
        <v>2.5</v>
      </c>
      <c r="H16" s="17">
        <v>2.5</v>
      </c>
      <c r="I16" s="17">
        <v>2</v>
      </c>
      <c r="J16" s="168" t="s">
        <v>905</v>
      </c>
      <c r="K16" s="15">
        <v>2</v>
      </c>
      <c r="L16" s="168" t="s">
        <v>905</v>
      </c>
      <c r="M16" s="15">
        <v>2</v>
      </c>
      <c r="N16" s="168" t="s">
        <v>905</v>
      </c>
      <c r="O16" s="15">
        <v>2</v>
      </c>
      <c r="P16" s="168" t="s">
        <v>905</v>
      </c>
      <c r="Q16" s="15">
        <v>30</v>
      </c>
      <c r="R16" s="73">
        <f t="shared" si="0"/>
        <v>10050</v>
      </c>
      <c r="S16" s="74">
        <f t="shared" si="1"/>
        <v>20400</v>
      </c>
      <c r="T16" s="74">
        <f t="shared" si="2"/>
        <v>20400</v>
      </c>
      <c r="U16" s="74">
        <f t="shared" si="3"/>
        <v>20400</v>
      </c>
      <c r="V16" s="73">
        <f t="shared" si="4"/>
        <v>10050</v>
      </c>
      <c r="W16" s="74">
        <f t="shared" si="5"/>
        <v>20400</v>
      </c>
      <c r="X16" s="74">
        <f t="shared" si="6"/>
        <v>20400</v>
      </c>
      <c r="Y16" s="74">
        <f t="shared" si="7"/>
        <v>20400</v>
      </c>
      <c r="Z16" s="72">
        <f t="shared" si="8"/>
        <v>1</v>
      </c>
      <c r="AA16" s="72">
        <f t="shared" si="8"/>
        <v>1</v>
      </c>
      <c r="AB16" s="72">
        <f t="shared" si="8"/>
        <v>1</v>
      </c>
      <c r="AC16" s="72">
        <f t="shared" si="8"/>
        <v>1</v>
      </c>
    </row>
    <row r="17" spans="1:29" s="10" customFormat="1" ht="27" customHeight="1">
      <c r="A17" s="15">
        <v>4</v>
      </c>
      <c r="B17" s="18" t="s">
        <v>186</v>
      </c>
      <c r="C17" s="17">
        <v>25</v>
      </c>
      <c r="D17" s="17">
        <v>50</v>
      </c>
      <c r="E17" s="17">
        <v>100</v>
      </c>
      <c r="F17" s="17">
        <v>100</v>
      </c>
      <c r="G17" s="17">
        <v>0.05</v>
      </c>
      <c r="H17" s="17">
        <v>0.05</v>
      </c>
      <c r="I17" s="17">
        <v>3</v>
      </c>
      <c r="J17" s="168" t="s">
        <v>906</v>
      </c>
      <c r="K17" s="15">
        <v>3</v>
      </c>
      <c r="L17" s="168" t="s">
        <v>906</v>
      </c>
      <c r="M17" s="15">
        <v>3</v>
      </c>
      <c r="N17" s="168" t="s">
        <v>906</v>
      </c>
      <c r="O17" s="15">
        <v>3</v>
      </c>
      <c r="P17" s="168" t="s">
        <v>906</v>
      </c>
      <c r="Q17" s="15">
        <v>30</v>
      </c>
      <c r="R17" s="73">
        <f t="shared" si="0"/>
        <v>112.5</v>
      </c>
      <c r="S17" s="74">
        <f t="shared" si="1"/>
        <v>225</v>
      </c>
      <c r="T17" s="74">
        <f t="shared" si="2"/>
        <v>450</v>
      </c>
      <c r="U17" s="74">
        <f t="shared" si="3"/>
        <v>450</v>
      </c>
      <c r="V17" s="73">
        <f t="shared" si="4"/>
        <v>112.5</v>
      </c>
      <c r="W17" s="74">
        <f t="shared" si="5"/>
        <v>225</v>
      </c>
      <c r="X17" s="74">
        <f t="shared" si="6"/>
        <v>450</v>
      </c>
      <c r="Y17" s="74">
        <f t="shared" si="7"/>
        <v>450</v>
      </c>
      <c r="Z17" s="72">
        <f t="shared" si="8"/>
        <v>1</v>
      </c>
      <c r="AA17" s="72">
        <f t="shared" si="8"/>
        <v>1</v>
      </c>
      <c r="AB17" s="72">
        <f t="shared" si="8"/>
        <v>1</v>
      </c>
      <c r="AC17" s="72">
        <f t="shared" si="8"/>
        <v>1</v>
      </c>
    </row>
    <row r="18" spans="1:29" s="10" customFormat="1" ht="27" customHeight="1">
      <c r="A18" s="15">
        <v>5</v>
      </c>
      <c r="B18" s="18" t="s">
        <v>187</v>
      </c>
      <c r="C18" s="17">
        <v>18</v>
      </c>
      <c r="D18" s="17">
        <v>27</v>
      </c>
      <c r="E18" s="17">
        <v>27</v>
      </c>
      <c r="F18" s="17">
        <v>27</v>
      </c>
      <c r="G18" s="17">
        <v>0.08</v>
      </c>
      <c r="H18" s="17">
        <v>0.08</v>
      </c>
      <c r="I18" s="17">
        <v>3</v>
      </c>
      <c r="J18" s="168" t="s">
        <v>906</v>
      </c>
      <c r="K18" s="15">
        <v>3</v>
      </c>
      <c r="L18" s="168" t="s">
        <v>906</v>
      </c>
      <c r="M18" s="15">
        <v>3</v>
      </c>
      <c r="N18" s="168" t="s">
        <v>906</v>
      </c>
      <c r="O18" s="15">
        <v>3</v>
      </c>
      <c r="P18" s="168" t="s">
        <v>906</v>
      </c>
      <c r="Q18" s="15">
        <v>30</v>
      </c>
      <c r="R18" s="73">
        <f t="shared" si="0"/>
        <v>129.60000000000002</v>
      </c>
      <c r="S18" s="74">
        <f t="shared" si="1"/>
        <v>194.4</v>
      </c>
      <c r="T18" s="74">
        <f t="shared" si="2"/>
        <v>194.4</v>
      </c>
      <c r="U18" s="74">
        <f t="shared" si="3"/>
        <v>194.4</v>
      </c>
      <c r="V18" s="73">
        <f t="shared" si="4"/>
        <v>129.60000000000002</v>
      </c>
      <c r="W18" s="74">
        <f t="shared" si="5"/>
        <v>194.4</v>
      </c>
      <c r="X18" s="74">
        <f t="shared" si="6"/>
        <v>194.4</v>
      </c>
      <c r="Y18" s="74">
        <f t="shared" si="7"/>
        <v>194.4</v>
      </c>
      <c r="Z18" s="72">
        <f t="shared" si="8"/>
        <v>1</v>
      </c>
      <c r="AA18" s="72">
        <f t="shared" si="8"/>
        <v>1</v>
      </c>
      <c r="AB18" s="72">
        <f t="shared" si="8"/>
        <v>1</v>
      </c>
      <c r="AC18" s="72">
        <f t="shared" si="8"/>
        <v>1</v>
      </c>
    </row>
    <row r="19" spans="1:29" s="10" customFormat="1" ht="27" customHeight="1">
      <c r="A19" s="15">
        <v>6</v>
      </c>
      <c r="B19" s="18" t="s">
        <v>188</v>
      </c>
      <c r="C19" s="17">
        <v>11</v>
      </c>
      <c r="D19" s="17">
        <v>19</v>
      </c>
      <c r="E19" s="17">
        <v>19</v>
      </c>
      <c r="F19" s="17">
        <v>19</v>
      </c>
      <c r="G19" s="17">
        <v>3</v>
      </c>
      <c r="H19" s="17">
        <v>3</v>
      </c>
      <c r="I19" s="17">
        <v>3</v>
      </c>
      <c r="J19" s="168" t="s">
        <v>906</v>
      </c>
      <c r="K19" s="15">
        <v>3</v>
      </c>
      <c r="L19" s="168" t="s">
        <v>906</v>
      </c>
      <c r="M19" s="15">
        <v>3</v>
      </c>
      <c r="N19" s="168" t="s">
        <v>906</v>
      </c>
      <c r="O19" s="15">
        <v>3</v>
      </c>
      <c r="P19" s="168" t="s">
        <v>906</v>
      </c>
      <c r="Q19" s="15">
        <v>30</v>
      </c>
      <c r="R19" s="73">
        <f t="shared" si="0"/>
        <v>2970</v>
      </c>
      <c r="S19" s="74">
        <f t="shared" si="1"/>
        <v>5130</v>
      </c>
      <c r="T19" s="74">
        <f t="shared" si="2"/>
        <v>5130</v>
      </c>
      <c r="U19" s="74">
        <f t="shared" si="3"/>
        <v>5130</v>
      </c>
      <c r="V19" s="73">
        <f t="shared" si="4"/>
        <v>2970</v>
      </c>
      <c r="W19" s="74">
        <f t="shared" si="5"/>
        <v>5130</v>
      </c>
      <c r="X19" s="74">
        <f t="shared" si="6"/>
        <v>5130</v>
      </c>
      <c r="Y19" s="74">
        <f t="shared" si="7"/>
        <v>5130</v>
      </c>
      <c r="Z19" s="72">
        <f t="shared" si="8"/>
        <v>1</v>
      </c>
      <c r="AA19" s="72">
        <f t="shared" si="8"/>
        <v>1</v>
      </c>
      <c r="AB19" s="72">
        <f t="shared" si="8"/>
        <v>1</v>
      </c>
      <c r="AC19" s="72">
        <f t="shared" si="8"/>
        <v>1</v>
      </c>
    </row>
    <row r="20" spans="1:29" s="10" customFormat="1" ht="27" customHeight="1">
      <c r="A20" s="15">
        <v>7</v>
      </c>
      <c r="B20" s="18" t="s">
        <v>189</v>
      </c>
      <c r="C20" s="17">
        <v>5</v>
      </c>
      <c r="D20" s="17">
        <v>5</v>
      </c>
      <c r="E20" s="17">
        <v>5</v>
      </c>
      <c r="F20" s="17">
        <v>5</v>
      </c>
      <c r="G20" s="17">
        <v>3.7</v>
      </c>
      <c r="H20" s="17">
        <v>3.7</v>
      </c>
      <c r="I20" s="17">
        <v>2</v>
      </c>
      <c r="J20" s="168" t="s">
        <v>907</v>
      </c>
      <c r="K20" s="15">
        <v>2</v>
      </c>
      <c r="L20" s="168" t="s">
        <v>907</v>
      </c>
      <c r="M20" s="15">
        <v>2</v>
      </c>
      <c r="N20" s="168" t="s">
        <v>907</v>
      </c>
      <c r="O20" s="15">
        <v>2</v>
      </c>
      <c r="P20" s="168" t="s">
        <v>907</v>
      </c>
      <c r="Q20" s="15">
        <v>30</v>
      </c>
      <c r="R20" s="73">
        <f t="shared" si="0"/>
        <v>1110</v>
      </c>
      <c r="S20" s="74">
        <f t="shared" si="1"/>
        <v>1110</v>
      </c>
      <c r="T20" s="74">
        <f t="shared" si="2"/>
        <v>1110</v>
      </c>
      <c r="U20" s="74">
        <f t="shared" si="3"/>
        <v>1110</v>
      </c>
      <c r="V20" s="73">
        <f t="shared" si="4"/>
        <v>1110</v>
      </c>
      <c r="W20" s="74">
        <f t="shared" si="5"/>
        <v>1110</v>
      </c>
      <c r="X20" s="74">
        <f t="shared" si="6"/>
        <v>1110</v>
      </c>
      <c r="Y20" s="74">
        <f t="shared" si="7"/>
        <v>1110</v>
      </c>
      <c r="Z20" s="72">
        <f t="shared" si="8"/>
        <v>1</v>
      </c>
      <c r="AA20" s="72">
        <f t="shared" si="8"/>
        <v>1</v>
      </c>
      <c r="AB20" s="72">
        <f t="shared" si="8"/>
        <v>1</v>
      </c>
      <c r="AC20" s="72">
        <f t="shared" si="8"/>
        <v>1</v>
      </c>
    </row>
    <row r="21" spans="1:29" s="10" customFormat="1" ht="27" customHeight="1">
      <c r="A21" s="15">
        <v>8</v>
      </c>
      <c r="B21" s="18" t="s">
        <v>190</v>
      </c>
      <c r="C21" s="17">
        <v>2</v>
      </c>
      <c r="D21" s="17">
        <v>2</v>
      </c>
      <c r="E21" s="17">
        <v>2</v>
      </c>
      <c r="F21" s="17">
        <v>2</v>
      </c>
      <c r="G21" s="17">
        <v>3</v>
      </c>
      <c r="H21" s="17">
        <v>3</v>
      </c>
      <c r="I21" s="17">
        <v>6</v>
      </c>
      <c r="J21" s="168" t="s">
        <v>908</v>
      </c>
      <c r="K21" s="15">
        <v>6</v>
      </c>
      <c r="L21" s="168" t="s">
        <v>908</v>
      </c>
      <c r="M21" s="15">
        <v>6</v>
      </c>
      <c r="N21" s="168" t="s">
        <v>908</v>
      </c>
      <c r="O21" s="15">
        <v>6</v>
      </c>
      <c r="P21" s="168" t="s">
        <v>908</v>
      </c>
      <c r="Q21" s="15">
        <v>30</v>
      </c>
      <c r="R21" s="73">
        <f t="shared" si="0"/>
        <v>1080</v>
      </c>
      <c r="S21" s="74">
        <f t="shared" si="1"/>
        <v>1080</v>
      </c>
      <c r="T21" s="74">
        <f t="shared" si="2"/>
        <v>1080</v>
      </c>
      <c r="U21" s="74">
        <f t="shared" si="3"/>
        <v>1080</v>
      </c>
      <c r="V21" s="73">
        <f t="shared" si="4"/>
        <v>1080</v>
      </c>
      <c r="W21" s="74">
        <f t="shared" si="5"/>
        <v>1080</v>
      </c>
      <c r="X21" s="74">
        <f t="shared" si="6"/>
        <v>1080</v>
      </c>
      <c r="Y21" s="74">
        <f t="shared" si="7"/>
        <v>1080</v>
      </c>
      <c r="Z21" s="72">
        <f t="shared" si="8"/>
        <v>1</v>
      </c>
      <c r="AA21" s="72">
        <f t="shared" si="8"/>
        <v>1</v>
      </c>
      <c r="AB21" s="72">
        <f t="shared" si="8"/>
        <v>1</v>
      </c>
      <c r="AC21" s="72">
        <f t="shared" si="8"/>
        <v>1</v>
      </c>
    </row>
    <row r="22" spans="1:29" s="10" customFormat="1" ht="27" customHeight="1">
      <c r="A22" s="15">
        <v>9</v>
      </c>
      <c r="B22" s="18" t="s">
        <v>191</v>
      </c>
      <c r="C22" s="17">
        <v>1</v>
      </c>
      <c r="D22" s="17">
        <v>1</v>
      </c>
      <c r="E22" s="17">
        <v>1</v>
      </c>
      <c r="F22" s="17">
        <v>1</v>
      </c>
      <c r="G22" s="17">
        <v>0.75</v>
      </c>
      <c r="H22" s="17">
        <v>0.75</v>
      </c>
      <c r="I22" s="17">
        <v>20</v>
      </c>
      <c r="J22" s="168" t="s">
        <v>909</v>
      </c>
      <c r="K22" s="15">
        <v>20</v>
      </c>
      <c r="L22" s="168" t="s">
        <v>909</v>
      </c>
      <c r="M22" s="15">
        <v>20</v>
      </c>
      <c r="N22" s="168" t="s">
        <v>909</v>
      </c>
      <c r="O22" s="15">
        <v>20</v>
      </c>
      <c r="P22" s="168" t="s">
        <v>909</v>
      </c>
      <c r="Q22" s="15">
        <v>30</v>
      </c>
      <c r="R22" s="73">
        <f t="shared" si="0"/>
        <v>450</v>
      </c>
      <c r="S22" s="74">
        <f t="shared" si="1"/>
        <v>450</v>
      </c>
      <c r="T22" s="74">
        <f t="shared" si="2"/>
        <v>450</v>
      </c>
      <c r="U22" s="74">
        <f t="shared" si="3"/>
        <v>450</v>
      </c>
      <c r="V22" s="73">
        <f t="shared" si="4"/>
        <v>450</v>
      </c>
      <c r="W22" s="74">
        <f t="shared" si="5"/>
        <v>450</v>
      </c>
      <c r="X22" s="74">
        <f t="shared" si="6"/>
        <v>450</v>
      </c>
      <c r="Y22" s="74">
        <f t="shared" si="7"/>
        <v>450</v>
      </c>
      <c r="Z22" s="72">
        <f t="shared" si="8"/>
        <v>1</v>
      </c>
      <c r="AA22" s="72">
        <f t="shared" si="8"/>
        <v>1</v>
      </c>
      <c r="AB22" s="72">
        <f t="shared" si="8"/>
        <v>1</v>
      </c>
      <c r="AC22" s="72">
        <f t="shared" si="8"/>
        <v>1</v>
      </c>
    </row>
    <row r="23" spans="1:29" s="10" customFormat="1" ht="27" customHeight="1">
      <c r="A23" s="15">
        <v>10</v>
      </c>
      <c r="B23" s="18" t="s">
        <v>192</v>
      </c>
      <c r="C23" s="17">
        <v>3</v>
      </c>
      <c r="D23" s="17">
        <v>3</v>
      </c>
      <c r="E23" s="17">
        <v>3</v>
      </c>
      <c r="F23" s="17">
        <v>3</v>
      </c>
      <c r="G23" s="17">
        <v>1.5</v>
      </c>
      <c r="H23" s="17">
        <v>1.5</v>
      </c>
      <c r="I23" s="17">
        <v>16</v>
      </c>
      <c r="J23" s="168" t="s">
        <v>910</v>
      </c>
      <c r="K23" s="15">
        <v>16</v>
      </c>
      <c r="L23" s="168" t="s">
        <v>910</v>
      </c>
      <c r="M23" s="15">
        <v>16</v>
      </c>
      <c r="N23" s="168" t="s">
        <v>910</v>
      </c>
      <c r="O23" s="15">
        <v>16</v>
      </c>
      <c r="P23" s="168" t="s">
        <v>910</v>
      </c>
      <c r="Q23" s="15">
        <v>30</v>
      </c>
      <c r="R23" s="73">
        <f t="shared" si="0"/>
        <v>2160</v>
      </c>
      <c r="S23" s="74">
        <f t="shared" si="1"/>
        <v>2160</v>
      </c>
      <c r="T23" s="74">
        <f t="shared" si="2"/>
        <v>2160</v>
      </c>
      <c r="U23" s="74">
        <f t="shared" si="3"/>
        <v>2160</v>
      </c>
      <c r="V23" s="73">
        <f t="shared" si="4"/>
        <v>2160</v>
      </c>
      <c r="W23" s="74">
        <f t="shared" si="5"/>
        <v>2160</v>
      </c>
      <c r="X23" s="74">
        <f t="shared" si="6"/>
        <v>2160</v>
      </c>
      <c r="Y23" s="74">
        <f t="shared" si="7"/>
        <v>2160</v>
      </c>
      <c r="Z23" s="72">
        <f t="shared" si="8"/>
        <v>1</v>
      </c>
      <c r="AA23" s="72">
        <f t="shared" si="8"/>
        <v>1</v>
      </c>
      <c r="AB23" s="72">
        <f t="shared" si="8"/>
        <v>1</v>
      </c>
      <c r="AC23" s="72">
        <f t="shared" si="8"/>
        <v>1</v>
      </c>
    </row>
    <row r="24" spans="1:29" s="10" customFormat="1" ht="27" customHeight="1">
      <c r="A24" s="15">
        <v>11</v>
      </c>
      <c r="B24" s="18" t="s">
        <v>193</v>
      </c>
      <c r="C24" s="17">
        <v>1</v>
      </c>
      <c r="D24" s="17">
        <v>1</v>
      </c>
      <c r="E24" s="17">
        <v>1</v>
      </c>
      <c r="F24" s="17">
        <v>1</v>
      </c>
      <c r="G24" s="17">
        <v>3</v>
      </c>
      <c r="H24" s="17">
        <v>3</v>
      </c>
      <c r="I24" s="17">
        <v>18</v>
      </c>
      <c r="J24" s="168" t="s">
        <v>911</v>
      </c>
      <c r="K24" s="15">
        <v>18</v>
      </c>
      <c r="L24" s="168" t="s">
        <v>911</v>
      </c>
      <c r="M24" s="15">
        <v>18</v>
      </c>
      <c r="N24" s="168" t="s">
        <v>911</v>
      </c>
      <c r="O24" s="15">
        <v>18</v>
      </c>
      <c r="P24" s="168" t="s">
        <v>911</v>
      </c>
      <c r="Q24" s="15">
        <v>30</v>
      </c>
      <c r="R24" s="73">
        <f t="shared" si="0"/>
        <v>1620</v>
      </c>
      <c r="S24" s="74">
        <f t="shared" si="1"/>
        <v>1620</v>
      </c>
      <c r="T24" s="74">
        <f t="shared" si="2"/>
        <v>1620</v>
      </c>
      <c r="U24" s="74">
        <f t="shared" si="3"/>
        <v>1620</v>
      </c>
      <c r="V24" s="73">
        <f t="shared" si="4"/>
        <v>1620</v>
      </c>
      <c r="W24" s="74">
        <f t="shared" si="5"/>
        <v>1620</v>
      </c>
      <c r="X24" s="74">
        <f t="shared" si="6"/>
        <v>1620</v>
      </c>
      <c r="Y24" s="74">
        <f t="shared" si="7"/>
        <v>1620</v>
      </c>
      <c r="Z24" s="72">
        <f t="shared" si="8"/>
        <v>1</v>
      </c>
      <c r="AA24" s="72">
        <f t="shared" si="8"/>
        <v>1</v>
      </c>
      <c r="AB24" s="72">
        <f t="shared" si="8"/>
        <v>1</v>
      </c>
      <c r="AC24" s="72">
        <f t="shared" si="8"/>
        <v>1</v>
      </c>
    </row>
    <row r="25" spans="1:29" s="10" customFormat="1" ht="27" customHeight="1">
      <c r="A25" s="15">
        <v>12</v>
      </c>
      <c r="B25" s="18" t="s">
        <v>194</v>
      </c>
      <c r="C25" s="17">
        <v>2</v>
      </c>
      <c r="D25" s="17">
        <v>2</v>
      </c>
      <c r="E25" s="17">
        <v>2</v>
      </c>
      <c r="F25" s="17">
        <v>2</v>
      </c>
      <c r="G25" s="17">
        <v>13.4</v>
      </c>
      <c r="H25" s="17">
        <v>13.4</v>
      </c>
      <c r="I25" s="17">
        <v>12</v>
      </c>
      <c r="J25" s="168" t="s">
        <v>910</v>
      </c>
      <c r="K25" s="15">
        <v>12</v>
      </c>
      <c r="L25" s="168" t="s">
        <v>910</v>
      </c>
      <c r="M25" s="15">
        <v>12</v>
      </c>
      <c r="N25" s="168" t="s">
        <v>910</v>
      </c>
      <c r="O25" s="15">
        <v>12</v>
      </c>
      <c r="P25" s="168" t="s">
        <v>910</v>
      </c>
      <c r="Q25" s="15">
        <v>30</v>
      </c>
      <c r="R25" s="73">
        <f t="shared" si="0"/>
        <v>9648</v>
      </c>
      <c r="S25" s="74">
        <f t="shared" si="1"/>
        <v>9648</v>
      </c>
      <c r="T25" s="74">
        <f t="shared" si="2"/>
        <v>9648</v>
      </c>
      <c r="U25" s="74">
        <f t="shared" si="3"/>
        <v>9648</v>
      </c>
      <c r="V25" s="73">
        <f t="shared" si="4"/>
        <v>9648</v>
      </c>
      <c r="W25" s="74">
        <f t="shared" si="5"/>
        <v>9648</v>
      </c>
      <c r="X25" s="74">
        <f t="shared" si="6"/>
        <v>9648</v>
      </c>
      <c r="Y25" s="74">
        <f t="shared" si="7"/>
        <v>9648</v>
      </c>
      <c r="Z25" s="72">
        <f t="shared" si="8"/>
        <v>1</v>
      </c>
      <c r="AA25" s="72">
        <f t="shared" si="8"/>
        <v>1</v>
      </c>
      <c r="AB25" s="72">
        <f t="shared" si="8"/>
        <v>1</v>
      </c>
      <c r="AC25" s="72">
        <f t="shared" si="8"/>
        <v>1</v>
      </c>
    </row>
    <row r="26" spans="1:29" s="10" customFormat="1" ht="27" customHeight="1">
      <c r="A26" s="15">
        <v>13</v>
      </c>
      <c r="B26" s="18" t="s">
        <v>195</v>
      </c>
      <c r="C26" s="17">
        <v>241</v>
      </c>
      <c r="D26" s="17">
        <v>482</v>
      </c>
      <c r="E26" s="17">
        <v>482</v>
      </c>
      <c r="F26" s="17">
        <v>482</v>
      </c>
      <c r="G26" s="17">
        <v>3.5999999999999997E-2</v>
      </c>
      <c r="H26" s="17">
        <v>3.5999999999999997E-2</v>
      </c>
      <c r="I26" s="17">
        <v>5</v>
      </c>
      <c r="J26" s="168" t="s">
        <v>912</v>
      </c>
      <c r="K26" s="15">
        <v>5</v>
      </c>
      <c r="L26" s="168" t="s">
        <v>912</v>
      </c>
      <c r="M26" s="15">
        <v>5</v>
      </c>
      <c r="N26" s="168" t="s">
        <v>912</v>
      </c>
      <c r="O26" s="15">
        <v>5</v>
      </c>
      <c r="P26" s="168" t="s">
        <v>912</v>
      </c>
      <c r="Q26" s="15">
        <v>30</v>
      </c>
      <c r="R26" s="73">
        <f t="shared" si="0"/>
        <v>1301.4000000000001</v>
      </c>
      <c r="S26" s="74">
        <f t="shared" si="1"/>
        <v>2602.8000000000002</v>
      </c>
      <c r="T26" s="74">
        <f t="shared" si="2"/>
        <v>2602.8000000000002</v>
      </c>
      <c r="U26" s="74">
        <f t="shared" si="3"/>
        <v>2602.8000000000002</v>
      </c>
      <c r="V26" s="73">
        <f t="shared" si="4"/>
        <v>1301.4000000000001</v>
      </c>
      <c r="W26" s="74">
        <f t="shared" si="5"/>
        <v>2602.8000000000002</v>
      </c>
      <c r="X26" s="74">
        <f t="shared" si="6"/>
        <v>2602.8000000000002</v>
      </c>
      <c r="Y26" s="74">
        <f t="shared" si="7"/>
        <v>2602.8000000000002</v>
      </c>
      <c r="Z26" s="72">
        <f t="shared" si="8"/>
        <v>1</v>
      </c>
      <c r="AA26" s="72">
        <f t="shared" si="8"/>
        <v>1</v>
      </c>
      <c r="AB26" s="72">
        <f t="shared" si="8"/>
        <v>1</v>
      </c>
      <c r="AC26" s="72">
        <f t="shared" si="8"/>
        <v>1</v>
      </c>
    </row>
    <row r="27" spans="1:29" s="10" customFormat="1" ht="27" customHeight="1">
      <c r="A27" s="15">
        <v>14</v>
      </c>
      <c r="B27" s="18" t="s">
        <v>196</v>
      </c>
      <c r="C27" s="17">
        <v>70</v>
      </c>
      <c r="D27" s="17">
        <v>140</v>
      </c>
      <c r="E27" s="17">
        <v>140</v>
      </c>
      <c r="F27" s="17">
        <v>140</v>
      </c>
      <c r="G27" s="17">
        <v>1.7999999999999999E-2</v>
      </c>
      <c r="H27" s="17">
        <v>1.7999999999999999E-2</v>
      </c>
      <c r="I27" s="17">
        <v>5</v>
      </c>
      <c r="J27" s="168" t="s">
        <v>912</v>
      </c>
      <c r="K27" s="15">
        <v>5</v>
      </c>
      <c r="L27" s="168" t="s">
        <v>912</v>
      </c>
      <c r="M27" s="15">
        <v>5</v>
      </c>
      <c r="N27" s="168" t="s">
        <v>912</v>
      </c>
      <c r="O27" s="15">
        <v>5</v>
      </c>
      <c r="P27" s="168" t="s">
        <v>912</v>
      </c>
      <c r="Q27" s="15">
        <v>30</v>
      </c>
      <c r="R27" s="73">
        <f t="shared" si="0"/>
        <v>189</v>
      </c>
      <c r="S27" s="74">
        <f t="shared" si="1"/>
        <v>378</v>
      </c>
      <c r="T27" s="74">
        <f t="shared" si="2"/>
        <v>378</v>
      </c>
      <c r="U27" s="74">
        <f t="shared" si="3"/>
        <v>378</v>
      </c>
      <c r="V27" s="73">
        <f t="shared" si="4"/>
        <v>189</v>
      </c>
      <c r="W27" s="74">
        <f t="shared" si="5"/>
        <v>378</v>
      </c>
      <c r="X27" s="74">
        <f t="shared" si="6"/>
        <v>378</v>
      </c>
      <c r="Y27" s="74">
        <f t="shared" si="7"/>
        <v>378</v>
      </c>
      <c r="Z27" s="72">
        <f t="shared" si="8"/>
        <v>1</v>
      </c>
      <c r="AA27" s="72">
        <f t="shared" si="8"/>
        <v>1</v>
      </c>
      <c r="AB27" s="72">
        <f t="shared" si="8"/>
        <v>1</v>
      </c>
      <c r="AC27" s="72">
        <f t="shared" si="8"/>
        <v>1</v>
      </c>
    </row>
    <row r="28" spans="1:29" s="10" customFormat="1" ht="27" customHeight="1">
      <c r="A28" s="15">
        <v>15</v>
      </c>
      <c r="B28" s="18" t="s">
        <v>549</v>
      </c>
      <c r="C28" s="17">
        <v>120</v>
      </c>
      <c r="D28" s="17">
        <v>252</v>
      </c>
      <c r="E28" s="17">
        <v>252</v>
      </c>
      <c r="F28" s="17">
        <v>252</v>
      </c>
      <c r="G28" s="17">
        <v>8.9999999999999993E-3</v>
      </c>
      <c r="H28" s="17">
        <v>8.9999999999999993E-3</v>
      </c>
      <c r="I28" s="17">
        <v>5</v>
      </c>
      <c r="J28" s="168" t="s">
        <v>912</v>
      </c>
      <c r="K28" s="15">
        <v>5</v>
      </c>
      <c r="L28" s="168" t="s">
        <v>912</v>
      </c>
      <c r="M28" s="15">
        <v>5</v>
      </c>
      <c r="N28" s="168" t="s">
        <v>912</v>
      </c>
      <c r="O28" s="15">
        <v>5</v>
      </c>
      <c r="P28" s="168" t="s">
        <v>912</v>
      </c>
      <c r="Q28" s="15">
        <v>30</v>
      </c>
      <c r="R28" s="73">
        <f t="shared" si="0"/>
        <v>161.99999999999997</v>
      </c>
      <c r="S28" s="74">
        <f t="shared" si="1"/>
        <v>340.2</v>
      </c>
      <c r="T28" s="74">
        <f t="shared" si="2"/>
        <v>340.2</v>
      </c>
      <c r="U28" s="74">
        <f t="shared" si="3"/>
        <v>340.2</v>
      </c>
      <c r="V28" s="73">
        <f t="shared" si="4"/>
        <v>161.99999999999997</v>
      </c>
      <c r="W28" s="74">
        <f t="shared" si="5"/>
        <v>340.2</v>
      </c>
      <c r="X28" s="74">
        <f t="shared" si="6"/>
        <v>340.2</v>
      </c>
      <c r="Y28" s="74">
        <f t="shared" si="7"/>
        <v>340.2</v>
      </c>
      <c r="Z28" s="72">
        <f t="shared" si="8"/>
        <v>1</v>
      </c>
      <c r="AA28" s="72">
        <f t="shared" si="8"/>
        <v>1</v>
      </c>
      <c r="AB28" s="72">
        <f t="shared" si="8"/>
        <v>1</v>
      </c>
      <c r="AC28" s="72">
        <f t="shared" si="8"/>
        <v>1</v>
      </c>
    </row>
    <row r="29" spans="1:29" s="10" customFormat="1" ht="27" customHeight="1">
      <c r="A29" s="15">
        <v>16</v>
      </c>
      <c r="B29" s="18" t="s">
        <v>198</v>
      </c>
      <c r="C29" s="17">
        <v>155</v>
      </c>
      <c r="D29" s="17">
        <v>313</v>
      </c>
      <c r="E29" s="17">
        <v>313</v>
      </c>
      <c r="F29" s="17">
        <v>313</v>
      </c>
      <c r="G29" s="17">
        <v>8.9999999999999993E-3</v>
      </c>
      <c r="H29" s="17">
        <v>8.9999999999999993E-3</v>
      </c>
      <c r="I29" s="17">
        <v>5</v>
      </c>
      <c r="J29" s="168" t="s">
        <v>912</v>
      </c>
      <c r="K29" s="15">
        <v>5</v>
      </c>
      <c r="L29" s="168" t="s">
        <v>912</v>
      </c>
      <c r="M29" s="15">
        <v>5</v>
      </c>
      <c r="N29" s="168" t="s">
        <v>912</v>
      </c>
      <c r="O29" s="15">
        <v>5</v>
      </c>
      <c r="P29" s="168" t="s">
        <v>912</v>
      </c>
      <c r="Q29" s="15">
        <v>30</v>
      </c>
      <c r="R29" s="73">
        <f t="shared" si="0"/>
        <v>209.24999999999997</v>
      </c>
      <c r="S29" s="74">
        <f t="shared" si="1"/>
        <v>422.54999999999995</v>
      </c>
      <c r="T29" s="74">
        <f t="shared" si="2"/>
        <v>422.54999999999995</v>
      </c>
      <c r="U29" s="74">
        <f t="shared" si="3"/>
        <v>422.54999999999995</v>
      </c>
      <c r="V29" s="73">
        <f t="shared" si="4"/>
        <v>209.24999999999997</v>
      </c>
      <c r="W29" s="74">
        <f t="shared" si="5"/>
        <v>422.54999999999995</v>
      </c>
      <c r="X29" s="74">
        <f t="shared" si="6"/>
        <v>422.54999999999995</v>
      </c>
      <c r="Y29" s="74">
        <f t="shared" si="7"/>
        <v>422.54999999999995</v>
      </c>
      <c r="Z29" s="72">
        <f t="shared" si="8"/>
        <v>1</v>
      </c>
      <c r="AA29" s="72">
        <f t="shared" si="8"/>
        <v>1</v>
      </c>
      <c r="AB29" s="72">
        <f t="shared" si="8"/>
        <v>1</v>
      </c>
      <c r="AC29" s="72">
        <f t="shared" si="8"/>
        <v>1</v>
      </c>
    </row>
    <row r="30" spans="1:29" s="10" customFormat="1" ht="27" customHeight="1">
      <c r="A30" s="15">
        <v>17</v>
      </c>
      <c r="B30" s="18" t="s">
        <v>199</v>
      </c>
      <c r="C30" s="17">
        <v>24</v>
      </c>
      <c r="D30" s="17">
        <v>24</v>
      </c>
      <c r="E30" s="17">
        <v>24</v>
      </c>
      <c r="F30" s="17">
        <v>24</v>
      </c>
      <c r="G30" s="17">
        <v>0.1</v>
      </c>
      <c r="H30" s="17">
        <v>0.1</v>
      </c>
      <c r="I30" s="17">
        <v>10</v>
      </c>
      <c r="J30" s="168" t="s">
        <v>913</v>
      </c>
      <c r="K30" s="15">
        <v>10</v>
      </c>
      <c r="L30" s="168" t="s">
        <v>913</v>
      </c>
      <c r="M30" s="15">
        <v>10</v>
      </c>
      <c r="N30" s="168" t="s">
        <v>913</v>
      </c>
      <c r="O30" s="15">
        <v>10</v>
      </c>
      <c r="P30" s="168" t="s">
        <v>913</v>
      </c>
      <c r="Q30" s="15">
        <v>30</v>
      </c>
      <c r="R30" s="73">
        <f t="shared" si="0"/>
        <v>720.00000000000011</v>
      </c>
      <c r="S30" s="74">
        <f t="shared" si="1"/>
        <v>720.00000000000011</v>
      </c>
      <c r="T30" s="74">
        <f t="shared" si="2"/>
        <v>720.00000000000011</v>
      </c>
      <c r="U30" s="74">
        <f t="shared" si="3"/>
        <v>720.00000000000011</v>
      </c>
      <c r="V30" s="73">
        <f t="shared" si="4"/>
        <v>720.00000000000011</v>
      </c>
      <c r="W30" s="74">
        <f t="shared" si="5"/>
        <v>720.00000000000011</v>
      </c>
      <c r="X30" s="74">
        <f t="shared" si="6"/>
        <v>720.00000000000011</v>
      </c>
      <c r="Y30" s="74">
        <f t="shared" si="7"/>
        <v>720.00000000000011</v>
      </c>
      <c r="Z30" s="72">
        <f t="shared" si="8"/>
        <v>1</v>
      </c>
      <c r="AA30" s="72">
        <f t="shared" si="8"/>
        <v>1</v>
      </c>
      <c r="AB30" s="72">
        <f t="shared" si="8"/>
        <v>1</v>
      </c>
      <c r="AC30" s="72">
        <f t="shared" si="8"/>
        <v>1</v>
      </c>
    </row>
    <row r="31" spans="1:29" s="10" customFormat="1">
      <c r="A31" s="15"/>
      <c r="B31" s="18"/>
      <c r="C31" s="17"/>
      <c r="D31" s="17"/>
      <c r="E31" s="17"/>
      <c r="F31" s="17"/>
      <c r="G31" s="17"/>
      <c r="H31" s="17"/>
      <c r="I31" s="17"/>
      <c r="J31" s="168"/>
      <c r="K31" s="15"/>
      <c r="L31" s="168"/>
      <c r="M31" s="15"/>
      <c r="N31" s="168"/>
      <c r="O31" s="15"/>
      <c r="P31" s="168"/>
      <c r="Q31" s="15"/>
      <c r="R31" s="73"/>
      <c r="S31" s="74"/>
      <c r="T31" s="74"/>
      <c r="U31" s="74"/>
      <c r="V31" s="73"/>
      <c r="W31" s="74"/>
      <c r="X31" s="74"/>
      <c r="Y31" s="74"/>
      <c r="Z31" s="72"/>
      <c r="AA31" s="72"/>
      <c r="AB31" s="72"/>
      <c r="AC31" s="72"/>
    </row>
    <row r="32" spans="1:29" s="10" customFormat="1" ht="26.25" customHeight="1">
      <c r="A32" s="319" t="s">
        <v>30</v>
      </c>
      <c r="B32" s="51" t="s">
        <v>914</v>
      </c>
      <c r="C32" s="15"/>
      <c r="D32" s="17"/>
      <c r="E32" s="17"/>
      <c r="F32" s="17"/>
      <c r="G32" s="18"/>
      <c r="H32" s="18"/>
      <c r="I32" s="320"/>
      <c r="J32" s="79"/>
      <c r="K32" s="79"/>
      <c r="L32" s="79"/>
      <c r="M32" s="79"/>
      <c r="N32" s="79"/>
      <c r="O32" s="79"/>
      <c r="P32" s="79"/>
      <c r="Q32" s="15"/>
      <c r="R32" s="73">
        <f t="shared" si="0"/>
        <v>0</v>
      </c>
      <c r="S32" s="74">
        <f t="shared" si="1"/>
        <v>0</v>
      </c>
      <c r="T32" s="74">
        <f t="shared" si="2"/>
        <v>0</v>
      </c>
      <c r="U32" s="74">
        <f t="shared" si="3"/>
        <v>0</v>
      </c>
      <c r="V32" s="73">
        <f t="shared" si="4"/>
        <v>0</v>
      </c>
      <c r="W32" s="74">
        <f t="shared" si="5"/>
        <v>0</v>
      </c>
      <c r="X32" s="74">
        <f t="shared" si="6"/>
        <v>0</v>
      </c>
      <c r="Y32" s="74">
        <f t="shared" si="7"/>
        <v>0</v>
      </c>
      <c r="Z32" s="72" t="e">
        <f t="shared" si="8"/>
        <v>#DIV/0!</v>
      </c>
      <c r="AA32" s="72" t="e">
        <f t="shared" si="8"/>
        <v>#DIV/0!</v>
      </c>
      <c r="AB32" s="72" t="e">
        <f t="shared" si="8"/>
        <v>#DIV/0!</v>
      </c>
      <c r="AC32" s="72" t="e">
        <f t="shared" si="8"/>
        <v>#DIV/0!</v>
      </c>
    </row>
    <row r="33" spans="1:29" s="10" customFormat="1" ht="44.25" customHeight="1">
      <c r="A33" s="15">
        <v>1</v>
      </c>
      <c r="B33" s="18" t="s">
        <v>183</v>
      </c>
      <c r="C33" s="17">
        <v>85</v>
      </c>
      <c r="D33" s="17">
        <v>167</v>
      </c>
      <c r="E33" s="17">
        <v>167</v>
      </c>
      <c r="F33" s="17">
        <v>167</v>
      </c>
      <c r="G33" s="17">
        <v>1.1000000000000001</v>
      </c>
      <c r="H33" s="17">
        <v>1.1000000000000001</v>
      </c>
      <c r="I33" s="17">
        <v>4</v>
      </c>
      <c r="J33" s="168" t="s">
        <v>903</v>
      </c>
      <c r="K33" s="15">
        <v>4</v>
      </c>
      <c r="L33" s="168" t="s">
        <v>903</v>
      </c>
      <c r="M33" s="15">
        <v>4</v>
      </c>
      <c r="N33" s="168" t="s">
        <v>903</v>
      </c>
      <c r="O33" s="15">
        <v>4</v>
      </c>
      <c r="P33" s="168" t="s">
        <v>903</v>
      </c>
      <c r="Q33" s="15">
        <v>30</v>
      </c>
      <c r="R33" s="73">
        <f t="shared" si="0"/>
        <v>11220.000000000002</v>
      </c>
      <c r="S33" s="74">
        <f t="shared" si="1"/>
        <v>22044.000000000004</v>
      </c>
      <c r="T33" s="74">
        <f t="shared" si="2"/>
        <v>22044.000000000004</v>
      </c>
      <c r="U33" s="74">
        <f t="shared" si="3"/>
        <v>22044.000000000004</v>
      </c>
      <c r="V33" s="73">
        <f t="shared" si="4"/>
        <v>11220.000000000002</v>
      </c>
      <c r="W33" s="74">
        <f t="shared" si="5"/>
        <v>22044.000000000004</v>
      </c>
      <c r="X33" s="74">
        <f t="shared" si="6"/>
        <v>22044.000000000004</v>
      </c>
      <c r="Y33" s="74">
        <f t="shared" si="7"/>
        <v>22044.000000000004</v>
      </c>
      <c r="Z33" s="72">
        <f t="shared" si="8"/>
        <v>1</v>
      </c>
      <c r="AA33" s="72">
        <f t="shared" si="8"/>
        <v>1</v>
      </c>
      <c r="AB33" s="72">
        <f t="shared" si="8"/>
        <v>1</v>
      </c>
      <c r="AC33" s="72">
        <f t="shared" si="8"/>
        <v>1</v>
      </c>
    </row>
    <row r="34" spans="1:29" s="10" customFormat="1" ht="44.25" customHeight="1">
      <c r="A34" s="15">
        <v>2</v>
      </c>
      <c r="B34" s="18" t="s">
        <v>184</v>
      </c>
      <c r="C34" s="17">
        <v>70</v>
      </c>
      <c r="D34" s="17">
        <v>142</v>
      </c>
      <c r="E34" s="17">
        <v>142</v>
      </c>
      <c r="F34" s="17">
        <v>142</v>
      </c>
      <c r="G34" s="17">
        <v>0.05</v>
      </c>
      <c r="H34" s="17">
        <v>0.05</v>
      </c>
      <c r="I34" s="17">
        <v>4</v>
      </c>
      <c r="J34" s="168" t="s">
        <v>904</v>
      </c>
      <c r="K34" s="15">
        <v>4</v>
      </c>
      <c r="L34" s="168" t="s">
        <v>904</v>
      </c>
      <c r="M34" s="15">
        <v>4</v>
      </c>
      <c r="N34" s="168" t="s">
        <v>904</v>
      </c>
      <c r="O34" s="15">
        <v>4</v>
      </c>
      <c r="P34" s="168" t="s">
        <v>904</v>
      </c>
      <c r="Q34" s="15">
        <v>30</v>
      </c>
      <c r="R34" s="73">
        <f t="shared" si="0"/>
        <v>420</v>
      </c>
      <c r="S34" s="74">
        <f t="shared" si="1"/>
        <v>852.00000000000011</v>
      </c>
      <c r="T34" s="74">
        <f t="shared" si="2"/>
        <v>852.00000000000011</v>
      </c>
      <c r="U34" s="74">
        <f t="shared" si="3"/>
        <v>852.00000000000011</v>
      </c>
      <c r="V34" s="73">
        <f t="shared" si="4"/>
        <v>420</v>
      </c>
      <c r="W34" s="74">
        <f t="shared" si="5"/>
        <v>852.00000000000011</v>
      </c>
      <c r="X34" s="74">
        <f t="shared" si="6"/>
        <v>852.00000000000011</v>
      </c>
      <c r="Y34" s="74">
        <f t="shared" si="7"/>
        <v>852.00000000000011</v>
      </c>
      <c r="Z34" s="72">
        <f t="shared" si="8"/>
        <v>1</v>
      </c>
      <c r="AA34" s="72">
        <f t="shared" si="8"/>
        <v>1</v>
      </c>
      <c r="AB34" s="72">
        <f t="shared" si="8"/>
        <v>1</v>
      </c>
      <c r="AC34" s="72">
        <f t="shared" si="8"/>
        <v>1</v>
      </c>
    </row>
    <row r="35" spans="1:29" s="10" customFormat="1" ht="44.25" customHeight="1">
      <c r="A35" s="15">
        <v>3</v>
      </c>
      <c r="B35" s="18" t="s">
        <v>185</v>
      </c>
      <c r="C35" s="17">
        <v>76</v>
      </c>
      <c r="D35" s="17">
        <v>159</v>
      </c>
      <c r="E35" s="17">
        <v>159</v>
      </c>
      <c r="F35" s="17">
        <v>159</v>
      </c>
      <c r="G35" s="17">
        <v>2.5</v>
      </c>
      <c r="H35" s="17">
        <v>2.5</v>
      </c>
      <c r="I35" s="17">
        <v>2</v>
      </c>
      <c r="J35" s="168" t="s">
        <v>905</v>
      </c>
      <c r="K35" s="15">
        <v>2</v>
      </c>
      <c r="L35" s="168" t="s">
        <v>905</v>
      </c>
      <c r="M35" s="15">
        <v>2</v>
      </c>
      <c r="N35" s="168" t="s">
        <v>905</v>
      </c>
      <c r="O35" s="15">
        <v>2</v>
      </c>
      <c r="P35" s="168" t="s">
        <v>905</v>
      </c>
      <c r="Q35" s="15">
        <v>30</v>
      </c>
      <c r="R35" s="73">
        <f t="shared" si="0"/>
        <v>11400</v>
      </c>
      <c r="S35" s="74">
        <f t="shared" si="1"/>
        <v>23850</v>
      </c>
      <c r="T35" s="74">
        <f t="shared" si="2"/>
        <v>23850</v>
      </c>
      <c r="U35" s="74">
        <f t="shared" si="3"/>
        <v>23850</v>
      </c>
      <c r="V35" s="73">
        <f t="shared" si="4"/>
        <v>11400</v>
      </c>
      <c r="W35" s="74">
        <f t="shared" si="5"/>
        <v>23850</v>
      </c>
      <c r="X35" s="74">
        <f t="shared" si="6"/>
        <v>23850</v>
      </c>
      <c r="Y35" s="74">
        <f t="shared" si="7"/>
        <v>23850</v>
      </c>
      <c r="Z35" s="72">
        <f t="shared" si="8"/>
        <v>1</v>
      </c>
      <c r="AA35" s="72">
        <f t="shared" si="8"/>
        <v>1</v>
      </c>
      <c r="AB35" s="72">
        <f t="shared" si="8"/>
        <v>1</v>
      </c>
      <c r="AC35" s="72">
        <f t="shared" si="8"/>
        <v>1</v>
      </c>
    </row>
    <row r="36" spans="1:29" s="10" customFormat="1" ht="44.25" customHeight="1">
      <c r="A36" s="15">
        <v>4</v>
      </c>
      <c r="B36" s="18" t="s">
        <v>186</v>
      </c>
      <c r="C36" s="17">
        <v>23</v>
      </c>
      <c r="D36" s="17">
        <v>46</v>
      </c>
      <c r="E36" s="17">
        <v>46</v>
      </c>
      <c r="F36" s="17">
        <v>46</v>
      </c>
      <c r="G36" s="17">
        <v>0.05</v>
      </c>
      <c r="H36" s="17">
        <v>0.05</v>
      </c>
      <c r="I36" s="17">
        <v>3</v>
      </c>
      <c r="J36" s="168" t="s">
        <v>906</v>
      </c>
      <c r="K36" s="15">
        <v>3</v>
      </c>
      <c r="L36" s="168" t="s">
        <v>906</v>
      </c>
      <c r="M36" s="15">
        <v>3</v>
      </c>
      <c r="N36" s="168" t="s">
        <v>906</v>
      </c>
      <c r="O36" s="15">
        <v>3</v>
      </c>
      <c r="P36" s="168" t="s">
        <v>906</v>
      </c>
      <c r="Q36" s="15">
        <v>30</v>
      </c>
      <c r="R36" s="73">
        <f t="shared" si="0"/>
        <v>103.5</v>
      </c>
      <c r="S36" s="74">
        <f t="shared" si="1"/>
        <v>207</v>
      </c>
      <c r="T36" s="74">
        <f t="shared" si="2"/>
        <v>207</v>
      </c>
      <c r="U36" s="74">
        <f t="shared" si="3"/>
        <v>207</v>
      </c>
      <c r="V36" s="73">
        <f t="shared" si="4"/>
        <v>103.5</v>
      </c>
      <c r="W36" s="74">
        <f t="shared" si="5"/>
        <v>207</v>
      </c>
      <c r="X36" s="74">
        <f t="shared" si="6"/>
        <v>207</v>
      </c>
      <c r="Y36" s="74">
        <f t="shared" si="7"/>
        <v>207</v>
      </c>
      <c r="Z36" s="72">
        <f t="shared" si="8"/>
        <v>1</v>
      </c>
      <c r="AA36" s="72">
        <f t="shared" si="8"/>
        <v>1</v>
      </c>
      <c r="AB36" s="72">
        <f t="shared" si="8"/>
        <v>1</v>
      </c>
      <c r="AC36" s="72">
        <f t="shared" si="8"/>
        <v>1</v>
      </c>
    </row>
    <row r="37" spans="1:29" s="10" customFormat="1" ht="44.25" customHeight="1">
      <c r="A37" s="15">
        <v>5</v>
      </c>
      <c r="B37" s="18" t="s">
        <v>187</v>
      </c>
      <c r="C37" s="17">
        <v>15</v>
      </c>
      <c r="D37" s="17">
        <v>24</v>
      </c>
      <c r="E37" s="17">
        <v>24</v>
      </c>
      <c r="F37" s="17">
        <v>24</v>
      </c>
      <c r="G37" s="17">
        <v>0.08</v>
      </c>
      <c r="H37" s="17">
        <v>0.08</v>
      </c>
      <c r="I37" s="17">
        <v>3</v>
      </c>
      <c r="J37" s="168" t="s">
        <v>906</v>
      </c>
      <c r="K37" s="15">
        <v>3</v>
      </c>
      <c r="L37" s="168" t="s">
        <v>906</v>
      </c>
      <c r="M37" s="15">
        <v>3</v>
      </c>
      <c r="N37" s="168" t="s">
        <v>906</v>
      </c>
      <c r="O37" s="15">
        <v>3</v>
      </c>
      <c r="P37" s="168" t="s">
        <v>906</v>
      </c>
      <c r="Q37" s="15">
        <v>30</v>
      </c>
      <c r="R37" s="73">
        <f t="shared" si="0"/>
        <v>107.99999999999999</v>
      </c>
      <c r="S37" s="74">
        <f t="shared" si="1"/>
        <v>172.79999999999998</v>
      </c>
      <c r="T37" s="74">
        <f t="shared" si="2"/>
        <v>172.79999999999998</v>
      </c>
      <c r="U37" s="74">
        <f t="shared" si="3"/>
        <v>172.79999999999998</v>
      </c>
      <c r="V37" s="73">
        <f t="shared" si="4"/>
        <v>107.99999999999999</v>
      </c>
      <c r="W37" s="74">
        <f t="shared" si="5"/>
        <v>172.79999999999998</v>
      </c>
      <c r="X37" s="74">
        <f t="shared" si="6"/>
        <v>172.79999999999998</v>
      </c>
      <c r="Y37" s="74">
        <f t="shared" si="7"/>
        <v>172.79999999999998</v>
      </c>
      <c r="Z37" s="72">
        <f t="shared" si="8"/>
        <v>1</v>
      </c>
      <c r="AA37" s="72">
        <f t="shared" si="8"/>
        <v>1</v>
      </c>
      <c r="AB37" s="72">
        <f t="shared" si="8"/>
        <v>1</v>
      </c>
      <c r="AC37" s="72">
        <f t="shared" si="8"/>
        <v>1</v>
      </c>
    </row>
    <row r="38" spans="1:29" s="10" customFormat="1" ht="44.25" customHeight="1">
      <c r="A38" s="15">
        <v>6</v>
      </c>
      <c r="B38" s="18" t="s">
        <v>188</v>
      </c>
      <c r="C38" s="17">
        <v>15</v>
      </c>
      <c r="D38" s="17">
        <v>24</v>
      </c>
      <c r="E38" s="17">
        <v>24</v>
      </c>
      <c r="F38" s="17">
        <v>24</v>
      </c>
      <c r="G38" s="17">
        <v>3</v>
      </c>
      <c r="H38" s="17">
        <v>3</v>
      </c>
      <c r="I38" s="17">
        <v>3</v>
      </c>
      <c r="J38" s="168" t="s">
        <v>906</v>
      </c>
      <c r="K38" s="15">
        <v>3</v>
      </c>
      <c r="L38" s="168" t="s">
        <v>906</v>
      </c>
      <c r="M38" s="15">
        <v>3</v>
      </c>
      <c r="N38" s="168" t="s">
        <v>906</v>
      </c>
      <c r="O38" s="15">
        <v>3</v>
      </c>
      <c r="P38" s="168" t="s">
        <v>906</v>
      </c>
      <c r="Q38" s="15">
        <v>30</v>
      </c>
      <c r="R38" s="73">
        <f t="shared" si="0"/>
        <v>4050</v>
      </c>
      <c r="S38" s="74">
        <f t="shared" si="1"/>
        <v>6480</v>
      </c>
      <c r="T38" s="74">
        <f t="shared" si="2"/>
        <v>6480</v>
      </c>
      <c r="U38" s="74">
        <f t="shared" si="3"/>
        <v>6480</v>
      </c>
      <c r="V38" s="73">
        <f t="shared" si="4"/>
        <v>4050</v>
      </c>
      <c r="W38" s="74">
        <f t="shared" si="5"/>
        <v>6480</v>
      </c>
      <c r="X38" s="74">
        <f t="shared" si="6"/>
        <v>6480</v>
      </c>
      <c r="Y38" s="74">
        <f t="shared" si="7"/>
        <v>6480</v>
      </c>
      <c r="Z38" s="72">
        <f t="shared" si="8"/>
        <v>1</v>
      </c>
      <c r="AA38" s="72">
        <f t="shared" si="8"/>
        <v>1</v>
      </c>
      <c r="AB38" s="72">
        <f t="shared" si="8"/>
        <v>1</v>
      </c>
      <c r="AC38" s="72">
        <f t="shared" si="8"/>
        <v>1</v>
      </c>
    </row>
    <row r="39" spans="1:29" s="10" customFormat="1" ht="44.25" customHeight="1">
      <c r="A39" s="15">
        <v>8</v>
      </c>
      <c r="B39" s="18" t="s">
        <v>190</v>
      </c>
      <c r="C39" s="17">
        <v>2</v>
      </c>
      <c r="D39" s="17">
        <v>2</v>
      </c>
      <c r="E39" s="17">
        <v>2</v>
      </c>
      <c r="F39" s="17">
        <v>2</v>
      </c>
      <c r="G39" s="17">
        <v>3</v>
      </c>
      <c r="H39" s="17">
        <v>3</v>
      </c>
      <c r="I39" s="17">
        <v>6</v>
      </c>
      <c r="J39" s="168" t="s">
        <v>908</v>
      </c>
      <c r="K39" s="15">
        <v>6</v>
      </c>
      <c r="L39" s="168" t="s">
        <v>908</v>
      </c>
      <c r="M39" s="15">
        <v>6</v>
      </c>
      <c r="N39" s="168" t="s">
        <v>908</v>
      </c>
      <c r="O39" s="15">
        <v>6</v>
      </c>
      <c r="P39" s="168" t="s">
        <v>908</v>
      </c>
      <c r="Q39" s="15">
        <v>30</v>
      </c>
      <c r="R39" s="73">
        <f t="shared" si="0"/>
        <v>1080</v>
      </c>
      <c r="S39" s="74">
        <f t="shared" si="1"/>
        <v>1080</v>
      </c>
      <c r="T39" s="74">
        <f t="shared" si="2"/>
        <v>1080</v>
      </c>
      <c r="U39" s="74">
        <f t="shared" si="3"/>
        <v>1080</v>
      </c>
      <c r="V39" s="73">
        <f t="shared" si="4"/>
        <v>1080</v>
      </c>
      <c r="W39" s="74">
        <f t="shared" si="5"/>
        <v>1080</v>
      </c>
      <c r="X39" s="74">
        <f t="shared" si="6"/>
        <v>1080</v>
      </c>
      <c r="Y39" s="74">
        <f t="shared" si="7"/>
        <v>1080</v>
      </c>
      <c r="Z39" s="72">
        <f t="shared" si="8"/>
        <v>1</v>
      </c>
      <c r="AA39" s="72">
        <f t="shared" si="8"/>
        <v>1</v>
      </c>
      <c r="AB39" s="72">
        <f t="shared" si="8"/>
        <v>1</v>
      </c>
      <c r="AC39" s="72">
        <f t="shared" si="8"/>
        <v>1</v>
      </c>
    </row>
    <row r="40" spans="1:29" s="10" customFormat="1" ht="44.25" customHeight="1">
      <c r="A40" s="15">
        <v>9</v>
      </c>
      <c r="B40" s="18" t="s">
        <v>915</v>
      </c>
      <c r="C40" s="17">
        <v>1</v>
      </c>
      <c r="D40" s="17">
        <v>1</v>
      </c>
      <c r="E40" s="17">
        <v>1</v>
      </c>
      <c r="F40" s="17">
        <v>1</v>
      </c>
      <c r="G40" s="17">
        <v>0.75</v>
      </c>
      <c r="H40" s="17">
        <v>0.75</v>
      </c>
      <c r="I40" s="17">
        <v>20</v>
      </c>
      <c r="J40" s="168" t="s">
        <v>909</v>
      </c>
      <c r="K40" s="15">
        <v>20</v>
      </c>
      <c r="L40" s="168" t="s">
        <v>909</v>
      </c>
      <c r="M40" s="15">
        <v>20</v>
      </c>
      <c r="N40" s="168" t="s">
        <v>909</v>
      </c>
      <c r="O40" s="15">
        <v>20</v>
      </c>
      <c r="P40" s="168" t="s">
        <v>909</v>
      </c>
      <c r="Q40" s="15">
        <v>30</v>
      </c>
      <c r="R40" s="73">
        <f t="shared" si="0"/>
        <v>450</v>
      </c>
      <c r="S40" s="74">
        <f t="shared" si="1"/>
        <v>450</v>
      </c>
      <c r="T40" s="74">
        <f t="shared" si="2"/>
        <v>450</v>
      </c>
      <c r="U40" s="74">
        <f t="shared" si="3"/>
        <v>450</v>
      </c>
      <c r="V40" s="73">
        <f t="shared" si="4"/>
        <v>450</v>
      </c>
      <c r="W40" s="74">
        <f t="shared" si="5"/>
        <v>450</v>
      </c>
      <c r="X40" s="74">
        <f t="shared" si="6"/>
        <v>450</v>
      </c>
      <c r="Y40" s="74">
        <f t="shared" si="7"/>
        <v>450</v>
      </c>
      <c r="Z40" s="72">
        <f t="shared" si="8"/>
        <v>1</v>
      </c>
      <c r="AA40" s="72">
        <f t="shared" si="8"/>
        <v>1</v>
      </c>
      <c r="AB40" s="72">
        <f t="shared" si="8"/>
        <v>1</v>
      </c>
      <c r="AC40" s="72">
        <f t="shared" si="8"/>
        <v>1</v>
      </c>
    </row>
    <row r="41" spans="1:29" s="10" customFormat="1" ht="44.25" customHeight="1">
      <c r="A41" s="15">
        <v>12</v>
      </c>
      <c r="B41" s="18" t="s">
        <v>194</v>
      </c>
      <c r="C41" s="17">
        <v>2</v>
      </c>
      <c r="D41" s="17">
        <v>2</v>
      </c>
      <c r="E41" s="17">
        <v>2</v>
      </c>
      <c r="F41" s="17">
        <v>2</v>
      </c>
      <c r="G41" s="17">
        <v>13.4</v>
      </c>
      <c r="H41" s="17">
        <v>13.4</v>
      </c>
      <c r="I41" s="17">
        <v>12</v>
      </c>
      <c r="J41" s="168" t="s">
        <v>910</v>
      </c>
      <c r="K41" s="15">
        <v>12</v>
      </c>
      <c r="L41" s="168" t="s">
        <v>910</v>
      </c>
      <c r="M41" s="15">
        <v>12</v>
      </c>
      <c r="N41" s="168" t="s">
        <v>910</v>
      </c>
      <c r="O41" s="15">
        <v>12</v>
      </c>
      <c r="P41" s="168" t="s">
        <v>910</v>
      </c>
      <c r="Q41" s="15">
        <v>30</v>
      </c>
      <c r="R41" s="73">
        <f t="shared" si="0"/>
        <v>9648</v>
      </c>
      <c r="S41" s="74">
        <f t="shared" si="1"/>
        <v>9648</v>
      </c>
      <c r="T41" s="74">
        <f t="shared" si="2"/>
        <v>9648</v>
      </c>
      <c r="U41" s="74">
        <f t="shared" si="3"/>
        <v>9648</v>
      </c>
      <c r="V41" s="73">
        <f t="shared" si="4"/>
        <v>9648</v>
      </c>
      <c r="W41" s="74">
        <f t="shared" si="5"/>
        <v>9648</v>
      </c>
      <c r="X41" s="74">
        <f t="shared" si="6"/>
        <v>9648</v>
      </c>
      <c r="Y41" s="74">
        <f t="shared" si="7"/>
        <v>9648</v>
      </c>
      <c r="Z41" s="72">
        <f t="shared" si="8"/>
        <v>1</v>
      </c>
      <c r="AA41" s="72">
        <f t="shared" si="8"/>
        <v>1</v>
      </c>
      <c r="AB41" s="72">
        <f t="shared" si="8"/>
        <v>1</v>
      </c>
      <c r="AC41" s="72">
        <f t="shared" si="8"/>
        <v>1</v>
      </c>
    </row>
    <row r="42" spans="1:29" s="10" customFormat="1" ht="44.25" customHeight="1">
      <c r="A42" s="15">
        <v>13</v>
      </c>
      <c r="B42" s="18" t="s">
        <v>195</v>
      </c>
      <c r="C42" s="17">
        <v>275</v>
      </c>
      <c r="D42" s="17">
        <v>550</v>
      </c>
      <c r="E42" s="17">
        <v>898</v>
      </c>
      <c r="F42" s="17">
        <v>898</v>
      </c>
      <c r="G42" s="17">
        <v>3.5999999999999997E-2</v>
      </c>
      <c r="H42" s="17">
        <v>3.5999999999999997E-2</v>
      </c>
      <c r="I42" s="17">
        <v>5</v>
      </c>
      <c r="J42" s="168" t="s">
        <v>912</v>
      </c>
      <c r="K42" s="15">
        <v>5</v>
      </c>
      <c r="L42" s="168" t="s">
        <v>912</v>
      </c>
      <c r="M42" s="15">
        <v>5</v>
      </c>
      <c r="N42" s="168" t="s">
        <v>912</v>
      </c>
      <c r="O42" s="15">
        <v>5</v>
      </c>
      <c r="P42" s="168" t="s">
        <v>912</v>
      </c>
      <c r="Q42" s="15">
        <v>30</v>
      </c>
      <c r="R42" s="73">
        <f t="shared" si="0"/>
        <v>1484.9999999999998</v>
      </c>
      <c r="S42" s="74">
        <f t="shared" si="1"/>
        <v>2969.9999999999995</v>
      </c>
      <c r="T42" s="74">
        <f t="shared" si="2"/>
        <v>4849.2</v>
      </c>
      <c r="U42" s="74">
        <f t="shared" si="3"/>
        <v>4849.2</v>
      </c>
      <c r="V42" s="73">
        <f t="shared" si="4"/>
        <v>1484.9999999999998</v>
      </c>
      <c r="W42" s="74">
        <f t="shared" si="5"/>
        <v>2969.9999999999995</v>
      </c>
      <c r="X42" s="74">
        <f t="shared" si="6"/>
        <v>4849.2</v>
      </c>
      <c r="Y42" s="74">
        <f t="shared" si="7"/>
        <v>4849.2</v>
      </c>
      <c r="Z42" s="72">
        <f t="shared" si="8"/>
        <v>1</v>
      </c>
      <c r="AA42" s="72">
        <f t="shared" si="8"/>
        <v>1</v>
      </c>
      <c r="AB42" s="72">
        <f t="shared" si="8"/>
        <v>1</v>
      </c>
      <c r="AC42" s="72">
        <f t="shared" si="8"/>
        <v>1</v>
      </c>
    </row>
    <row r="43" spans="1:29" s="10" customFormat="1" ht="44.25" customHeight="1">
      <c r="A43" s="15">
        <v>14</v>
      </c>
      <c r="B43" s="18" t="s">
        <v>196</v>
      </c>
      <c r="C43" s="17">
        <v>82</v>
      </c>
      <c r="D43" s="17">
        <v>164</v>
      </c>
      <c r="E43" s="17">
        <v>288</v>
      </c>
      <c r="F43" s="17">
        <v>288</v>
      </c>
      <c r="G43" s="17">
        <v>1.7999999999999999E-2</v>
      </c>
      <c r="H43" s="17">
        <v>1.7999999999999999E-2</v>
      </c>
      <c r="I43" s="17">
        <v>5</v>
      </c>
      <c r="J43" s="168" t="s">
        <v>912</v>
      </c>
      <c r="K43" s="15">
        <v>5</v>
      </c>
      <c r="L43" s="168" t="s">
        <v>912</v>
      </c>
      <c r="M43" s="15">
        <v>5</v>
      </c>
      <c r="N43" s="168" t="s">
        <v>912</v>
      </c>
      <c r="O43" s="15">
        <v>5</v>
      </c>
      <c r="P43" s="168" t="s">
        <v>912</v>
      </c>
      <c r="Q43" s="15">
        <v>30</v>
      </c>
      <c r="R43" s="73">
        <f t="shared" si="0"/>
        <v>221.4</v>
      </c>
      <c r="S43" s="74">
        <f t="shared" si="1"/>
        <v>442.8</v>
      </c>
      <c r="T43" s="74">
        <f t="shared" si="2"/>
        <v>777.5999999999998</v>
      </c>
      <c r="U43" s="74">
        <f t="shared" si="3"/>
        <v>777.5999999999998</v>
      </c>
      <c r="V43" s="73">
        <f t="shared" si="4"/>
        <v>221.4</v>
      </c>
      <c r="W43" s="74">
        <f t="shared" si="5"/>
        <v>442.8</v>
      </c>
      <c r="X43" s="74">
        <f t="shared" si="6"/>
        <v>777.5999999999998</v>
      </c>
      <c r="Y43" s="74">
        <f t="shared" si="7"/>
        <v>777.5999999999998</v>
      </c>
      <c r="Z43" s="72">
        <f t="shared" si="8"/>
        <v>1</v>
      </c>
      <c r="AA43" s="72">
        <f t="shared" si="8"/>
        <v>1</v>
      </c>
      <c r="AB43" s="72">
        <f t="shared" si="8"/>
        <v>1</v>
      </c>
      <c r="AC43" s="72">
        <f t="shared" si="8"/>
        <v>1</v>
      </c>
    </row>
    <row r="44" spans="1:29" s="10" customFormat="1" ht="44.25" customHeight="1">
      <c r="A44" s="15">
        <v>15</v>
      </c>
      <c r="B44" s="18" t="s">
        <v>549</v>
      </c>
      <c r="C44" s="17">
        <v>138</v>
      </c>
      <c r="D44" s="17">
        <v>276</v>
      </c>
      <c r="E44" s="17">
        <v>396</v>
      </c>
      <c r="F44" s="17">
        <v>396</v>
      </c>
      <c r="G44" s="17">
        <v>8.9999999999999993E-3</v>
      </c>
      <c r="H44" s="17">
        <v>8.9999999999999993E-3</v>
      </c>
      <c r="I44" s="17">
        <v>5</v>
      </c>
      <c r="J44" s="168" t="s">
        <v>912</v>
      </c>
      <c r="K44" s="15">
        <v>5</v>
      </c>
      <c r="L44" s="168" t="s">
        <v>912</v>
      </c>
      <c r="M44" s="15">
        <v>5</v>
      </c>
      <c r="N44" s="168" t="s">
        <v>912</v>
      </c>
      <c r="O44" s="15">
        <v>5</v>
      </c>
      <c r="P44" s="168" t="s">
        <v>912</v>
      </c>
      <c r="Q44" s="15">
        <v>30</v>
      </c>
      <c r="R44" s="73">
        <f t="shared" si="0"/>
        <v>186.3</v>
      </c>
      <c r="S44" s="74">
        <f t="shared" si="1"/>
        <v>372.6</v>
      </c>
      <c r="T44" s="74">
        <f t="shared" si="2"/>
        <v>534.59999999999991</v>
      </c>
      <c r="U44" s="74">
        <f t="shared" si="3"/>
        <v>534.59999999999991</v>
      </c>
      <c r="V44" s="73">
        <f t="shared" si="4"/>
        <v>186.3</v>
      </c>
      <c r="W44" s="74">
        <f t="shared" si="5"/>
        <v>372.6</v>
      </c>
      <c r="X44" s="74">
        <f t="shared" si="6"/>
        <v>534.59999999999991</v>
      </c>
      <c r="Y44" s="74">
        <f t="shared" si="7"/>
        <v>534.59999999999991</v>
      </c>
      <c r="Z44" s="72">
        <f t="shared" si="8"/>
        <v>1</v>
      </c>
      <c r="AA44" s="72">
        <f t="shared" si="8"/>
        <v>1</v>
      </c>
      <c r="AB44" s="72">
        <f t="shared" si="8"/>
        <v>1</v>
      </c>
      <c r="AC44" s="72">
        <f t="shared" si="8"/>
        <v>1</v>
      </c>
    </row>
    <row r="45" spans="1:29" s="10" customFormat="1" ht="44.25" customHeight="1">
      <c r="A45" s="15">
        <v>16</v>
      </c>
      <c r="B45" s="18" t="s">
        <v>198</v>
      </c>
      <c r="C45" s="17">
        <v>178</v>
      </c>
      <c r="D45" s="17">
        <v>361</v>
      </c>
      <c r="E45" s="17">
        <v>661</v>
      </c>
      <c r="F45" s="17">
        <v>661</v>
      </c>
      <c r="G45" s="17">
        <v>8.9999999999999993E-3</v>
      </c>
      <c r="H45" s="17">
        <v>8.9999999999999993E-3</v>
      </c>
      <c r="I45" s="17">
        <v>5</v>
      </c>
      <c r="J45" s="168" t="s">
        <v>912</v>
      </c>
      <c r="K45" s="15">
        <v>5</v>
      </c>
      <c r="L45" s="168" t="s">
        <v>912</v>
      </c>
      <c r="M45" s="15">
        <v>5</v>
      </c>
      <c r="N45" s="168" t="s">
        <v>912</v>
      </c>
      <c r="O45" s="15">
        <v>5</v>
      </c>
      <c r="P45" s="168" t="s">
        <v>912</v>
      </c>
      <c r="Q45" s="15">
        <v>30</v>
      </c>
      <c r="R45" s="73">
        <f t="shared" si="0"/>
        <v>240.29999999999998</v>
      </c>
      <c r="S45" s="74">
        <f t="shared" si="1"/>
        <v>487.34999999999991</v>
      </c>
      <c r="T45" s="74">
        <f t="shared" si="2"/>
        <v>892.34999999999991</v>
      </c>
      <c r="U45" s="74">
        <f t="shared" si="3"/>
        <v>892.34999999999991</v>
      </c>
      <c r="V45" s="73">
        <f t="shared" si="4"/>
        <v>240.29999999999998</v>
      </c>
      <c r="W45" s="74">
        <f t="shared" si="5"/>
        <v>487.34999999999991</v>
      </c>
      <c r="X45" s="74">
        <f t="shared" si="6"/>
        <v>892.34999999999991</v>
      </c>
      <c r="Y45" s="74">
        <f t="shared" si="7"/>
        <v>892.34999999999991</v>
      </c>
      <c r="Z45" s="72">
        <f t="shared" si="8"/>
        <v>1</v>
      </c>
      <c r="AA45" s="72">
        <f t="shared" si="8"/>
        <v>1</v>
      </c>
      <c r="AB45" s="72">
        <f t="shared" si="8"/>
        <v>1</v>
      </c>
      <c r="AC45" s="72">
        <f t="shared" si="8"/>
        <v>1</v>
      </c>
    </row>
    <row r="46" spans="1:29" s="10" customFormat="1">
      <c r="A46" s="15"/>
      <c r="B46" s="18"/>
      <c r="C46" s="17"/>
      <c r="D46" s="17"/>
      <c r="E46" s="17"/>
      <c r="F46" s="17"/>
      <c r="G46" s="17"/>
      <c r="H46" s="17"/>
      <c r="I46" s="17"/>
      <c r="J46" s="168"/>
      <c r="K46" s="15"/>
      <c r="L46" s="168"/>
      <c r="M46" s="15"/>
      <c r="N46" s="168"/>
      <c r="O46" s="15"/>
      <c r="P46" s="168"/>
      <c r="Q46" s="15"/>
      <c r="R46" s="73"/>
      <c r="S46" s="74"/>
      <c r="T46" s="74"/>
      <c r="U46" s="74"/>
      <c r="V46" s="73"/>
      <c r="W46" s="74"/>
      <c r="X46" s="74"/>
      <c r="Y46" s="74"/>
      <c r="Z46" s="72"/>
      <c r="AA46" s="72"/>
      <c r="AB46" s="72"/>
      <c r="AC46" s="72"/>
    </row>
    <row r="47" spans="1:29" s="10" customFormat="1" ht="28.5" customHeight="1">
      <c r="A47" s="319" t="s">
        <v>39</v>
      </c>
      <c r="B47" s="51" t="s">
        <v>916</v>
      </c>
      <c r="C47" s="15"/>
      <c r="D47" s="17"/>
      <c r="E47" s="17"/>
      <c r="F47" s="17"/>
      <c r="G47" s="18"/>
      <c r="H47" s="18"/>
      <c r="I47" s="320"/>
      <c r="J47" s="79"/>
      <c r="K47" s="79"/>
      <c r="L47" s="79"/>
      <c r="M47" s="79"/>
      <c r="N47" s="79"/>
      <c r="O47" s="79"/>
      <c r="P47" s="79"/>
      <c r="Q47" s="15"/>
      <c r="R47" s="73">
        <f t="shared" si="0"/>
        <v>0</v>
      </c>
      <c r="S47" s="74">
        <f t="shared" si="1"/>
        <v>0</v>
      </c>
      <c r="T47" s="74">
        <f t="shared" si="2"/>
        <v>0</v>
      </c>
      <c r="U47" s="74">
        <f t="shared" si="3"/>
        <v>0</v>
      </c>
      <c r="V47" s="73">
        <f t="shared" si="4"/>
        <v>0</v>
      </c>
      <c r="W47" s="74">
        <f t="shared" si="5"/>
        <v>0</v>
      </c>
      <c r="X47" s="74">
        <f t="shared" si="6"/>
        <v>0</v>
      </c>
      <c r="Y47" s="74">
        <f t="shared" si="7"/>
        <v>0</v>
      </c>
      <c r="Z47" s="72" t="e">
        <f t="shared" si="8"/>
        <v>#DIV/0!</v>
      </c>
      <c r="AA47" s="72" t="e">
        <f t="shared" si="8"/>
        <v>#DIV/0!</v>
      </c>
      <c r="AB47" s="72" t="e">
        <f t="shared" si="8"/>
        <v>#DIV/0!</v>
      </c>
      <c r="AC47" s="72" t="e">
        <f t="shared" si="8"/>
        <v>#DIV/0!</v>
      </c>
    </row>
    <row r="48" spans="1:29" s="10" customFormat="1" ht="45">
      <c r="A48" s="15">
        <v>1</v>
      </c>
      <c r="B48" s="79" t="s">
        <v>183</v>
      </c>
      <c r="C48" s="17">
        <v>0</v>
      </c>
      <c r="D48" s="17">
        <v>57</v>
      </c>
      <c r="E48" s="17">
        <v>152</v>
      </c>
      <c r="F48" s="17">
        <v>152</v>
      </c>
      <c r="G48" s="17">
        <v>1.1000000000000001</v>
      </c>
      <c r="H48" s="17">
        <v>1.1000000000000001</v>
      </c>
      <c r="I48" s="17">
        <v>0</v>
      </c>
      <c r="J48" s="168" t="s">
        <v>903</v>
      </c>
      <c r="K48" s="15">
        <v>4</v>
      </c>
      <c r="L48" s="168" t="s">
        <v>903</v>
      </c>
      <c r="M48" s="15">
        <v>4</v>
      </c>
      <c r="N48" s="168" t="s">
        <v>903</v>
      </c>
      <c r="O48" s="15">
        <v>4</v>
      </c>
      <c r="P48" s="168" t="s">
        <v>903</v>
      </c>
      <c r="Q48" s="15">
        <v>30</v>
      </c>
      <c r="R48" s="73"/>
      <c r="S48" s="74"/>
      <c r="T48" s="74"/>
      <c r="U48" s="74"/>
      <c r="V48" s="73"/>
      <c r="W48" s="74"/>
      <c r="X48" s="74"/>
      <c r="Y48" s="74"/>
      <c r="Z48" s="72"/>
      <c r="AA48" s="72"/>
      <c r="AB48" s="72"/>
      <c r="AC48" s="72"/>
    </row>
    <row r="49" spans="1:29" s="10" customFormat="1" ht="30" customHeight="1">
      <c r="A49" s="15">
        <v>2</v>
      </c>
      <c r="B49" s="79" t="s">
        <v>550</v>
      </c>
      <c r="C49" s="17">
        <v>0</v>
      </c>
      <c r="D49" s="17">
        <v>57</v>
      </c>
      <c r="E49" s="17">
        <v>152</v>
      </c>
      <c r="F49" s="17">
        <v>152</v>
      </c>
      <c r="G49" s="17">
        <v>0.05</v>
      </c>
      <c r="H49" s="17">
        <v>0.05</v>
      </c>
      <c r="I49" s="17">
        <v>0</v>
      </c>
      <c r="J49" s="168" t="s">
        <v>904</v>
      </c>
      <c r="K49" s="15">
        <v>4</v>
      </c>
      <c r="L49" s="168" t="s">
        <v>904</v>
      </c>
      <c r="M49" s="15">
        <v>4</v>
      </c>
      <c r="N49" s="168" t="s">
        <v>904</v>
      </c>
      <c r="O49" s="15">
        <v>4</v>
      </c>
      <c r="P49" s="168" t="s">
        <v>904</v>
      </c>
      <c r="Q49" s="15">
        <v>30</v>
      </c>
      <c r="R49" s="73"/>
      <c r="S49" s="74"/>
      <c r="T49" s="74"/>
      <c r="U49" s="74"/>
      <c r="V49" s="73"/>
      <c r="W49" s="74"/>
      <c r="X49" s="74"/>
      <c r="Y49" s="74"/>
      <c r="Z49" s="72"/>
      <c r="AA49" s="72"/>
      <c r="AB49" s="72"/>
      <c r="AC49" s="72"/>
    </row>
    <row r="50" spans="1:29" s="10" customFormat="1" ht="30" customHeight="1">
      <c r="A50" s="15">
        <v>3</v>
      </c>
      <c r="B50" s="79" t="s">
        <v>185</v>
      </c>
      <c r="C50" s="17">
        <v>0</v>
      </c>
      <c r="D50" s="17">
        <v>57</v>
      </c>
      <c r="E50" s="17">
        <v>152</v>
      </c>
      <c r="F50" s="17">
        <v>152</v>
      </c>
      <c r="G50" s="17">
        <v>2.5</v>
      </c>
      <c r="H50" s="17">
        <v>2.5</v>
      </c>
      <c r="I50" s="17">
        <v>0</v>
      </c>
      <c r="J50" s="168" t="s">
        <v>905</v>
      </c>
      <c r="K50" s="15">
        <v>2</v>
      </c>
      <c r="L50" s="168" t="s">
        <v>905</v>
      </c>
      <c r="M50" s="15">
        <v>2</v>
      </c>
      <c r="N50" s="168" t="s">
        <v>905</v>
      </c>
      <c r="O50" s="15">
        <v>2</v>
      </c>
      <c r="P50" s="168" t="s">
        <v>905</v>
      </c>
      <c r="Q50" s="15">
        <v>30</v>
      </c>
      <c r="R50" s="73"/>
      <c r="S50" s="74"/>
      <c r="T50" s="74"/>
      <c r="U50" s="74"/>
      <c r="V50" s="73"/>
      <c r="W50" s="74"/>
      <c r="X50" s="74"/>
      <c r="Y50" s="74"/>
      <c r="Z50" s="72"/>
      <c r="AA50" s="72"/>
      <c r="AB50" s="72"/>
      <c r="AC50" s="72"/>
    </row>
    <row r="51" spans="1:29" s="10" customFormat="1" ht="30" customHeight="1">
      <c r="A51" s="15">
        <v>4</v>
      </c>
      <c r="B51" s="79" t="s">
        <v>187</v>
      </c>
      <c r="C51" s="17">
        <v>0</v>
      </c>
      <c r="D51" s="17">
        <v>12</v>
      </c>
      <c r="E51" s="17">
        <v>38</v>
      </c>
      <c r="F51" s="17">
        <v>38</v>
      </c>
      <c r="G51" s="17">
        <v>0.08</v>
      </c>
      <c r="H51" s="17">
        <v>0.08</v>
      </c>
      <c r="I51" s="17">
        <v>0</v>
      </c>
      <c r="J51" s="168" t="s">
        <v>906</v>
      </c>
      <c r="K51" s="15">
        <v>3</v>
      </c>
      <c r="L51" s="168" t="s">
        <v>906</v>
      </c>
      <c r="M51" s="15">
        <v>3</v>
      </c>
      <c r="N51" s="168" t="s">
        <v>906</v>
      </c>
      <c r="O51" s="15">
        <v>3</v>
      </c>
      <c r="P51" s="168" t="s">
        <v>906</v>
      </c>
      <c r="Q51" s="15">
        <v>30</v>
      </c>
      <c r="R51" s="73"/>
      <c r="S51" s="74"/>
      <c r="T51" s="74"/>
      <c r="U51" s="74"/>
      <c r="V51" s="73"/>
      <c r="W51" s="74"/>
      <c r="X51" s="74"/>
      <c r="Y51" s="74"/>
      <c r="Z51" s="72"/>
      <c r="AA51" s="72"/>
      <c r="AB51" s="72"/>
      <c r="AC51" s="72"/>
    </row>
    <row r="52" spans="1:29" s="10" customFormat="1" ht="30" customHeight="1">
      <c r="A52" s="15">
        <v>5</v>
      </c>
      <c r="B52" s="79" t="s">
        <v>917</v>
      </c>
      <c r="C52" s="17">
        <v>0</v>
      </c>
      <c r="D52" s="17">
        <v>9</v>
      </c>
      <c r="E52" s="17">
        <v>23</v>
      </c>
      <c r="F52" s="17">
        <v>23</v>
      </c>
      <c r="G52" s="17">
        <v>3</v>
      </c>
      <c r="H52" s="17">
        <v>3</v>
      </c>
      <c r="I52" s="17">
        <v>0</v>
      </c>
      <c r="J52" s="168" t="s">
        <v>906</v>
      </c>
      <c r="K52" s="15">
        <v>3</v>
      </c>
      <c r="L52" s="168" t="s">
        <v>906</v>
      </c>
      <c r="M52" s="15">
        <v>3</v>
      </c>
      <c r="N52" s="168" t="s">
        <v>906</v>
      </c>
      <c r="O52" s="15">
        <v>3</v>
      </c>
      <c r="P52" s="168" t="s">
        <v>906</v>
      </c>
      <c r="Q52" s="15">
        <v>30</v>
      </c>
      <c r="R52" s="73"/>
      <c r="S52" s="74"/>
      <c r="T52" s="74"/>
      <c r="U52" s="74"/>
      <c r="V52" s="73"/>
      <c r="W52" s="74"/>
      <c r="X52" s="74"/>
      <c r="Y52" s="74"/>
      <c r="Z52" s="72"/>
      <c r="AA52" s="72"/>
      <c r="AB52" s="72"/>
      <c r="AC52" s="72"/>
    </row>
    <row r="53" spans="1:29" s="10" customFormat="1" ht="30" customHeight="1">
      <c r="A53" s="15">
        <v>6</v>
      </c>
      <c r="B53" s="79" t="s">
        <v>190</v>
      </c>
      <c r="C53" s="17">
        <v>1</v>
      </c>
      <c r="D53" s="17">
        <v>1</v>
      </c>
      <c r="E53" s="17">
        <v>1</v>
      </c>
      <c r="F53" s="17">
        <v>1</v>
      </c>
      <c r="G53" s="17">
        <v>3</v>
      </c>
      <c r="H53" s="17">
        <v>3</v>
      </c>
      <c r="I53" s="17">
        <v>6</v>
      </c>
      <c r="J53" s="168" t="s">
        <v>908</v>
      </c>
      <c r="K53" s="15">
        <v>6</v>
      </c>
      <c r="L53" s="168" t="s">
        <v>908</v>
      </c>
      <c r="M53" s="15">
        <v>6</v>
      </c>
      <c r="N53" s="168" t="s">
        <v>908</v>
      </c>
      <c r="O53" s="15">
        <v>6</v>
      </c>
      <c r="P53" s="168" t="s">
        <v>908</v>
      </c>
      <c r="Q53" s="15">
        <v>30</v>
      </c>
      <c r="R53" s="73"/>
      <c r="S53" s="74"/>
      <c r="T53" s="74"/>
      <c r="U53" s="74"/>
      <c r="V53" s="73"/>
      <c r="W53" s="74"/>
      <c r="X53" s="74"/>
      <c r="Y53" s="74"/>
      <c r="Z53" s="72"/>
      <c r="AA53" s="72"/>
      <c r="AB53" s="72"/>
      <c r="AC53" s="72"/>
    </row>
    <row r="54" spans="1:29" s="10" customFormat="1" ht="30" customHeight="1">
      <c r="A54" s="15">
        <v>7</v>
      </c>
      <c r="B54" s="79" t="s">
        <v>191</v>
      </c>
      <c r="C54" s="17">
        <v>1</v>
      </c>
      <c r="D54" s="17">
        <v>1</v>
      </c>
      <c r="E54" s="17">
        <v>1</v>
      </c>
      <c r="F54" s="17">
        <v>1</v>
      </c>
      <c r="G54" s="17">
        <v>0.75</v>
      </c>
      <c r="H54" s="17">
        <v>0.75</v>
      </c>
      <c r="I54" s="17">
        <v>20</v>
      </c>
      <c r="J54" s="168" t="s">
        <v>899</v>
      </c>
      <c r="K54" s="15">
        <v>20</v>
      </c>
      <c r="L54" s="168" t="s">
        <v>899</v>
      </c>
      <c r="M54" s="15">
        <v>20</v>
      </c>
      <c r="N54" s="168" t="s">
        <v>899</v>
      </c>
      <c r="O54" s="15">
        <v>20</v>
      </c>
      <c r="P54" s="168" t="s">
        <v>899</v>
      </c>
      <c r="Q54" s="15">
        <v>30</v>
      </c>
      <c r="R54" s="73"/>
      <c r="S54" s="74"/>
      <c r="T54" s="74"/>
      <c r="U54" s="74"/>
      <c r="V54" s="73"/>
      <c r="W54" s="74"/>
      <c r="X54" s="74"/>
      <c r="Y54" s="74"/>
      <c r="Z54" s="72"/>
      <c r="AA54" s="72"/>
      <c r="AB54" s="72"/>
      <c r="AC54" s="72"/>
    </row>
    <row r="55" spans="1:29" s="10" customFormat="1" ht="30" customHeight="1">
      <c r="A55" s="15">
        <v>8</v>
      </c>
      <c r="B55" s="79" t="s">
        <v>194</v>
      </c>
      <c r="C55" s="17">
        <v>0</v>
      </c>
      <c r="D55" s="17">
        <v>3</v>
      </c>
      <c r="E55" s="17">
        <v>3</v>
      </c>
      <c r="F55" s="17">
        <v>3</v>
      </c>
      <c r="G55" s="17">
        <v>13.4</v>
      </c>
      <c r="H55" s="17">
        <v>13.4</v>
      </c>
      <c r="I55" s="17">
        <v>0</v>
      </c>
      <c r="J55" s="168"/>
      <c r="K55" s="15">
        <v>12</v>
      </c>
      <c r="L55" s="168" t="s">
        <v>910</v>
      </c>
      <c r="M55" s="15">
        <v>12</v>
      </c>
      <c r="N55" s="168" t="s">
        <v>910</v>
      </c>
      <c r="O55" s="15">
        <v>12</v>
      </c>
      <c r="P55" s="168" t="s">
        <v>910</v>
      </c>
      <c r="Q55" s="15">
        <v>30</v>
      </c>
      <c r="R55" s="73"/>
      <c r="S55" s="74"/>
      <c r="T55" s="74"/>
      <c r="U55" s="74"/>
      <c r="V55" s="73"/>
      <c r="W55" s="74"/>
      <c r="X55" s="74"/>
      <c r="Y55" s="74"/>
      <c r="Z55" s="72"/>
      <c r="AA55" s="72"/>
      <c r="AB55" s="72"/>
      <c r="AC55" s="72"/>
    </row>
    <row r="56" spans="1:29" s="10" customFormat="1" ht="30" customHeight="1">
      <c r="A56" s="15">
        <v>9</v>
      </c>
      <c r="B56" s="79" t="s">
        <v>195</v>
      </c>
      <c r="C56" s="17">
        <v>40</v>
      </c>
      <c r="D56" s="17">
        <v>40</v>
      </c>
      <c r="E56" s="17">
        <v>40</v>
      </c>
      <c r="F56" s="17">
        <v>40</v>
      </c>
      <c r="G56" s="17">
        <v>3.5999999999999997E-2</v>
      </c>
      <c r="H56" s="17">
        <v>3.5999999999999997E-2</v>
      </c>
      <c r="I56" s="17">
        <v>4</v>
      </c>
      <c r="J56" s="168" t="s">
        <v>918</v>
      </c>
      <c r="K56" s="15">
        <v>4</v>
      </c>
      <c r="L56" s="168" t="s">
        <v>918</v>
      </c>
      <c r="M56" s="15">
        <v>4</v>
      </c>
      <c r="N56" s="168" t="s">
        <v>918</v>
      </c>
      <c r="O56" s="15">
        <v>4</v>
      </c>
      <c r="P56" s="168" t="s">
        <v>918</v>
      </c>
      <c r="Q56" s="15">
        <v>30</v>
      </c>
      <c r="R56" s="73"/>
      <c r="S56" s="74"/>
      <c r="T56" s="74"/>
      <c r="U56" s="74"/>
      <c r="V56" s="73"/>
      <c r="W56" s="74"/>
      <c r="X56" s="74"/>
      <c r="Y56" s="74"/>
      <c r="Z56" s="72"/>
      <c r="AA56" s="72"/>
      <c r="AB56" s="72"/>
      <c r="AC56" s="72"/>
    </row>
    <row r="57" spans="1:29" s="10" customFormat="1" ht="30" customHeight="1">
      <c r="A57" s="15">
        <v>10</v>
      </c>
      <c r="B57" s="79" t="s">
        <v>197</v>
      </c>
      <c r="C57" s="17">
        <v>0</v>
      </c>
      <c r="D57" s="17">
        <v>513</v>
      </c>
      <c r="E57" s="17">
        <v>1368</v>
      </c>
      <c r="F57" s="17">
        <v>1368</v>
      </c>
      <c r="G57" s="17">
        <v>8.9999999999999993E-3</v>
      </c>
      <c r="H57" s="17">
        <v>8.9999999999999993E-3</v>
      </c>
      <c r="I57" s="17">
        <v>5</v>
      </c>
      <c r="J57" s="168" t="s">
        <v>912</v>
      </c>
      <c r="K57" s="15">
        <v>5</v>
      </c>
      <c r="L57" s="168" t="s">
        <v>912</v>
      </c>
      <c r="M57" s="15">
        <v>5</v>
      </c>
      <c r="N57" s="168" t="s">
        <v>912</v>
      </c>
      <c r="O57" s="15">
        <v>5</v>
      </c>
      <c r="P57" s="168" t="s">
        <v>912</v>
      </c>
      <c r="Q57" s="15">
        <v>30</v>
      </c>
      <c r="R57" s="73"/>
      <c r="S57" s="74"/>
      <c r="T57" s="74"/>
      <c r="U57" s="74"/>
      <c r="V57" s="73"/>
      <c r="W57" s="74"/>
      <c r="X57" s="74"/>
      <c r="Y57" s="74"/>
      <c r="Z57" s="72"/>
      <c r="AA57" s="72"/>
      <c r="AB57" s="72"/>
      <c r="AC57" s="72"/>
    </row>
    <row r="58" spans="1:29" s="10" customFormat="1" ht="30" customHeight="1">
      <c r="A58" s="15">
        <v>11</v>
      </c>
      <c r="B58" s="79" t="s">
        <v>549</v>
      </c>
      <c r="C58" s="17">
        <v>0</v>
      </c>
      <c r="D58" s="17">
        <v>27</v>
      </c>
      <c r="E58" s="17">
        <v>72</v>
      </c>
      <c r="F58" s="17">
        <v>72</v>
      </c>
      <c r="G58" s="17">
        <v>8.9999999999999993E-3</v>
      </c>
      <c r="H58" s="17">
        <v>8.9999999999999993E-3</v>
      </c>
      <c r="I58" s="17">
        <v>5</v>
      </c>
      <c r="J58" s="168" t="s">
        <v>912</v>
      </c>
      <c r="K58" s="15">
        <v>5</v>
      </c>
      <c r="L58" s="168" t="s">
        <v>912</v>
      </c>
      <c r="M58" s="15">
        <v>5</v>
      </c>
      <c r="N58" s="168" t="s">
        <v>912</v>
      </c>
      <c r="O58" s="15">
        <v>5</v>
      </c>
      <c r="P58" s="168" t="s">
        <v>912</v>
      </c>
      <c r="Q58" s="15">
        <v>30</v>
      </c>
      <c r="R58" s="73"/>
      <c r="S58" s="74"/>
      <c r="T58" s="74"/>
      <c r="U58" s="74"/>
      <c r="V58" s="73"/>
      <c r="W58" s="74"/>
      <c r="X58" s="74"/>
      <c r="Y58" s="74"/>
      <c r="Z58" s="72"/>
      <c r="AA58" s="72"/>
      <c r="AB58" s="72"/>
      <c r="AC58" s="72"/>
    </row>
    <row r="59" spans="1:29" s="10" customFormat="1">
      <c r="A59" s="15"/>
      <c r="B59" s="79"/>
      <c r="C59" s="17"/>
      <c r="D59" s="17"/>
      <c r="E59" s="17"/>
      <c r="F59" s="17"/>
      <c r="G59" s="17"/>
      <c r="H59" s="17"/>
      <c r="I59" s="17"/>
      <c r="J59" s="168"/>
      <c r="K59" s="15"/>
      <c r="L59" s="168"/>
      <c r="M59" s="15"/>
      <c r="N59" s="168"/>
      <c r="O59" s="15"/>
      <c r="P59" s="168"/>
      <c r="Q59" s="15"/>
      <c r="R59" s="73"/>
      <c r="S59" s="74"/>
      <c r="T59" s="74"/>
      <c r="U59" s="74"/>
      <c r="V59" s="73"/>
      <c r="W59" s="74"/>
      <c r="X59" s="74"/>
      <c r="Y59" s="74"/>
      <c r="Z59" s="72"/>
      <c r="AA59" s="72"/>
      <c r="AB59" s="72"/>
      <c r="AC59" s="72"/>
    </row>
    <row r="60" spans="1:29" s="10" customFormat="1" ht="35.25" customHeight="1">
      <c r="A60" s="319" t="s">
        <v>44</v>
      </c>
      <c r="B60" s="51" t="s">
        <v>919</v>
      </c>
      <c r="C60" s="15"/>
      <c r="D60" s="17"/>
      <c r="E60" s="17"/>
      <c r="F60" s="17"/>
      <c r="G60" s="18"/>
      <c r="H60" s="18"/>
      <c r="I60" s="320"/>
      <c r="J60" s="79"/>
      <c r="K60" s="79"/>
      <c r="L60" s="79"/>
      <c r="M60" s="79"/>
      <c r="N60" s="79"/>
      <c r="O60" s="79"/>
      <c r="P60" s="79"/>
      <c r="Q60" s="15"/>
      <c r="R60" s="73">
        <f>C60*G60*I60*Q60</f>
        <v>0</v>
      </c>
      <c r="S60" s="74">
        <f>D60*G60*K60*Q60</f>
        <v>0</v>
      </c>
      <c r="T60" s="74">
        <f>E60*G60*M60*Q60</f>
        <v>0</v>
      </c>
      <c r="U60" s="74">
        <f>F60*G60*O60*Q60</f>
        <v>0</v>
      </c>
      <c r="V60" s="73">
        <f>C60*H60*I60*Q60</f>
        <v>0</v>
      </c>
      <c r="W60" s="74">
        <f>D60*H60*K60*Q60</f>
        <v>0</v>
      </c>
      <c r="X60" s="74">
        <f>E60*H60*M60*Q60</f>
        <v>0</v>
      </c>
      <c r="Y60" s="74">
        <f>F60*H60*O60*Q60</f>
        <v>0</v>
      </c>
      <c r="Z60" s="72" t="e">
        <f>V60/R60</f>
        <v>#DIV/0!</v>
      </c>
      <c r="AA60" s="72" t="e">
        <f>W60/S60</f>
        <v>#DIV/0!</v>
      </c>
      <c r="AB60" s="72" t="e">
        <f>X60/T60</f>
        <v>#DIV/0!</v>
      </c>
      <c r="AC60" s="72" t="e">
        <f>Y60/U60</f>
        <v>#DIV/0!</v>
      </c>
    </row>
    <row r="61" spans="1:29" s="10" customFormat="1" ht="45">
      <c r="A61" s="15">
        <v>1</v>
      </c>
      <c r="B61" s="79" t="s">
        <v>183</v>
      </c>
      <c r="C61" s="17">
        <v>25</v>
      </c>
      <c r="D61" s="17">
        <v>92</v>
      </c>
      <c r="E61" s="17">
        <v>92</v>
      </c>
      <c r="F61" s="17">
        <v>92</v>
      </c>
      <c r="G61" s="17">
        <v>1.1000000000000001</v>
      </c>
      <c r="H61" s="17">
        <v>1.1000000000000001</v>
      </c>
      <c r="I61" s="17">
        <v>4</v>
      </c>
      <c r="J61" s="168" t="s">
        <v>903</v>
      </c>
      <c r="K61" s="15">
        <v>4</v>
      </c>
      <c r="L61" s="168" t="s">
        <v>903</v>
      </c>
      <c r="M61" s="15">
        <v>4</v>
      </c>
      <c r="N61" s="168" t="s">
        <v>903</v>
      </c>
      <c r="O61" s="15">
        <v>4</v>
      </c>
      <c r="P61" s="168" t="s">
        <v>903</v>
      </c>
      <c r="Q61" s="15">
        <v>30</v>
      </c>
      <c r="R61" s="73"/>
      <c r="S61" s="74"/>
      <c r="T61" s="74"/>
      <c r="U61" s="74"/>
      <c r="V61" s="73"/>
      <c r="W61" s="74"/>
      <c r="X61" s="74"/>
      <c r="Y61" s="74"/>
      <c r="Z61" s="72"/>
      <c r="AA61" s="72"/>
      <c r="AB61" s="72"/>
      <c r="AC61" s="72"/>
    </row>
    <row r="62" spans="1:29" s="10" customFormat="1" ht="38.25" customHeight="1">
      <c r="A62" s="15">
        <v>2</v>
      </c>
      <c r="B62" s="79" t="s">
        <v>550</v>
      </c>
      <c r="C62" s="17">
        <v>27</v>
      </c>
      <c r="D62" s="17">
        <v>100</v>
      </c>
      <c r="E62" s="17">
        <v>100</v>
      </c>
      <c r="F62" s="17">
        <v>100</v>
      </c>
      <c r="G62" s="17">
        <v>0.05</v>
      </c>
      <c r="H62" s="17">
        <v>0.05</v>
      </c>
      <c r="I62" s="17">
        <v>4</v>
      </c>
      <c r="J62" s="168" t="s">
        <v>904</v>
      </c>
      <c r="K62" s="15">
        <v>4</v>
      </c>
      <c r="L62" s="168" t="s">
        <v>904</v>
      </c>
      <c r="M62" s="15">
        <v>4</v>
      </c>
      <c r="N62" s="168" t="s">
        <v>904</v>
      </c>
      <c r="O62" s="15">
        <v>4</v>
      </c>
      <c r="P62" s="168" t="s">
        <v>904</v>
      </c>
      <c r="Q62" s="15">
        <v>30</v>
      </c>
      <c r="R62" s="73"/>
      <c r="S62" s="74"/>
      <c r="T62" s="74"/>
      <c r="U62" s="74"/>
      <c r="V62" s="73"/>
      <c r="W62" s="74"/>
      <c r="X62" s="74"/>
      <c r="Y62" s="74"/>
      <c r="Z62" s="72"/>
      <c r="AA62" s="72"/>
      <c r="AB62" s="72"/>
      <c r="AC62" s="72"/>
    </row>
    <row r="63" spans="1:29" s="10" customFormat="1" ht="38.25" customHeight="1">
      <c r="A63" s="15">
        <v>3</v>
      </c>
      <c r="B63" s="79" t="s">
        <v>185</v>
      </c>
      <c r="C63" s="17">
        <v>25</v>
      </c>
      <c r="D63" s="17">
        <v>92</v>
      </c>
      <c r="E63" s="17">
        <v>92</v>
      </c>
      <c r="F63" s="17">
        <v>92</v>
      </c>
      <c r="G63" s="17">
        <v>2.5</v>
      </c>
      <c r="H63" s="17">
        <v>2.5</v>
      </c>
      <c r="I63" s="17">
        <v>2</v>
      </c>
      <c r="J63" s="168" t="s">
        <v>905</v>
      </c>
      <c r="K63" s="15">
        <v>2</v>
      </c>
      <c r="L63" s="168" t="s">
        <v>905</v>
      </c>
      <c r="M63" s="15">
        <v>2</v>
      </c>
      <c r="N63" s="168" t="s">
        <v>905</v>
      </c>
      <c r="O63" s="15">
        <v>2</v>
      </c>
      <c r="P63" s="168" t="s">
        <v>905</v>
      </c>
      <c r="Q63" s="15">
        <v>30</v>
      </c>
      <c r="R63" s="73"/>
      <c r="S63" s="74"/>
      <c r="T63" s="74"/>
      <c r="U63" s="74"/>
      <c r="V63" s="73"/>
      <c r="W63" s="74"/>
      <c r="X63" s="74"/>
      <c r="Y63" s="74"/>
      <c r="Z63" s="72"/>
      <c r="AA63" s="72"/>
      <c r="AB63" s="72"/>
      <c r="AC63" s="72"/>
    </row>
    <row r="64" spans="1:29" s="10" customFormat="1" ht="38.25" customHeight="1">
      <c r="A64" s="15">
        <v>4</v>
      </c>
      <c r="B64" s="79" t="s">
        <v>187</v>
      </c>
      <c r="C64" s="17">
        <v>14</v>
      </c>
      <c r="D64" s="17">
        <v>27</v>
      </c>
      <c r="E64" s="17">
        <v>23</v>
      </c>
      <c r="F64" s="17">
        <v>23</v>
      </c>
      <c r="G64" s="17">
        <v>0.08</v>
      </c>
      <c r="H64" s="17">
        <v>0.08</v>
      </c>
      <c r="I64" s="17">
        <v>3</v>
      </c>
      <c r="J64" s="168" t="s">
        <v>906</v>
      </c>
      <c r="K64" s="15">
        <v>3</v>
      </c>
      <c r="L64" s="168" t="s">
        <v>906</v>
      </c>
      <c r="M64" s="15">
        <v>3</v>
      </c>
      <c r="N64" s="168" t="s">
        <v>906</v>
      </c>
      <c r="O64" s="15">
        <v>3</v>
      </c>
      <c r="P64" s="168" t="s">
        <v>906</v>
      </c>
      <c r="Q64" s="15">
        <v>30</v>
      </c>
      <c r="R64" s="73"/>
      <c r="S64" s="74"/>
      <c r="T64" s="74"/>
      <c r="U64" s="74"/>
      <c r="V64" s="73"/>
      <c r="W64" s="74"/>
      <c r="X64" s="74"/>
      <c r="Y64" s="74"/>
      <c r="Z64" s="72"/>
      <c r="AA64" s="72"/>
      <c r="AB64" s="72"/>
      <c r="AC64" s="72"/>
    </row>
    <row r="65" spans="1:29" s="10" customFormat="1" ht="38.25" customHeight="1">
      <c r="A65" s="15">
        <v>5</v>
      </c>
      <c r="B65" s="79" t="s">
        <v>917</v>
      </c>
      <c r="C65" s="17">
        <v>9</v>
      </c>
      <c r="D65" s="17">
        <v>12</v>
      </c>
      <c r="E65" s="17">
        <v>23</v>
      </c>
      <c r="F65" s="17">
        <v>23</v>
      </c>
      <c r="G65" s="17">
        <v>3</v>
      </c>
      <c r="H65" s="17">
        <v>3</v>
      </c>
      <c r="I65" s="17">
        <v>3</v>
      </c>
      <c r="J65" s="168" t="s">
        <v>906</v>
      </c>
      <c r="K65" s="15">
        <v>3</v>
      </c>
      <c r="L65" s="168" t="s">
        <v>906</v>
      </c>
      <c r="M65" s="15">
        <v>3</v>
      </c>
      <c r="N65" s="168" t="s">
        <v>906</v>
      </c>
      <c r="O65" s="15">
        <v>3</v>
      </c>
      <c r="P65" s="168" t="s">
        <v>906</v>
      </c>
      <c r="Q65" s="15">
        <v>30</v>
      </c>
      <c r="R65" s="73"/>
      <c r="S65" s="74"/>
      <c r="T65" s="74"/>
      <c r="U65" s="74"/>
      <c r="V65" s="73"/>
      <c r="W65" s="74"/>
      <c r="X65" s="74"/>
      <c r="Y65" s="74"/>
      <c r="Z65" s="72"/>
      <c r="AA65" s="72"/>
      <c r="AB65" s="72"/>
      <c r="AC65" s="72"/>
    </row>
    <row r="66" spans="1:29" s="10" customFormat="1" ht="38.25" customHeight="1">
      <c r="A66" s="15">
        <v>6</v>
      </c>
      <c r="B66" s="79" t="s">
        <v>190</v>
      </c>
      <c r="C66" s="17">
        <v>1</v>
      </c>
      <c r="D66" s="17">
        <v>1</v>
      </c>
      <c r="E66" s="17">
        <v>1</v>
      </c>
      <c r="F66" s="17">
        <v>1</v>
      </c>
      <c r="G66" s="17">
        <v>3</v>
      </c>
      <c r="H66" s="17">
        <v>3</v>
      </c>
      <c r="I66" s="17">
        <v>6</v>
      </c>
      <c r="J66" s="168" t="s">
        <v>908</v>
      </c>
      <c r="K66" s="15">
        <v>6</v>
      </c>
      <c r="L66" s="168" t="s">
        <v>908</v>
      </c>
      <c r="M66" s="15">
        <v>6</v>
      </c>
      <c r="N66" s="168" t="s">
        <v>908</v>
      </c>
      <c r="O66" s="15">
        <v>6</v>
      </c>
      <c r="P66" s="168" t="s">
        <v>908</v>
      </c>
      <c r="Q66" s="15">
        <v>30</v>
      </c>
      <c r="R66" s="73"/>
      <c r="S66" s="74"/>
      <c r="T66" s="74"/>
      <c r="U66" s="74"/>
      <c r="V66" s="73"/>
      <c r="W66" s="74"/>
      <c r="X66" s="74"/>
      <c r="Y66" s="74"/>
      <c r="Z66" s="72"/>
      <c r="AA66" s="72"/>
      <c r="AB66" s="72"/>
      <c r="AC66" s="72"/>
    </row>
    <row r="67" spans="1:29" s="10" customFormat="1" ht="38.25" customHeight="1">
      <c r="A67" s="15">
        <v>7</v>
      </c>
      <c r="B67" s="79" t="s">
        <v>191</v>
      </c>
      <c r="C67" s="17">
        <v>1</v>
      </c>
      <c r="D67" s="17">
        <v>1</v>
      </c>
      <c r="E67" s="17">
        <v>1</v>
      </c>
      <c r="F67" s="17">
        <v>1</v>
      </c>
      <c r="G67" s="17">
        <v>0.75</v>
      </c>
      <c r="H67" s="17">
        <v>0.75</v>
      </c>
      <c r="I67" s="17">
        <v>20</v>
      </c>
      <c r="J67" s="168" t="s">
        <v>899</v>
      </c>
      <c r="K67" s="15">
        <v>20</v>
      </c>
      <c r="L67" s="168" t="s">
        <v>899</v>
      </c>
      <c r="M67" s="15">
        <v>20</v>
      </c>
      <c r="N67" s="168" t="s">
        <v>899</v>
      </c>
      <c r="O67" s="15">
        <v>20</v>
      </c>
      <c r="P67" s="168" t="s">
        <v>899</v>
      </c>
      <c r="Q67" s="15">
        <v>30</v>
      </c>
      <c r="R67" s="73"/>
      <c r="S67" s="74"/>
      <c r="T67" s="74"/>
      <c r="U67" s="74"/>
      <c r="V67" s="73"/>
      <c r="W67" s="74"/>
      <c r="X67" s="74"/>
      <c r="Y67" s="74"/>
      <c r="Z67" s="72"/>
      <c r="AA67" s="72"/>
      <c r="AB67" s="72"/>
      <c r="AC67" s="72"/>
    </row>
    <row r="68" spans="1:29" s="10" customFormat="1" ht="38.25" customHeight="1">
      <c r="A68" s="15">
        <v>8</v>
      </c>
      <c r="B68" s="79" t="s">
        <v>194</v>
      </c>
      <c r="C68" s="17">
        <v>2</v>
      </c>
      <c r="D68" s="17">
        <v>3</v>
      </c>
      <c r="E68" s="17">
        <v>3</v>
      </c>
      <c r="F68" s="17">
        <v>3</v>
      </c>
      <c r="G68" s="17">
        <v>13.4</v>
      </c>
      <c r="H68" s="17">
        <v>13.4</v>
      </c>
      <c r="I68" s="17">
        <v>12</v>
      </c>
      <c r="J68" s="168" t="s">
        <v>910</v>
      </c>
      <c r="K68" s="15">
        <v>12</v>
      </c>
      <c r="L68" s="168" t="s">
        <v>910</v>
      </c>
      <c r="M68" s="15">
        <v>12</v>
      </c>
      <c r="N68" s="168" t="s">
        <v>910</v>
      </c>
      <c r="O68" s="15">
        <v>12</v>
      </c>
      <c r="P68" s="168" t="s">
        <v>910</v>
      </c>
      <c r="Q68" s="15">
        <v>30</v>
      </c>
      <c r="R68" s="73"/>
      <c r="S68" s="74"/>
      <c r="T68" s="74"/>
      <c r="U68" s="74"/>
      <c r="V68" s="73"/>
      <c r="W68" s="74"/>
      <c r="X68" s="74"/>
      <c r="Y68" s="74"/>
      <c r="Z68" s="72"/>
      <c r="AA68" s="72"/>
      <c r="AB68" s="72"/>
      <c r="AC68" s="72"/>
    </row>
    <row r="69" spans="1:29" s="10" customFormat="1" ht="38.25" customHeight="1">
      <c r="A69" s="15">
        <v>9</v>
      </c>
      <c r="B69" s="79" t="s">
        <v>195</v>
      </c>
      <c r="C69" s="17">
        <v>40</v>
      </c>
      <c r="D69" s="17">
        <v>40</v>
      </c>
      <c r="E69" s="17">
        <v>40</v>
      </c>
      <c r="F69" s="17">
        <v>40</v>
      </c>
      <c r="G69" s="17">
        <v>3.5999999999999997E-2</v>
      </c>
      <c r="H69" s="17">
        <v>3.5999999999999997E-2</v>
      </c>
      <c r="I69" s="17">
        <v>13</v>
      </c>
      <c r="J69" s="168" t="s">
        <v>920</v>
      </c>
      <c r="K69" s="15">
        <v>13</v>
      </c>
      <c r="L69" s="168" t="s">
        <v>920</v>
      </c>
      <c r="M69" s="15">
        <v>13</v>
      </c>
      <c r="N69" s="168" t="s">
        <v>920</v>
      </c>
      <c r="O69" s="15">
        <v>13</v>
      </c>
      <c r="P69" s="168" t="s">
        <v>920</v>
      </c>
      <c r="Q69" s="15">
        <v>30</v>
      </c>
      <c r="R69" s="73"/>
      <c r="S69" s="74"/>
      <c r="T69" s="74"/>
      <c r="U69" s="74"/>
      <c r="V69" s="73"/>
      <c r="W69" s="74"/>
      <c r="X69" s="74"/>
      <c r="Y69" s="74"/>
      <c r="Z69" s="72"/>
      <c r="AA69" s="72"/>
      <c r="AB69" s="72"/>
      <c r="AC69" s="72"/>
    </row>
    <row r="70" spans="1:29" s="10" customFormat="1" ht="38.25" customHeight="1">
      <c r="A70" s="15">
        <v>10</v>
      </c>
      <c r="B70" s="79" t="s">
        <v>197</v>
      </c>
      <c r="C70" s="17">
        <v>225</v>
      </c>
      <c r="D70" s="17">
        <v>916</v>
      </c>
      <c r="E70" s="17">
        <v>916</v>
      </c>
      <c r="F70" s="17">
        <v>916</v>
      </c>
      <c r="G70" s="17">
        <v>8.9999999999999993E-3</v>
      </c>
      <c r="H70" s="17">
        <v>8.9999999999999993E-3</v>
      </c>
      <c r="I70" s="17">
        <v>5</v>
      </c>
      <c r="J70" s="168" t="s">
        <v>912</v>
      </c>
      <c r="K70" s="15">
        <v>5</v>
      </c>
      <c r="L70" s="168" t="s">
        <v>912</v>
      </c>
      <c r="M70" s="15">
        <v>5</v>
      </c>
      <c r="N70" s="168" t="s">
        <v>912</v>
      </c>
      <c r="O70" s="15">
        <v>5</v>
      </c>
      <c r="P70" s="168" t="s">
        <v>912</v>
      </c>
      <c r="Q70" s="15">
        <v>30</v>
      </c>
      <c r="R70" s="73"/>
      <c r="S70" s="74"/>
      <c r="T70" s="74"/>
      <c r="U70" s="74"/>
      <c r="V70" s="73"/>
      <c r="W70" s="74"/>
      <c r="X70" s="74"/>
      <c r="Y70" s="74"/>
      <c r="Z70" s="72"/>
      <c r="AA70" s="72"/>
      <c r="AB70" s="72"/>
      <c r="AC70" s="72"/>
    </row>
    <row r="71" spans="1:29" s="10" customFormat="1" ht="38.25" customHeight="1">
      <c r="A71" s="15">
        <v>11</v>
      </c>
      <c r="B71" s="79" t="s">
        <v>549</v>
      </c>
      <c r="C71" s="17">
        <v>25</v>
      </c>
      <c r="D71" s="17">
        <v>232</v>
      </c>
      <c r="E71" s="17">
        <v>232</v>
      </c>
      <c r="F71" s="17">
        <v>232</v>
      </c>
      <c r="G71" s="17">
        <v>8.9999999999999993E-3</v>
      </c>
      <c r="H71" s="17">
        <v>8.9999999999999993E-3</v>
      </c>
      <c r="I71" s="17">
        <v>5</v>
      </c>
      <c r="J71" s="168" t="s">
        <v>912</v>
      </c>
      <c r="K71" s="15">
        <v>5</v>
      </c>
      <c r="L71" s="168" t="s">
        <v>912</v>
      </c>
      <c r="M71" s="15">
        <v>5</v>
      </c>
      <c r="N71" s="168" t="s">
        <v>912</v>
      </c>
      <c r="O71" s="15">
        <v>5</v>
      </c>
      <c r="P71" s="168" t="s">
        <v>912</v>
      </c>
      <c r="Q71" s="15">
        <v>30</v>
      </c>
      <c r="R71" s="73"/>
      <c r="S71" s="74"/>
      <c r="T71" s="74"/>
      <c r="U71" s="74"/>
      <c r="V71" s="73"/>
      <c r="W71" s="74"/>
      <c r="X71" s="74"/>
      <c r="Y71" s="74"/>
      <c r="Z71" s="72"/>
      <c r="AA71" s="72"/>
      <c r="AB71" s="72"/>
      <c r="AC71" s="72"/>
    </row>
    <row r="72" spans="1:29" s="10" customFormat="1" ht="38.25" customHeight="1">
      <c r="A72" s="15">
        <v>12</v>
      </c>
      <c r="B72" s="79" t="s">
        <v>921</v>
      </c>
      <c r="C72" s="17">
        <v>25</v>
      </c>
      <c r="D72" s="17">
        <v>92</v>
      </c>
      <c r="E72" s="17">
        <v>92</v>
      </c>
      <c r="F72" s="17">
        <v>92</v>
      </c>
      <c r="G72" s="17">
        <v>8.5000000000000006E-2</v>
      </c>
      <c r="H72" s="17">
        <v>8.5000000000000006E-2</v>
      </c>
      <c r="I72" s="17">
        <v>24</v>
      </c>
      <c r="J72" s="168" t="s">
        <v>922</v>
      </c>
      <c r="K72" s="15">
        <v>24</v>
      </c>
      <c r="L72" s="168" t="s">
        <v>922</v>
      </c>
      <c r="M72" s="15">
        <v>24</v>
      </c>
      <c r="N72" s="168" t="s">
        <v>922</v>
      </c>
      <c r="O72" s="15">
        <v>24</v>
      </c>
      <c r="P72" s="168" t="s">
        <v>922</v>
      </c>
      <c r="Q72" s="15">
        <v>30</v>
      </c>
      <c r="R72" s="73"/>
      <c r="S72" s="74"/>
      <c r="T72" s="74"/>
      <c r="U72" s="74"/>
      <c r="V72" s="73"/>
      <c r="W72" s="74"/>
      <c r="X72" s="74"/>
      <c r="Y72" s="74"/>
      <c r="Z72" s="72"/>
      <c r="AA72" s="72"/>
      <c r="AB72" s="72"/>
      <c r="AC72" s="72"/>
    </row>
    <row r="73" spans="1:29" s="10" customFormat="1" ht="38.25" customHeight="1">
      <c r="A73" s="15">
        <v>12</v>
      </c>
      <c r="B73" s="79" t="s">
        <v>923</v>
      </c>
      <c r="C73" s="17">
        <v>25</v>
      </c>
      <c r="D73" s="17">
        <v>92</v>
      </c>
      <c r="E73" s="17">
        <v>92</v>
      </c>
      <c r="F73" s="17">
        <v>92</v>
      </c>
      <c r="G73" s="17">
        <v>0.05</v>
      </c>
      <c r="H73" s="17">
        <v>0.05</v>
      </c>
      <c r="I73" s="17">
        <v>3</v>
      </c>
      <c r="J73" s="168" t="s">
        <v>906</v>
      </c>
      <c r="K73" s="17">
        <v>3</v>
      </c>
      <c r="L73" s="168" t="s">
        <v>906</v>
      </c>
      <c r="M73" s="17">
        <v>3</v>
      </c>
      <c r="N73" s="168" t="s">
        <v>906</v>
      </c>
      <c r="O73" s="17">
        <v>3</v>
      </c>
      <c r="P73" s="168" t="s">
        <v>906</v>
      </c>
      <c r="Q73" s="15">
        <v>30</v>
      </c>
      <c r="R73" s="73"/>
      <c r="S73" s="74"/>
      <c r="T73" s="74"/>
      <c r="U73" s="74"/>
      <c r="V73" s="73"/>
      <c r="W73" s="74"/>
      <c r="X73" s="74"/>
      <c r="Y73" s="74"/>
      <c r="Z73" s="72"/>
      <c r="AA73" s="72"/>
      <c r="AB73" s="72"/>
      <c r="AC73" s="72"/>
    </row>
    <row r="74" spans="1:29" s="10" customFormat="1">
      <c r="A74" s="15"/>
      <c r="B74" s="79"/>
      <c r="C74" s="17"/>
      <c r="D74" s="17"/>
      <c r="E74" s="17"/>
      <c r="F74" s="17"/>
      <c r="G74" s="17"/>
      <c r="H74" s="17"/>
      <c r="I74" s="17"/>
      <c r="J74" s="168"/>
      <c r="K74" s="17"/>
      <c r="L74" s="168"/>
      <c r="M74" s="17"/>
      <c r="N74" s="168"/>
      <c r="O74" s="17"/>
      <c r="P74" s="168"/>
      <c r="Q74" s="15"/>
      <c r="R74" s="73"/>
      <c r="S74" s="74"/>
      <c r="T74" s="74"/>
      <c r="U74" s="74"/>
      <c r="V74" s="73"/>
      <c r="W74" s="74"/>
      <c r="X74" s="74"/>
      <c r="Y74" s="74"/>
      <c r="Z74" s="72"/>
      <c r="AA74" s="72"/>
      <c r="AB74" s="72"/>
      <c r="AC74" s="72"/>
    </row>
    <row r="75" spans="1:29" s="10" customFormat="1" ht="22.5" customHeight="1">
      <c r="A75" s="319" t="s">
        <v>47</v>
      </c>
      <c r="B75" s="51" t="s">
        <v>924</v>
      </c>
      <c r="C75" s="15"/>
      <c r="D75" s="17"/>
      <c r="E75" s="17"/>
      <c r="F75" s="17"/>
      <c r="G75" s="18"/>
      <c r="H75" s="18"/>
      <c r="I75" s="320"/>
      <c r="J75" s="79"/>
      <c r="K75" s="79"/>
      <c r="L75" s="79"/>
      <c r="M75" s="79"/>
      <c r="N75" s="79"/>
      <c r="O75" s="79"/>
      <c r="P75" s="79"/>
      <c r="Q75" s="15"/>
      <c r="R75" s="73"/>
      <c r="S75" s="74"/>
      <c r="T75" s="74"/>
      <c r="U75" s="74"/>
      <c r="V75" s="73"/>
      <c r="W75" s="74"/>
      <c r="X75" s="74"/>
      <c r="Y75" s="74"/>
      <c r="Z75" s="72"/>
      <c r="AA75" s="72"/>
      <c r="AB75" s="72"/>
      <c r="AC75" s="72"/>
    </row>
    <row r="76" spans="1:29" s="10" customFormat="1">
      <c r="A76" s="15"/>
      <c r="B76" s="79"/>
      <c r="C76" s="17"/>
      <c r="D76" s="17"/>
      <c r="E76" s="17"/>
      <c r="F76" s="17"/>
      <c r="G76" s="17"/>
      <c r="H76" s="17"/>
      <c r="I76" s="17"/>
      <c r="J76" s="168"/>
      <c r="K76" s="17"/>
      <c r="L76" s="168"/>
      <c r="M76" s="17"/>
      <c r="N76" s="168"/>
      <c r="O76" s="17"/>
      <c r="P76" s="168"/>
      <c r="Q76" s="15"/>
      <c r="R76" s="73"/>
      <c r="S76" s="74"/>
      <c r="T76" s="74"/>
      <c r="U76" s="74"/>
      <c r="V76" s="73"/>
      <c r="W76" s="74"/>
      <c r="X76" s="74"/>
      <c r="Y76" s="74"/>
      <c r="Z76" s="72"/>
      <c r="AA76" s="72"/>
      <c r="AB76" s="72"/>
      <c r="AC76" s="72"/>
    </row>
    <row r="77" spans="1:29" s="10" customFormat="1" ht="42.75" customHeight="1">
      <c r="A77" s="15">
        <v>1</v>
      </c>
      <c r="B77" s="79" t="s">
        <v>550</v>
      </c>
      <c r="C77" s="17">
        <v>20</v>
      </c>
      <c r="D77" s="17">
        <v>20</v>
      </c>
      <c r="E77" s="17">
        <v>20</v>
      </c>
      <c r="F77" s="17">
        <v>20</v>
      </c>
      <c r="G77" s="17">
        <v>0.05</v>
      </c>
      <c r="H77" s="17">
        <v>0.05</v>
      </c>
      <c r="I77" s="17">
        <v>3</v>
      </c>
      <c r="J77" s="168" t="s">
        <v>925</v>
      </c>
      <c r="K77" s="15">
        <v>3</v>
      </c>
      <c r="L77" s="168" t="s">
        <v>925</v>
      </c>
      <c r="M77" s="15">
        <v>3</v>
      </c>
      <c r="N77" s="168" t="s">
        <v>925</v>
      </c>
      <c r="O77" s="15">
        <v>3</v>
      </c>
      <c r="P77" s="168" t="s">
        <v>925</v>
      </c>
      <c r="Q77" s="15">
        <v>30</v>
      </c>
      <c r="R77" s="73"/>
      <c r="S77" s="74"/>
      <c r="T77" s="74"/>
      <c r="U77" s="74"/>
      <c r="V77" s="73"/>
      <c r="W77" s="74"/>
      <c r="X77" s="74"/>
      <c r="Y77" s="74"/>
      <c r="Z77" s="72"/>
      <c r="AA77" s="72"/>
      <c r="AB77" s="72"/>
      <c r="AC77" s="72"/>
    </row>
    <row r="78" spans="1:29" s="10" customFormat="1" ht="42.75" customHeight="1">
      <c r="A78" s="15">
        <v>2</v>
      </c>
      <c r="B78" s="79" t="s">
        <v>187</v>
      </c>
      <c r="C78" s="17">
        <v>9</v>
      </c>
      <c r="D78" s="17">
        <v>9</v>
      </c>
      <c r="E78" s="17">
        <v>9</v>
      </c>
      <c r="F78" s="17">
        <v>9</v>
      </c>
      <c r="G78" s="17">
        <v>0.08</v>
      </c>
      <c r="H78" s="17">
        <v>0.08</v>
      </c>
      <c r="I78" s="17">
        <v>3</v>
      </c>
      <c r="J78" s="168" t="s">
        <v>906</v>
      </c>
      <c r="K78" s="15">
        <v>3</v>
      </c>
      <c r="L78" s="168" t="s">
        <v>906</v>
      </c>
      <c r="M78" s="15">
        <v>3</v>
      </c>
      <c r="N78" s="168" t="s">
        <v>906</v>
      </c>
      <c r="O78" s="15">
        <v>3</v>
      </c>
      <c r="P78" s="168" t="s">
        <v>906</v>
      </c>
      <c r="Q78" s="15">
        <v>30</v>
      </c>
      <c r="R78" s="73"/>
      <c r="S78" s="74"/>
      <c r="T78" s="74"/>
      <c r="U78" s="74"/>
      <c r="V78" s="73"/>
      <c r="W78" s="74"/>
      <c r="X78" s="74"/>
      <c r="Y78" s="74"/>
      <c r="Z78" s="72"/>
      <c r="AA78" s="72"/>
      <c r="AB78" s="72"/>
      <c r="AC78" s="72"/>
    </row>
    <row r="79" spans="1:29" s="10" customFormat="1" ht="42.75" customHeight="1">
      <c r="A79" s="15">
        <v>3</v>
      </c>
      <c r="B79" s="79" t="s">
        <v>917</v>
      </c>
      <c r="C79" s="17">
        <v>6</v>
      </c>
      <c r="D79" s="17">
        <v>6</v>
      </c>
      <c r="E79" s="17">
        <v>6</v>
      </c>
      <c r="F79" s="17">
        <v>6</v>
      </c>
      <c r="G79" s="17">
        <v>3</v>
      </c>
      <c r="H79" s="17">
        <v>3</v>
      </c>
      <c r="I79" s="17">
        <v>3</v>
      </c>
      <c r="J79" s="168" t="s">
        <v>906</v>
      </c>
      <c r="K79" s="15">
        <v>3</v>
      </c>
      <c r="L79" s="168" t="s">
        <v>906</v>
      </c>
      <c r="M79" s="15">
        <v>3</v>
      </c>
      <c r="N79" s="168" t="s">
        <v>906</v>
      </c>
      <c r="O79" s="15">
        <v>3</v>
      </c>
      <c r="P79" s="168" t="s">
        <v>906</v>
      </c>
      <c r="Q79" s="15">
        <v>30</v>
      </c>
      <c r="R79" s="73"/>
      <c r="S79" s="74"/>
      <c r="T79" s="74"/>
      <c r="U79" s="74"/>
      <c r="V79" s="73"/>
      <c r="W79" s="74"/>
      <c r="X79" s="74"/>
      <c r="Y79" s="74"/>
      <c r="Z79" s="72"/>
      <c r="AA79" s="72"/>
      <c r="AB79" s="72"/>
      <c r="AC79" s="72"/>
    </row>
    <row r="80" spans="1:29" s="10" customFormat="1" ht="42.75" customHeight="1">
      <c r="A80" s="15">
        <v>4</v>
      </c>
      <c r="B80" s="79" t="s">
        <v>190</v>
      </c>
      <c r="C80" s="17">
        <v>1</v>
      </c>
      <c r="D80" s="17">
        <v>1</v>
      </c>
      <c r="E80" s="17">
        <v>1</v>
      </c>
      <c r="F80" s="17">
        <v>1</v>
      </c>
      <c r="G80" s="17">
        <v>3</v>
      </c>
      <c r="H80" s="17">
        <v>3</v>
      </c>
      <c r="I80" s="17">
        <v>6</v>
      </c>
      <c r="J80" s="168" t="s">
        <v>908</v>
      </c>
      <c r="K80" s="15">
        <v>6</v>
      </c>
      <c r="L80" s="168" t="s">
        <v>908</v>
      </c>
      <c r="M80" s="15">
        <v>6</v>
      </c>
      <c r="N80" s="168" t="s">
        <v>908</v>
      </c>
      <c r="O80" s="15">
        <v>6</v>
      </c>
      <c r="P80" s="168" t="s">
        <v>908</v>
      </c>
      <c r="Q80" s="15">
        <v>30</v>
      </c>
      <c r="R80" s="73"/>
      <c r="S80" s="74"/>
      <c r="T80" s="74"/>
      <c r="U80" s="74"/>
      <c r="V80" s="73"/>
      <c r="W80" s="74"/>
      <c r="X80" s="74"/>
      <c r="Y80" s="74"/>
      <c r="Z80" s="72"/>
      <c r="AA80" s="72"/>
      <c r="AB80" s="72"/>
      <c r="AC80" s="72"/>
    </row>
    <row r="81" spans="1:29" s="10" customFormat="1" ht="42.75" customHeight="1">
      <c r="A81" s="15">
        <v>5</v>
      </c>
      <c r="B81" s="79" t="s">
        <v>195</v>
      </c>
      <c r="C81" s="17">
        <v>20</v>
      </c>
      <c r="D81" s="17">
        <v>20</v>
      </c>
      <c r="E81" s="17">
        <v>20</v>
      </c>
      <c r="F81" s="17">
        <v>20</v>
      </c>
      <c r="G81" s="17">
        <v>3.5999999999999997E-2</v>
      </c>
      <c r="H81" s="17">
        <v>3.5999999999999997E-2</v>
      </c>
      <c r="I81" s="17">
        <v>13</v>
      </c>
      <c r="J81" s="168" t="s">
        <v>920</v>
      </c>
      <c r="K81" s="15">
        <v>13</v>
      </c>
      <c r="L81" s="168" t="s">
        <v>920</v>
      </c>
      <c r="M81" s="15">
        <v>13</v>
      </c>
      <c r="N81" s="168" t="s">
        <v>920</v>
      </c>
      <c r="O81" s="15">
        <v>13</v>
      </c>
      <c r="P81" s="168" t="s">
        <v>920</v>
      </c>
      <c r="Q81" s="15">
        <v>30</v>
      </c>
      <c r="R81" s="73"/>
      <c r="S81" s="74"/>
      <c r="T81" s="74"/>
      <c r="U81" s="74"/>
      <c r="V81" s="73"/>
      <c r="W81" s="74"/>
      <c r="X81" s="74"/>
      <c r="Y81" s="74"/>
      <c r="Z81" s="72"/>
      <c r="AA81" s="72"/>
      <c r="AB81" s="72"/>
      <c r="AC81" s="72"/>
    </row>
    <row r="82" spans="1:29" s="10" customFormat="1" ht="42.75" customHeight="1">
      <c r="A82" s="15">
        <v>6</v>
      </c>
      <c r="B82" s="79" t="s">
        <v>197</v>
      </c>
      <c r="C82" s="17">
        <v>32</v>
      </c>
      <c r="D82" s="17">
        <v>32</v>
      </c>
      <c r="E82" s="17">
        <v>32</v>
      </c>
      <c r="F82" s="17">
        <v>32</v>
      </c>
      <c r="G82" s="17">
        <v>8.9999999999999993E-3</v>
      </c>
      <c r="H82" s="17">
        <v>8.9999999999999993E-3</v>
      </c>
      <c r="I82" s="17">
        <v>5</v>
      </c>
      <c r="J82" s="168" t="s">
        <v>912</v>
      </c>
      <c r="K82" s="15">
        <v>5</v>
      </c>
      <c r="L82" s="168" t="s">
        <v>912</v>
      </c>
      <c r="M82" s="15">
        <v>5</v>
      </c>
      <c r="N82" s="168" t="s">
        <v>912</v>
      </c>
      <c r="O82" s="15">
        <v>5</v>
      </c>
      <c r="P82" s="168" t="s">
        <v>912</v>
      </c>
      <c r="Q82" s="15">
        <v>30</v>
      </c>
      <c r="R82" s="73"/>
      <c r="S82" s="74"/>
      <c r="T82" s="74"/>
      <c r="U82" s="74"/>
      <c r="V82" s="73"/>
      <c r="W82" s="74"/>
      <c r="X82" s="74"/>
      <c r="Y82" s="74"/>
      <c r="Z82" s="72"/>
      <c r="AA82" s="72"/>
      <c r="AB82" s="72"/>
      <c r="AC82" s="72"/>
    </row>
    <row r="83" spans="1:29" s="10" customFormat="1" ht="42.75" customHeight="1">
      <c r="A83" s="15">
        <v>7</v>
      </c>
      <c r="B83" s="79" t="s">
        <v>185</v>
      </c>
      <c r="C83" s="17">
        <v>9</v>
      </c>
      <c r="D83" s="17">
        <v>9</v>
      </c>
      <c r="E83" s="17">
        <v>9</v>
      </c>
      <c r="F83" s="17">
        <v>9</v>
      </c>
      <c r="G83" s="17">
        <v>2.5</v>
      </c>
      <c r="H83" s="17">
        <v>2.5</v>
      </c>
      <c r="I83" s="17">
        <v>2</v>
      </c>
      <c r="J83" s="168" t="s">
        <v>905</v>
      </c>
      <c r="K83" s="17">
        <v>2</v>
      </c>
      <c r="L83" s="168" t="s">
        <v>905</v>
      </c>
      <c r="M83" s="17">
        <v>2</v>
      </c>
      <c r="N83" s="168" t="s">
        <v>905</v>
      </c>
      <c r="O83" s="17">
        <v>2</v>
      </c>
      <c r="P83" s="168" t="s">
        <v>905</v>
      </c>
      <c r="Q83" s="15">
        <v>30</v>
      </c>
      <c r="R83" s="73"/>
      <c r="S83" s="74"/>
      <c r="T83" s="74"/>
      <c r="U83" s="74"/>
      <c r="V83" s="73"/>
      <c r="W83" s="74"/>
      <c r="X83" s="74"/>
      <c r="Y83" s="74"/>
      <c r="Z83" s="72"/>
      <c r="AA83" s="72"/>
      <c r="AB83" s="72"/>
      <c r="AC83" s="72"/>
    </row>
    <row r="84" spans="1:29" s="10" customFormat="1" ht="42.75" customHeight="1">
      <c r="A84" s="15">
        <v>8</v>
      </c>
      <c r="B84" s="79" t="s">
        <v>926</v>
      </c>
      <c r="C84" s="17">
        <v>16</v>
      </c>
      <c r="D84" s="17">
        <v>16</v>
      </c>
      <c r="E84" s="17">
        <v>16</v>
      </c>
      <c r="F84" s="17">
        <v>16</v>
      </c>
      <c r="G84" s="17">
        <v>0.05</v>
      </c>
      <c r="H84" s="17">
        <v>0.05</v>
      </c>
      <c r="I84" s="17">
        <v>4</v>
      </c>
      <c r="J84" s="168" t="s">
        <v>927</v>
      </c>
      <c r="K84" s="17">
        <v>4</v>
      </c>
      <c r="L84" s="168" t="s">
        <v>927</v>
      </c>
      <c r="M84" s="17">
        <v>4</v>
      </c>
      <c r="N84" s="168" t="s">
        <v>927</v>
      </c>
      <c r="O84" s="17">
        <v>4</v>
      </c>
      <c r="P84" s="168" t="s">
        <v>927</v>
      </c>
      <c r="Q84" s="15">
        <v>30</v>
      </c>
      <c r="R84" s="73"/>
      <c r="S84" s="74"/>
      <c r="T84" s="74"/>
      <c r="U84" s="74"/>
      <c r="V84" s="73"/>
      <c r="W84" s="74"/>
      <c r="X84" s="74"/>
      <c r="Y84" s="74"/>
      <c r="Z84" s="72"/>
      <c r="AA84" s="72"/>
      <c r="AB84" s="72"/>
      <c r="AC84" s="72"/>
    </row>
    <row r="85" spans="1:29" s="11" customFormat="1" ht="36.75" customHeight="1">
      <c r="A85" s="319" t="s">
        <v>49</v>
      </c>
      <c r="B85" s="51" t="s">
        <v>928</v>
      </c>
      <c r="C85" s="15"/>
      <c r="D85" s="17"/>
      <c r="E85" s="17"/>
      <c r="F85" s="17"/>
      <c r="G85" s="18"/>
      <c r="H85" s="18"/>
      <c r="I85" s="320"/>
      <c r="J85" s="79"/>
      <c r="K85" s="79"/>
      <c r="L85" s="79"/>
      <c r="M85" s="79"/>
      <c r="N85" s="79"/>
      <c r="O85" s="79"/>
      <c r="P85" s="79"/>
      <c r="Q85" s="15"/>
      <c r="R85" s="111"/>
      <c r="S85" s="112"/>
      <c r="T85" s="112"/>
      <c r="U85" s="112"/>
      <c r="V85" s="111"/>
      <c r="W85" s="112"/>
      <c r="X85" s="112"/>
      <c r="Y85" s="112"/>
      <c r="Z85" s="113"/>
      <c r="AA85" s="113"/>
      <c r="AB85" s="113"/>
      <c r="AC85" s="113"/>
    </row>
    <row r="86" spans="1:29" s="11" customFormat="1" ht="39.75" customHeight="1">
      <c r="A86" s="91">
        <v>1</v>
      </c>
      <c r="B86" s="79" t="s">
        <v>929</v>
      </c>
      <c r="C86" s="17">
        <v>10</v>
      </c>
      <c r="D86" s="17">
        <v>10</v>
      </c>
      <c r="E86" s="17">
        <v>10</v>
      </c>
      <c r="F86" s="17">
        <v>10</v>
      </c>
      <c r="G86" s="17">
        <v>3.5999999999999997E-2</v>
      </c>
      <c r="H86" s="17">
        <v>3.5999999999999997E-2</v>
      </c>
      <c r="I86" s="90">
        <v>8</v>
      </c>
      <c r="J86" s="168" t="s">
        <v>930</v>
      </c>
      <c r="K86" s="90">
        <v>8</v>
      </c>
      <c r="L86" s="168" t="s">
        <v>930</v>
      </c>
      <c r="M86" s="90">
        <v>8</v>
      </c>
      <c r="N86" s="168" t="s">
        <v>930</v>
      </c>
      <c r="O86" s="90">
        <v>8</v>
      </c>
      <c r="P86" s="168" t="s">
        <v>930</v>
      </c>
      <c r="Q86" s="15">
        <v>30</v>
      </c>
      <c r="R86" s="111"/>
      <c r="S86" s="112"/>
      <c r="T86" s="112"/>
      <c r="U86" s="112"/>
      <c r="V86" s="111"/>
      <c r="W86" s="112"/>
      <c r="X86" s="112"/>
      <c r="Y86" s="112"/>
      <c r="Z86" s="113"/>
      <c r="AA86" s="113"/>
      <c r="AB86" s="113"/>
      <c r="AC86" s="113"/>
    </row>
    <row r="87" spans="1:29" s="11" customFormat="1" ht="39.75" customHeight="1">
      <c r="A87" s="91">
        <v>2</v>
      </c>
      <c r="B87" s="79" t="s">
        <v>931</v>
      </c>
      <c r="C87" s="17">
        <v>1</v>
      </c>
      <c r="D87" s="17">
        <v>1</v>
      </c>
      <c r="E87" s="17">
        <v>1</v>
      </c>
      <c r="F87" s="17">
        <v>1</v>
      </c>
      <c r="G87" s="17">
        <v>5.274</v>
      </c>
      <c r="H87" s="17">
        <v>5.274</v>
      </c>
      <c r="I87" s="17">
        <v>1</v>
      </c>
      <c r="J87" s="168" t="s">
        <v>932</v>
      </c>
      <c r="K87" s="17">
        <v>1</v>
      </c>
      <c r="L87" s="168" t="s">
        <v>932</v>
      </c>
      <c r="M87" s="17">
        <v>1</v>
      </c>
      <c r="N87" s="168" t="s">
        <v>932</v>
      </c>
      <c r="O87" s="17">
        <v>1</v>
      </c>
      <c r="P87" s="168" t="s">
        <v>932</v>
      </c>
      <c r="Q87" s="15">
        <v>30</v>
      </c>
      <c r="R87" s="111"/>
      <c r="S87" s="112"/>
      <c r="T87" s="112"/>
      <c r="U87" s="112"/>
      <c r="V87" s="111"/>
      <c r="W87" s="112"/>
      <c r="X87" s="112"/>
      <c r="Y87" s="112"/>
      <c r="Z87" s="113"/>
      <c r="AA87" s="113"/>
      <c r="AB87" s="113"/>
      <c r="AC87" s="113"/>
    </row>
    <row r="88" spans="1:29" s="11" customFormat="1" ht="36.75" customHeight="1">
      <c r="A88" s="319" t="s">
        <v>407</v>
      </c>
      <c r="B88" s="51" t="s">
        <v>933</v>
      </c>
      <c r="C88" s="15"/>
      <c r="D88" s="17"/>
      <c r="E88" s="17"/>
      <c r="F88" s="17"/>
      <c r="G88" s="18"/>
      <c r="H88" s="18"/>
      <c r="I88" s="320"/>
      <c r="J88" s="79"/>
      <c r="K88" s="79"/>
      <c r="L88" s="79"/>
      <c r="M88" s="79"/>
      <c r="N88" s="79"/>
      <c r="O88" s="79"/>
      <c r="P88" s="79"/>
      <c r="Q88" s="15"/>
      <c r="R88" s="111"/>
      <c r="S88" s="112"/>
      <c r="T88" s="112"/>
      <c r="U88" s="112"/>
      <c r="V88" s="111"/>
      <c r="W88" s="112"/>
      <c r="X88" s="112"/>
      <c r="Y88" s="112"/>
      <c r="Z88" s="113"/>
      <c r="AA88" s="113"/>
      <c r="AB88" s="113"/>
      <c r="AC88" s="113"/>
    </row>
    <row r="89" spans="1:29" s="11" customFormat="1" ht="48" customHeight="1">
      <c r="A89" s="91">
        <v>1</v>
      </c>
      <c r="B89" s="79" t="s">
        <v>934</v>
      </c>
      <c r="C89" s="17">
        <v>10</v>
      </c>
      <c r="D89" s="17">
        <v>10</v>
      </c>
      <c r="E89" s="17">
        <v>10</v>
      </c>
      <c r="F89" s="17">
        <v>10</v>
      </c>
      <c r="G89" s="17">
        <v>3.5999999999999997E-2</v>
      </c>
      <c r="H89" s="17">
        <v>3.5999999999999997E-2</v>
      </c>
      <c r="I89" s="90">
        <v>8</v>
      </c>
      <c r="J89" s="168" t="s">
        <v>930</v>
      </c>
      <c r="K89" s="90">
        <v>8</v>
      </c>
      <c r="L89" s="168" t="s">
        <v>930</v>
      </c>
      <c r="M89" s="90">
        <v>8</v>
      </c>
      <c r="N89" s="168" t="s">
        <v>930</v>
      </c>
      <c r="O89" s="90">
        <v>8</v>
      </c>
      <c r="P89" s="168" t="s">
        <v>930</v>
      </c>
      <c r="Q89" s="15">
        <v>30</v>
      </c>
      <c r="R89" s="111"/>
      <c r="S89" s="112"/>
      <c r="T89" s="112"/>
      <c r="U89" s="112"/>
      <c r="V89" s="111"/>
      <c r="W89" s="112"/>
      <c r="X89" s="112"/>
      <c r="Y89" s="112"/>
      <c r="Z89" s="113"/>
      <c r="AA89" s="113"/>
      <c r="AB89" s="113"/>
      <c r="AC89" s="113"/>
    </row>
    <row r="90" spans="1:29" s="11" customFormat="1" ht="48" customHeight="1">
      <c r="A90" s="91">
        <v>2</v>
      </c>
      <c r="B90" s="79" t="s">
        <v>935</v>
      </c>
      <c r="C90" s="17">
        <v>2</v>
      </c>
      <c r="D90" s="17">
        <v>2</v>
      </c>
      <c r="E90" s="17">
        <v>2</v>
      </c>
      <c r="F90" s="17">
        <v>2</v>
      </c>
      <c r="G90" s="17">
        <v>1.1299999999999999</v>
      </c>
      <c r="H90" s="17">
        <v>1.1299999999999999</v>
      </c>
      <c r="I90" s="17">
        <v>6</v>
      </c>
      <c r="J90" s="168" t="s">
        <v>936</v>
      </c>
      <c r="K90" s="17">
        <v>6</v>
      </c>
      <c r="L90" s="168" t="s">
        <v>936</v>
      </c>
      <c r="M90" s="17">
        <v>6</v>
      </c>
      <c r="N90" s="168" t="s">
        <v>936</v>
      </c>
      <c r="O90" s="17">
        <v>6</v>
      </c>
      <c r="P90" s="168" t="s">
        <v>936</v>
      </c>
      <c r="Q90" s="15">
        <v>30</v>
      </c>
      <c r="R90" s="111"/>
      <c r="S90" s="112"/>
      <c r="T90" s="112"/>
      <c r="U90" s="112"/>
      <c r="V90" s="111"/>
      <c r="W90" s="112"/>
      <c r="X90" s="112"/>
      <c r="Y90" s="112"/>
      <c r="Z90" s="113"/>
      <c r="AA90" s="113"/>
      <c r="AB90" s="113"/>
      <c r="AC90" s="113"/>
    </row>
    <row r="91" spans="1:29" s="11" customFormat="1" ht="36.75" customHeight="1">
      <c r="A91" s="319" t="s">
        <v>408</v>
      </c>
      <c r="B91" s="51" t="s">
        <v>937</v>
      </c>
      <c r="C91" s="15"/>
      <c r="D91" s="17"/>
      <c r="E91" s="17"/>
      <c r="F91" s="17"/>
      <c r="G91" s="18"/>
      <c r="H91" s="18"/>
      <c r="I91" s="320"/>
      <c r="J91" s="79"/>
      <c r="K91" s="79"/>
      <c r="L91" s="79"/>
      <c r="M91" s="79"/>
      <c r="N91" s="79"/>
      <c r="O91" s="79"/>
      <c r="P91" s="79"/>
      <c r="Q91" s="15"/>
      <c r="R91" s="111"/>
      <c r="S91" s="112"/>
      <c r="T91" s="112"/>
      <c r="U91" s="112"/>
      <c r="V91" s="111"/>
      <c r="W91" s="112"/>
      <c r="X91" s="112"/>
      <c r="Y91" s="112"/>
      <c r="Z91" s="113"/>
      <c r="AA91" s="113"/>
      <c r="AB91" s="113"/>
      <c r="AC91" s="113"/>
    </row>
    <row r="92" spans="1:29" s="11" customFormat="1" ht="39.75" customHeight="1">
      <c r="A92" s="91">
        <v>1</v>
      </c>
      <c r="B92" s="79" t="s">
        <v>934</v>
      </c>
      <c r="C92" s="17">
        <v>40</v>
      </c>
      <c r="D92" s="17">
        <v>40</v>
      </c>
      <c r="E92" s="17">
        <v>40</v>
      </c>
      <c r="F92" s="17">
        <v>40</v>
      </c>
      <c r="G92" s="17">
        <v>3.5999999999999997E-2</v>
      </c>
      <c r="H92" s="17">
        <v>3.5999999999999997E-2</v>
      </c>
      <c r="I92" s="90">
        <v>8</v>
      </c>
      <c r="J92" s="168" t="s">
        <v>930</v>
      </c>
      <c r="K92" s="90">
        <v>8</v>
      </c>
      <c r="L92" s="168" t="s">
        <v>930</v>
      </c>
      <c r="M92" s="90">
        <v>8</v>
      </c>
      <c r="N92" s="168" t="s">
        <v>930</v>
      </c>
      <c r="O92" s="90">
        <v>8</v>
      </c>
      <c r="P92" s="168" t="s">
        <v>930</v>
      </c>
      <c r="Q92" s="15">
        <v>30</v>
      </c>
      <c r="R92" s="111"/>
      <c r="S92" s="112"/>
      <c r="T92" s="112"/>
      <c r="U92" s="112"/>
      <c r="V92" s="111"/>
      <c r="W92" s="112"/>
      <c r="X92" s="112"/>
      <c r="Y92" s="112"/>
      <c r="Z92" s="113"/>
      <c r="AA92" s="113"/>
      <c r="AB92" s="113"/>
      <c r="AC92" s="113"/>
    </row>
    <row r="93" spans="1:29" s="11" customFormat="1" ht="39.75" customHeight="1">
      <c r="A93" s="91">
        <v>2</v>
      </c>
      <c r="B93" s="79" t="s">
        <v>935</v>
      </c>
      <c r="C93" s="17">
        <v>6</v>
      </c>
      <c r="D93" s="17">
        <v>6</v>
      </c>
      <c r="E93" s="17">
        <v>6</v>
      </c>
      <c r="F93" s="17">
        <v>6</v>
      </c>
      <c r="G93" s="17">
        <v>1.1299999999999999</v>
      </c>
      <c r="H93" s="17">
        <v>1.1299999999999999</v>
      </c>
      <c r="I93" s="90">
        <v>8</v>
      </c>
      <c r="J93" s="168" t="s">
        <v>930</v>
      </c>
      <c r="K93" s="90">
        <v>8</v>
      </c>
      <c r="L93" s="168" t="s">
        <v>930</v>
      </c>
      <c r="M93" s="90">
        <v>8</v>
      </c>
      <c r="N93" s="168" t="s">
        <v>930</v>
      </c>
      <c r="O93" s="90">
        <v>8</v>
      </c>
      <c r="P93" s="168" t="s">
        <v>930</v>
      </c>
      <c r="Q93" s="15">
        <v>30</v>
      </c>
      <c r="R93" s="111"/>
      <c r="S93" s="112"/>
      <c r="T93" s="112"/>
      <c r="U93" s="112"/>
      <c r="V93" s="111"/>
      <c r="W93" s="112"/>
      <c r="X93" s="112"/>
      <c r="Y93" s="112"/>
      <c r="Z93" s="113"/>
      <c r="AA93" s="113"/>
      <c r="AB93" s="113"/>
      <c r="AC93" s="113"/>
    </row>
    <row r="94" spans="1:29" s="11" customFormat="1" ht="39.75" customHeight="1">
      <c r="A94" s="91">
        <v>3</v>
      </c>
      <c r="B94" s="79" t="s">
        <v>185</v>
      </c>
      <c r="C94" s="17">
        <v>1</v>
      </c>
      <c r="D94" s="17">
        <v>1</v>
      </c>
      <c r="E94" s="17">
        <v>1</v>
      </c>
      <c r="F94" s="17">
        <v>1</v>
      </c>
      <c r="G94" s="17">
        <v>2.5</v>
      </c>
      <c r="H94" s="17">
        <v>2.5</v>
      </c>
      <c r="I94" s="17">
        <v>2</v>
      </c>
      <c r="J94" s="168" t="s">
        <v>905</v>
      </c>
      <c r="K94" s="17">
        <v>2</v>
      </c>
      <c r="L94" s="168" t="s">
        <v>905</v>
      </c>
      <c r="M94" s="17">
        <v>2</v>
      </c>
      <c r="N94" s="168" t="s">
        <v>905</v>
      </c>
      <c r="O94" s="17">
        <v>2</v>
      </c>
      <c r="P94" s="168" t="s">
        <v>905</v>
      </c>
      <c r="Q94" s="15">
        <v>30</v>
      </c>
      <c r="R94" s="111"/>
      <c r="S94" s="112"/>
      <c r="T94" s="112"/>
      <c r="U94" s="112"/>
      <c r="V94" s="111"/>
      <c r="W94" s="112"/>
      <c r="X94" s="112"/>
      <c r="Y94" s="112"/>
      <c r="Z94" s="113"/>
      <c r="AA94" s="113"/>
      <c r="AB94" s="113"/>
      <c r="AC94" s="113"/>
    </row>
    <row r="95" spans="1:29" s="11" customFormat="1" ht="39.75" customHeight="1">
      <c r="A95" s="91">
        <v>4</v>
      </c>
      <c r="B95" s="79" t="s">
        <v>183</v>
      </c>
      <c r="C95" s="17">
        <v>1</v>
      </c>
      <c r="D95" s="17">
        <v>1</v>
      </c>
      <c r="E95" s="17">
        <v>1</v>
      </c>
      <c r="F95" s="17">
        <v>1</v>
      </c>
      <c r="G95" s="17">
        <v>1</v>
      </c>
      <c r="H95" s="17">
        <v>1</v>
      </c>
      <c r="I95" s="17">
        <v>24</v>
      </c>
      <c r="J95" s="168" t="s">
        <v>938</v>
      </c>
      <c r="K95" s="17">
        <v>24</v>
      </c>
      <c r="L95" s="168" t="s">
        <v>938</v>
      </c>
      <c r="M95" s="17">
        <v>24</v>
      </c>
      <c r="N95" s="168" t="s">
        <v>938</v>
      </c>
      <c r="O95" s="17">
        <v>24</v>
      </c>
      <c r="P95" s="168" t="s">
        <v>938</v>
      </c>
      <c r="Q95" s="15">
        <v>30</v>
      </c>
      <c r="R95" s="111"/>
      <c r="S95" s="112"/>
      <c r="T95" s="112"/>
      <c r="U95" s="112"/>
      <c r="V95" s="111"/>
      <c r="W95" s="112"/>
      <c r="X95" s="112"/>
      <c r="Y95" s="112"/>
      <c r="Z95" s="113"/>
      <c r="AA95" s="113"/>
      <c r="AB95" s="113"/>
      <c r="AC95" s="113"/>
    </row>
    <row r="96" spans="1:29" s="11" customFormat="1" ht="39.75" customHeight="1">
      <c r="A96" s="91">
        <v>5</v>
      </c>
      <c r="B96" s="79" t="s">
        <v>939</v>
      </c>
      <c r="C96" s="17">
        <v>1</v>
      </c>
      <c r="D96" s="17">
        <v>1</v>
      </c>
      <c r="E96" s="17">
        <v>1</v>
      </c>
      <c r="F96" s="17">
        <v>1</v>
      </c>
      <c r="G96" s="17">
        <v>0.09</v>
      </c>
      <c r="H96" s="17">
        <v>0.09</v>
      </c>
      <c r="I96" s="17">
        <v>24</v>
      </c>
      <c r="J96" s="168" t="s">
        <v>938</v>
      </c>
      <c r="K96" s="15">
        <v>24</v>
      </c>
      <c r="L96" s="168" t="s">
        <v>938</v>
      </c>
      <c r="M96" s="15">
        <v>24</v>
      </c>
      <c r="N96" s="168" t="s">
        <v>938</v>
      </c>
      <c r="O96" s="15">
        <v>24</v>
      </c>
      <c r="P96" s="168" t="s">
        <v>938</v>
      </c>
      <c r="Q96" s="15">
        <v>30</v>
      </c>
      <c r="R96" s="111"/>
      <c r="S96" s="112"/>
      <c r="T96" s="112"/>
      <c r="U96" s="112"/>
      <c r="V96" s="111"/>
      <c r="W96" s="112"/>
      <c r="X96" s="112"/>
      <c r="Y96" s="112"/>
      <c r="Z96" s="113"/>
      <c r="AA96" s="113"/>
      <c r="AB96" s="113"/>
      <c r="AC96" s="113"/>
    </row>
    <row r="97" spans="1:29" s="11" customFormat="1" ht="39.75" customHeight="1">
      <c r="A97" s="91">
        <v>6</v>
      </c>
      <c r="B97" s="79" t="s">
        <v>187</v>
      </c>
      <c r="C97" s="17">
        <v>1</v>
      </c>
      <c r="D97" s="17">
        <v>1</v>
      </c>
      <c r="E97" s="17">
        <v>1</v>
      </c>
      <c r="F97" s="17">
        <v>1</v>
      </c>
      <c r="G97" s="17">
        <v>0.08</v>
      </c>
      <c r="H97" s="17">
        <v>0.08</v>
      </c>
      <c r="I97" s="17">
        <v>3</v>
      </c>
      <c r="J97" s="168" t="s">
        <v>940</v>
      </c>
      <c r="K97" s="17">
        <v>3</v>
      </c>
      <c r="L97" s="168" t="s">
        <v>940</v>
      </c>
      <c r="M97" s="17">
        <v>3</v>
      </c>
      <c r="N97" s="168" t="s">
        <v>940</v>
      </c>
      <c r="O97" s="17">
        <v>3</v>
      </c>
      <c r="P97" s="168" t="s">
        <v>940</v>
      </c>
      <c r="Q97" s="15">
        <v>30</v>
      </c>
      <c r="R97" s="111"/>
      <c r="S97" s="112"/>
      <c r="T97" s="112"/>
      <c r="U97" s="112"/>
      <c r="V97" s="111"/>
      <c r="W97" s="112"/>
      <c r="X97" s="112"/>
      <c r="Y97" s="112"/>
      <c r="Z97" s="113"/>
      <c r="AA97" s="113"/>
      <c r="AB97" s="113"/>
      <c r="AC97" s="113"/>
    </row>
    <row r="98" spans="1:29" s="10" customFormat="1" ht="32.25" customHeight="1">
      <c r="A98" s="15"/>
      <c r="B98" s="79"/>
      <c r="C98" s="17"/>
      <c r="D98" s="17"/>
      <c r="E98" s="17"/>
      <c r="F98" s="17"/>
      <c r="G98" s="17"/>
      <c r="H98" s="17"/>
      <c r="I98" s="17"/>
      <c r="J98" s="168"/>
      <c r="K98" s="15"/>
      <c r="L98" s="168"/>
      <c r="M98" s="15"/>
      <c r="N98" s="168"/>
      <c r="O98" s="15"/>
      <c r="P98" s="168"/>
      <c r="Q98" s="15"/>
      <c r="R98" s="73"/>
      <c r="S98" s="74"/>
      <c r="T98" s="74"/>
      <c r="U98" s="74"/>
      <c r="V98" s="73"/>
      <c r="W98" s="74"/>
      <c r="X98" s="74"/>
      <c r="Y98" s="74"/>
      <c r="Z98" s="72"/>
      <c r="AA98" s="72"/>
      <c r="AB98" s="72"/>
      <c r="AC98" s="72"/>
    </row>
    <row r="99" spans="1:29" s="10" customFormat="1" ht="32.25" hidden="1" customHeight="1">
      <c r="A99" s="319" t="s">
        <v>409</v>
      </c>
      <c r="B99" s="51" t="s">
        <v>200</v>
      </c>
      <c r="C99" s="15"/>
      <c r="D99" s="17"/>
      <c r="E99" s="17"/>
      <c r="F99" s="17"/>
      <c r="G99" s="18"/>
      <c r="H99" s="18"/>
      <c r="I99" s="320"/>
      <c r="J99" s="79"/>
      <c r="K99" s="79"/>
      <c r="L99" s="79"/>
      <c r="M99" s="79"/>
      <c r="N99" s="79"/>
      <c r="O99" s="79"/>
      <c r="P99" s="79"/>
      <c r="Q99" s="15"/>
      <c r="R99" s="73">
        <f t="shared" ref="R99:R105" si="9">C99*G99*I99*Q99</f>
        <v>0</v>
      </c>
      <c r="S99" s="74">
        <f t="shared" ref="S99:S105" si="10">D99*G99*K99*Q99</f>
        <v>0</v>
      </c>
      <c r="T99" s="74">
        <f t="shared" ref="T99:T105" si="11">E99*G99*M99*Q99</f>
        <v>0</v>
      </c>
      <c r="U99" s="74">
        <f t="shared" ref="U99:U105" si="12">F99*G99*O99*Q99</f>
        <v>0</v>
      </c>
      <c r="V99" s="73">
        <f t="shared" ref="V99:V105" si="13">C99*H99*I99*Q99</f>
        <v>0</v>
      </c>
      <c r="W99" s="74">
        <f t="shared" ref="W99:W105" si="14">D99*H99*K99*Q99</f>
        <v>0</v>
      </c>
      <c r="X99" s="74">
        <f t="shared" ref="X99:X105" si="15">E99*H99*M99*Q99</f>
        <v>0</v>
      </c>
      <c r="Y99" s="74">
        <f t="shared" ref="Y99:Y105" si="16">F99*H99*O99*Q99</f>
        <v>0</v>
      </c>
      <c r="Z99" s="72" t="e">
        <f t="shared" ref="Z99:AC105" si="17">V99/R99</f>
        <v>#DIV/0!</v>
      </c>
      <c r="AA99" s="72" t="e">
        <f t="shared" si="17"/>
        <v>#DIV/0!</v>
      </c>
      <c r="AB99" s="72" t="e">
        <f t="shared" si="17"/>
        <v>#DIV/0!</v>
      </c>
      <c r="AC99" s="72" t="e">
        <f t="shared" si="17"/>
        <v>#DIV/0!</v>
      </c>
    </row>
    <row r="100" spans="1:29" s="10" customFormat="1" ht="42.75" hidden="1" customHeight="1">
      <c r="A100" s="15">
        <v>1</v>
      </c>
      <c r="B100" s="16" t="s">
        <v>201</v>
      </c>
      <c r="C100" s="17">
        <v>10</v>
      </c>
      <c r="D100" s="17">
        <v>10</v>
      </c>
      <c r="E100" s="17">
        <v>10</v>
      </c>
      <c r="F100" s="17">
        <v>10</v>
      </c>
      <c r="G100" s="17">
        <v>2.2000000000000002</v>
      </c>
      <c r="H100" s="17">
        <v>2.2000000000000002</v>
      </c>
      <c r="I100" s="17">
        <v>1</v>
      </c>
      <c r="J100" s="168" t="s">
        <v>900</v>
      </c>
      <c r="K100" s="17">
        <v>1</v>
      </c>
      <c r="L100" s="168" t="s">
        <v>900</v>
      </c>
      <c r="M100" s="17">
        <v>1</v>
      </c>
      <c r="N100" s="168" t="s">
        <v>900</v>
      </c>
      <c r="O100" s="17">
        <v>1</v>
      </c>
      <c r="P100" s="168" t="s">
        <v>900</v>
      </c>
      <c r="Q100" s="15">
        <v>30</v>
      </c>
      <c r="R100" s="73">
        <f t="shared" si="9"/>
        <v>660</v>
      </c>
      <c r="S100" s="74">
        <f t="shared" si="10"/>
        <v>660</v>
      </c>
      <c r="T100" s="74">
        <f t="shared" si="11"/>
        <v>660</v>
      </c>
      <c r="U100" s="74">
        <f t="shared" si="12"/>
        <v>660</v>
      </c>
      <c r="V100" s="73">
        <f t="shared" si="13"/>
        <v>660</v>
      </c>
      <c r="W100" s="74">
        <f t="shared" si="14"/>
        <v>660</v>
      </c>
      <c r="X100" s="74">
        <f t="shared" si="15"/>
        <v>660</v>
      </c>
      <c r="Y100" s="74">
        <f t="shared" si="16"/>
        <v>660</v>
      </c>
      <c r="Z100" s="72">
        <f t="shared" si="17"/>
        <v>1</v>
      </c>
      <c r="AA100" s="72">
        <f t="shared" si="17"/>
        <v>1</v>
      </c>
      <c r="AB100" s="72">
        <f t="shared" si="17"/>
        <v>1</v>
      </c>
      <c r="AC100" s="72">
        <f t="shared" si="17"/>
        <v>1</v>
      </c>
    </row>
    <row r="101" spans="1:29" s="10" customFormat="1" ht="42.75" hidden="1" customHeight="1">
      <c r="A101" s="15">
        <v>2</v>
      </c>
      <c r="B101" s="16" t="s">
        <v>202</v>
      </c>
      <c r="C101" s="17">
        <v>7</v>
      </c>
      <c r="D101" s="17">
        <v>7</v>
      </c>
      <c r="E101" s="17">
        <v>7</v>
      </c>
      <c r="F101" s="17">
        <v>7</v>
      </c>
      <c r="G101" s="17">
        <v>3</v>
      </c>
      <c r="H101" s="17">
        <v>3</v>
      </c>
      <c r="I101" s="17">
        <v>1</v>
      </c>
      <c r="J101" s="168" t="s">
        <v>900</v>
      </c>
      <c r="K101" s="17">
        <v>1</v>
      </c>
      <c r="L101" s="168" t="s">
        <v>900</v>
      </c>
      <c r="M101" s="17">
        <v>1</v>
      </c>
      <c r="N101" s="168" t="s">
        <v>900</v>
      </c>
      <c r="O101" s="17">
        <v>1</v>
      </c>
      <c r="P101" s="168" t="s">
        <v>900</v>
      </c>
      <c r="Q101" s="15">
        <v>30</v>
      </c>
      <c r="R101" s="73">
        <f t="shared" si="9"/>
        <v>630</v>
      </c>
      <c r="S101" s="74">
        <f t="shared" si="10"/>
        <v>630</v>
      </c>
      <c r="T101" s="74">
        <f t="shared" si="11"/>
        <v>630</v>
      </c>
      <c r="U101" s="74">
        <f t="shared" si="12"/>
        <v>630</v>
      </c>
      <c r="V101" s="73">
        <f t="shared" si="13"/>
        <v>630</v>
      </c>
      <c r="W101" s="74">
        <f t="shared" si="14"/>
        <v>630</v>
      </c>
      <c r="X101" s="74">
        <f t="shared" si="15"/>
        <v>630</v>
      </c>
      <c r="Y101" s="74">
        <f t="shared" si="16"/>
        <v>630</v>
      </c>
      <c r="Z101" s="72">
        <f t="shared" si="17"/>
        <v>1</v>
      </c>
      <c r="AA101" s="72">
        <f t="shared" si="17"/>
        <v>1</v>
      </c>
      <c r="AB101" s="72">
        <f t="shared" si="17"/>
        <v>1</v>
      </c>
      <c r="AC101" s="72">
        <f t="shared" si="17"/>
        <v>1</v>
      </c>
    </row>
    <row r="102" spans="1:29" s="10" customFormat="1" ht="42.75" hidden="1" customHeight="1">
      <c r="A102" s="15">
        <v>3</v>
      </c>
      <c r="B102" s="16" t="s">
        <v>203</v>
      </c>
      <c r="C102" s="17">
        <v>5</v>
      </c>
      <c r="D102" s="17">
        <v>5</v>
      </c>
      <c r="E102" s="17">
        <v>5</v>
      </c>
      <c r="F102" s="17">
        <v>5</v>
      </c>
      <c r="G102" s="17">
        <v>1.1000000000000001</v>
      </c>
      <c r="H102" s="17">
        <v>1.1000000000000001</v>
      </c>
      <c r="I102" s="17">
        <v>1</v>
      </c>
      <c r="J102" s="168" t="s">
        <v>900</v>
      </c>
      <c r="K102" s="17">
        <v>1</v>
      </c>
      <c r="L102" s="168" t="s">
        <v>900</v>
      </c>
      <c r="M102" s="17">
        <v>1</v>
      </c>
      <c r="N102" s="168" t="s">
        <v>900</v>
      </c>
      <c r="O102" s="17">
        <v>1</v>
      </c>
      <c r="P102" s="168" t="s">
        <v>900</v>
      </c>
      <c r="Q102" s="15">
        <v>30</v>
      </c>
      <c r="R102" s="73">
        <f t="shared" si="9"/>
        <v>165</v>
      </c>
      <c r="S102" s="74">
        <f t="shared" si="10"/>
        <v>165</v>
      </c>
      <c r="T102" s="74">
        <f t="shared" si="11"/>
        <v>165</v>
      </c>
      <c r="U102" s="74">
        <f t="shared" si="12"/>
        <v>165</v>
      </c>
      <c r="V102" s="73">
        <f t="shared" si="13"/>
        <v>165</v>
      </c>
      <c r="W102" s="74">
        <f t="shared" si="14"/>
        <v>165</v>
      </c>
      <c r="X102" s="74">
        <f t="shared" si="15"/>
        <v>165</v>
      </c>
      <c r="Y102" s="74">
        <f t="shared" si="16"/>
        <v>165</v>
      </c>
      <c r="Z102" s="72">
        <f t="shared" si="17"/>
        <v>1</v>
      </c>
      <c r="AA102" s="72">
        <f t="shared" si="17"/>
        <v>1</v>
      </c>
      <c r="AB102" s="72">
        <f t="shared" si="17"/>
        <v>1</v>
      </c>
      <c r="AC102" s="72">
        <f t="shared" si="17"/>
        <v>1</v>
      </c>
    </row>
    <row r="103" spans="1:29" s="10" customFormat="1" ht="42.75" hidden="1" customHeight="1">
      <c r="A103" s="15">
        <v>4</v>
      </c>
      <c r="B103" s="16" t="s">
        <v>204</v>
      </c>
      <c r="C103" s="17">
        <v>2</v>
      </c>
      <c r="D103" s="17">
        <v>2</v>
      </c>
      <c r="E103" s="17">
        <v>2</v>
      </c>
      <c r="F103" s="17">
        <v>2</v>
      </c>
      <c r="G103" s="17">
        <v>30</v>
      </c>
      <c r="H103" s="17">
        <v>30</v>
      </c>
      <c r="I103" s="17">
        <v>0.5</v>
      </c>
      <c r="J103" s="168" t="s">
        <v>900</v>
      </c>
      <c r="K103" s="17">
        <v>0.5</v>
      </c>
      <c r="L103" s="168" t="s">
        <v>900</v>
      </c>
      <c r="M103" s="17">
        <v>0.5</v>
      </c>
      <c r="N103" s="168" t="s">
        <v>900</v>
      </c>
      <c r="O103" s="17">
        <v>0.5</v>
      </c>
      <c r="P103" s="168" t="s">
        <v>900</v>
      </c>
      <c r="Q103" s="15">
        <v>30</v>
      </c>
      <c r="R103" s="73">
        <f t="shared" si="9"/>
        <v>900</v>
      </c>
      <c r="S103" s="74">
        <f t="shared" si="10"/>
        <v>900</v>
      </c>
      <c r="T103" s="74">
        <f t="shared" si="11"/>
        <v>900</v>
      </c>
      <c r="U103" s="74">
        <f t="shared" si="12"/>
        <v>900</v>
      </c>
      <c r="V103" s="73">
        <f t="shared" si="13"/>
        <v>900</v>
      </c>
      <c r="W103" s="74">
        <f t="shared" si="14"/>
        <v>900</v>
      </c>
      <c r="X103" s="74">
        <f t="shared" si="15"/>
        <v>900</v>
      </c>
      <c r="Y103" s="74">
        <f t="shared" si="16"/>
        <v>900</v>
      </c>
      <c r="Z103" s="72">
        <f t="shared" si="17"/>
        <v>1</v>
      </c>
      <c r="AA103" s="72">
        <f t="shared" si="17"/>
        <v>1</v>
      </c>
      <c r="AB103" s="72">
        <f t="shared" si="17"/>
        <v>1</v>
      </c>
      <c r="AC103" s="72">
        <f t="shared" si="17"/>
        <v>1</v>
      </c>
    </row>
    <row r="104" spans="1:29" s="10" customFormat="1" ht="42.75" hidden="1" customHeight="1">
      <c r="A104" s="15">
        <v>5</v>
      </c>
      <c r="B104" s="16" t="s">
        <v>205</v>
      </c>
      <c r="C104" s="17">
        <v>2</v>
      </c>
      <c r="D104" s="17">
        <v>2</v>
      </c>
      <c r="E104" s="17">
        <v>2</v>
      </c>
      <c r="F104" s="17">
        <v>2</v>
      </c>
      <c r="G104" s="17">
        <v>5.5</v>
      </c>
      <c r="H104" s="17">
        <v>5.5</v>
      </c>
      <c r="I104" s="17">
        <v>1</v>
      </c>
      <c r="J104" s="168" t="s">
        <v>900</v>
      </c>
      <c r="K104" s="17">
        <v>1</v>
      </c>
      <c r="L104" s="168" t="s">
        <v>900</v>
      </c>
      <c r="M104" s="17">
        <v>1</v>
      </c>
      <c r="N104" s="168" t="s">
        <v>900</v>
      </c>
      <c r="O104" s="17">
        <v>1</v>
      </c>
      <c r="P104" s="168" t="s">
        <v>900</v>
      </c>
      <c r="Q104" s="15">
        <v>30</v>
      </c>
      <c r="R104" s="73">
        <f t="shared" si="9"/>
        <v>330</v>
      </c>
      <c r="S104" s="74">
        <f t="shared" si="10"/>
        <v>330</v>
      </c>
      <c r="T104" s="74">
        <f t="shared" si="11"/>
        <v>330</v>
      </c>
      <c r="U104" s="74">
        <f t="shared" si="12"/>
        <v>330</v>
      </c>
      <c r="V104" s="73">
        <f t="shared" si="13"/>
        <v>330</v>
      </c>
      <c r="W104" s="74">
        <f t="shared" si="14"/>
        <v>330</v>
      </c>
      <c r="X104" s="74">
        <f t="shared" si="15"/>
        <v>330</v>
      </c>
      <c r="Y104" s="74">
        <f t="shared" si="16"/>
        <v>330</v>
      </c>
      <c r="Z104" s="72">
        <f t="shared" si="17"/>
        <v>1</v>
      </c>
      <c r="AA104" s="72">
        <f t="shared" si="17"/>
        <v>1</v>
      </c>
      <c r="AB104" s="72">
        <f t="shared" si="17"/>
        <v>1</v>
      </c>
      <c r="AC104" s="72">
        <f t="shared" si="17"/>
        <v>1</v>
      </c>
    </row>
    <row r="105" spans="1:29" s="10" customFormat="1" ht="32.25" customHeight="1">
      <c r="A105" s="319" t="s">
        <v>411</v>
      </c>
      <c r="B105" s="51" t="s">
        <v>622</v>
      </c>
      <c r="C105" s="15"/>
      <c r="D105" s="17"/>
      <c r="E105" s="17"/>
      <c r="F105" s="17"/>
      <c r="G105" s="18"/>
      <c r="H105" s="18"/>
      <c r="I105" s="320"/>
      <c r="J105" s="79"/>
      <c r="K105" s="79"/>
      <c r="L105" s="79"/>
      <c r="M105" s="79"/>
      <c r="N105" s="79"/>
      <c r="O105" s="79"/>
      <c r="P105" s="79"/>
      <c r="Q105" s="15"/>
      <c r="R105" s="73">
        <f t="shared" si="9"/>
        <v>0</v>
      </c>
      <c r="S105" s="74">
        <f t="shared" si="10"/>
        <v>0</v>
      </c>
      <c r="T105" s="74">
        <f t="shared" si="11"/>
        <v>0</v>
      </c>
      <c r="U105" s="74">
        <f t="shared" si="12"/>
        <v>0</v>
      </c>
      <c r="V105" s="73">
        <f t="shared" si="13"/>
        <v>0</v>
      </c>
      <c r="W105" s="74">
        <f t="shared" si="14"/>
        <v>0</v>
      </c>
      <c r="X105" s="74">
        <f t="shared" si="15"/>
        <v>0</v>
      </c>
      <c r="Y105" s="74">
        <f t="shared" si="16"/>
        <v>0</v>
      </c>
      <c r="Z105" s="72" t="e">
        <f t="shared" si="17"/>
        <v>#DIV/0!</v>
      </c>
      <c r="AA105" s="72" t="e">
        <f t="shared" si="17"/>
        <v>#DIV/0!</v>
      </c>
      <c r="AB105" s="72" t="e">
        <f t="shared" si="17"/>
        <v>#DIV/0!</v>
      </c>
      <c r="AC105" s="72" t="e">
        <f t="shared" si="17"/>
        <v>#DIV/0!</v>
      </c>
    </row>
    <row r="106" spans="1:29" s="10" customFormat="1" ht="37.5" customHeight="1">
      <c r="A106" s="15">
        <v>1</v>
      </c>
      <c r="B106" s="79" t="s">
        <v>941</v>
      </c>
      <c r="C106" s="17">
        <v>90</v>
      </c>
      <c r="D106" s="17">
        <v>90</v>
      </c>
      <c r="E106" s="17">
        <v>90</v>
      </c>
      <c r="F106" s="17">
        <v>90</v>
      </c>
      <c r="G106" s="17">
        <v>3.5999999999999997E-2</v>
      </c>
      <c r="H106" s="17">
        <v>3.5999999999999997E-2</v>
      </c>
      <c r="I106" s="17">
        <v>5</v>
      </c>
      <c r="J106" s="168" t="s">
        <v>942</v>
      </c>
      <c r="K106" s="15">
        <v>5</v>
      </c>
      <c r="L106" s="168" t="s">
        <v>942</v>
      </c>
      <c r="M106" s="15">
        <v>5</v>
      </c>
      <c r="N106" s="168" t="s">
        <v>942</v>
      </c>
      <c r="O106" s="15">
        <v>5</v>
      </c>
      <c r="P106" s="168" t="s">
        <v>942</v>
      </c>
      <c r="Q106" s="15">
        <v>30</v>
      </c>
      <c r="R106" s="73"/>
      <c r="S106" s="74"/>
      <c r="T106" s="74"/>
      <c r="U106" s="74"/>
      <c r="V106" s="73"/>
      <c r="W106" s="74"/>
      <c r="X106" s="74"/>
      <c r="Y106" s="74"/>
      <c r="Z106" s="72"/>
      <c r="AA106" s="72"/>
      <c r="AB106" s="72"/>
      <c r="AC106" s="72"/>
    </row>
    <row r="107" spans="1:29" s="10" customFormat="1" ht="45">
      <c r="A107" s="15">
        <v>2</v>
      </c>
      <c r="B107" s="79" t="s">
        <v>943</v>
      </c>
      <c r="C107" s="17">
        <v>1</v>
      </c>
      <c r="D107" s="17">
        <v>1</v>
      </c>
      <c r="E107" s="17">
        <v>1</v>
      </c>
      <c r="F107" s="17">
        <v>1</v>
      </c>
      <c r="G107" s="17">
        <v>5.274</v>
      </c>
      <c r="H107" s="17">
        <v>5.274</v>
      </c>
      <c r="I107" s="17">
        <v>2</v>
      </c>
      <c r="J107" s="168" t="s">
        <v>944</v>
      </c>
      <c r="K107" s="15">
        <v>2</v>
      </c>
      <c r="L107" s="168" t="s">
        <v>944</v>
      </c>
      <c r="M107" s="15">
        <v>2</v>
      </c>
      <c r="N107" s="168" t="s">
        <v>944</v>
      </c>
      <c r="O107" s="15">
        <v>2</v>
      </c>
      <c r="P107" s="168" t="s">
        <v>944</v>
      </c>
      <c r="Q107" s="15">
        <v>30</v>
      </c>
      <c r="R107" s="73"/>
      <c r="S107" s="74"/>
      <c r="T107" s="74"/>
      <c r="U107" s="74"/>
      <c r="V107" s="73"/>
      <c r="W107" s="74"/>
      <c r="X107" s="74"/>
      <c r="Y107" s="74"/>
      <c r="Z107" s="72"/>
      <c r="AA107" s="72"/>
      <c r="AB107" s="72"/>
      <c r="AC107" s="72"/>
    </row>
    <row r="108" spans="1:29" s="10" customFormat="1" ht="45.75" customHeight="1">
      <c r="A108" s="15">
        <v>3</v>
      </c>
      <c r="B108" s="79" t="s">
        <v>945</v>
      </c>
      <c r="C108" s="17">
        <v>1</v>
      </c>
      <c r="D108" s="17">
        <v>1</v>
      </c>
      <c r="E108" s="17">
        <v>1</v>
      </c>
      <c r="F108" s="17">
        <v>1</v>
      </c>
      <c r="G108" s="17">
        <v>0.25</v>
      </c>
      <c r="H108" s="17">
        <v>0.25</v>
      </c>
      <c r="I108" s="17">
        <v>6</v>
      </c>
      <c r="J108" s="168" t="s">
        <v>946</v>
      </c>
      <c r="K108" s="15">
        <v>6</v>
      </c>
      <c r="L108" s="168" t="s">
        <v>946</v>
      </c>
      <c r="M108" s="15">
        <v>6</v>
      </c>
      <c r="N108" s="168" t="s">
        <v>946</v>
      </c>
      <c r="O108" s="15">
        <v>6</v>
      </c>
      <c r="P108" s="168" t="s">
        <v>946</v>
      </c>
      <c r="Q108" s="15">
        <v>30</v>
      </c>
      <c r="R108" s="73"/>
      <c r="S108" s="74"/>
      <c r="T108" s="74"/>
      <c r="U108" s="74"/>
      <c r="V108" s="73"/>
      <c r="W108" s="74"/>
      <c r="X108" s="74"/>
      <c r="Y108" s="74"/>
      <c r="Z108" s="72"/>
      <c r="AA108" s="72"/>
      <c r="AB108" s="72"/>
      <c r="AC108" s="72"/>
    </row>
    <row r="109" spans="1:29" s="10" customFormat="1" ht="45.75" customHeight="1">
      <c r="A109" s="15">
        <v>4</v>
      </c>
      <c r="B109" s="79" t="s">
        <v>947</v>
      </c>
      <c r="C109" s="17">
        <v>1</v>
      </c>
      <c r="D109" s="17">
        <v>1</v>
      </c>
      <c r="E109" s="17">
        <v>1</v>
      </c>
      <c r="F109" s="17">
        <v>1</v>
      </c>
      <c r="G109" s="17">
        <v>4.05</v>
      </c>
      <c r="H109" s="17">
        <v>4.05</v>
      </c>
      <c r="I109" s="17">
        <v>24</v>
      </c>
      <c r="J109" s="168" t="s">
        <v>938</v>
      </c>
      <c r="K109" s="15">
        <v>24</v>
      </c>
      <c r="L109" s="168" t="s">
        <v>938</v>
      </c>
      <c r="M109" s="15">
        <v>24</v>
      </c>
      <c r="N109" s="168" t="s">
        <v>938</v>
      </c>
      <c r="O109" s="15">
        <v>24</v>
      </c>
      <c r="P109" s="168" t="s">
        <v>938</v>
      </c>
      <c r="Q109" s="15">
        <v>30</v>
      </c>
      <c r="R109" s="73"/>
      <c r="S109" s="74"/>
      <c r="T109" s="74"/>
      <c r="U109" s="74"/>
      <c r="V109" s="73"/>
      <c r="W109" s="74"/>
      <c r="X109" s="74"/>
      <c r="Y109" s="74"/>
      <c r="Z109" s="72"/>
      <c r="AA109" s="72"/>
      <c r="AB109" s="72"/>
      <c r="AC109" s="72"/>
    </row>
    <row r="110" spans="1:29" s="10" customFormat="1" ht="45.75" customHeight="1">
      <c r="A110" s="15">
        <v>5</v>
      </c>
      <c r="B110" s="79" t="s">
        <v>948</v>
      </c>
      <c r="C110" s="17">
        <v>3</v>
      </c>
      <c r="D110" s="17">
        <v>3</v>
      </c>
      <c r="E110" s="17">
        <v>3</v>
      </c>
      <c r="F110" s="17">
        <v>3</v>
      </c>
      <c r="G110" s="17">
        <v>0.33</v>
      </c>
      <c r="H110" s="17">
        <v>0.33</v>
      </c>
      <c r="I110" s="17">
        <v>24</v>
      </c>
      <c r="J110" s="168" t="s">
        <v>938</v>
      </c>
      <c r="K110" s="15">
        <v>24</v>
      </c>
      <c r="L110" s="168" t="s">
        <v>938</v>
      </c>
      <c r="M110" s="15">
        <v>24</v>
      </c>
      <c r="N110" s="168" t="s">
        <v>938</v>
      </c>
      <c r="O110" s="15">
        <v>24</v>
      </c>
      <c r="P110" s="168" t="s">
        <v>938</v>
      </c>
      <c r="Q110" s="15">
        <v>30</v>
      </c>
      <c r="R110" s="73"/>
      <c r="S110" s="74"/>
      <c r="T110" s="74"/>
      <c r="U110" s="74"/>
      <c r="V110" s="73"/>
      <c r="W110" s="74"/>
      <c r="X110" s="74"/>
      <c r="Y110" s="74"/>
      <c r="Z110" s="72"/>
      <c r="AA110" s="72"/>
      <c r="AB110" s="72"/>
      <c r="AC110" s="72"/>
    </row>
    <row r="111" spans="1:29" s="10" customFormat="1" ht="45.75" customHeight="1">
      <c r="A111" s="15">
        <v>6</v>
      </c>
      <c r="B111" s="79" t="s">
        <v>949</v>
      </c>
      <c r="C111" s="17">
        <v>1</v>
      </c>
      <c r="D111" s="17">
        <v>1</v>
      </c>
      <c r="E111" s="17">
        <v>1</v>
      </c>
      <c r="F111" s="17">
        <v>1</v>
      </c>
      <c r="G111" s="17">
        <v>0.85</v>
      </c>
      <c r="H111" s="17">
        <v>0.85</v>
      </c>
      <c r="I111" s="17">
        <v>24</v>
      </c>
      <c r="J111" s="168" t="s">
        <v>938</v>
      </c>
      <c r="K111" s="15">
        <v>24</v>
      </c>
      <c r="L111" s="168" t="s">
        <v>938</v>
      </c>
      <c r="M111" s="15">
        <v>24</v>
      </c>
      <c r="N111" s="168" t="s">
        <v>938</v>
      </c>
      <c r="O111" s="15">
        <v>24</v>
      </c>
      <c r="P111" s="168" t="s">
        <v>938</v>
      </c>
      <c r="Q111" s="15">
        <v>30</v>
      </c>
      <c r="R111" s="73"/>
      <c r="S111" s="74"/>
      <c r="T111" s="74"/>
      <c r="U111" s="74"/>
      <c r="V111" s="73"/>
      <c r="W111" s="74"/>
      <c r="X111" s="74"/>
      <c r="Y111" s="74"/>
      <c r="Z111" s="72"/>
      <c r="AA111" s="72"/>
      <c r="AB111" s="72"/>
      <c r="AC111" s="72"/>
    </row>
    <row r="112" spans="1:29" s="10" customFormat="1" ht="45.75" customHeight="1">
      <c r="A112" s="15">
        <v>7</v>
      </c>
      <c r="B112" s="79" t="s">
        <v>939</v>
      </c>
      <c r="C112" s="17">
        <v>3</v>
      </c>
      <c r="D112" s="17">
        <v>3</v>
      </c>
      <c r="E112" s="17">
        <v>3</v>
      </c>
      <c r="F112" s="17">
        <v>3</v>
      </c>
      <c r="G112" s="17">
        <v>0.09</v>
      </c>
      <c r="H112" s="17">
        <v>0.09</v>
      </c>
      <c r="I112" s="17">
        <v>24</v>
      </c>
      <c r="J112" s="168" t="s">
        <v>938</v>
      </c>
      <c r="K112" s="15">
        <v>24</v>
      </c>
      <c r="L112" s="168" t="s">
        <v>938</v>
      </c>
      <c r="M112" s="15">
        <v>24</v>
      </c>
      <c r="N112" s="168" t="s">
        <v>938</v>
      </c>
      <c r="O112" s="15">
        <v>24</v>
      </c>
      <c r="P112" s="168" t="s">
        <v>938</v>
      </c>
      <c r="Q112" s="15">
        <v>30</v>
      </c>
      <c r="R112" s="73"/>
      <c r="S112" s="74"/>
      <c r="T112" s="74"/>
      <c r="U112" s="74"/>
      <c r="V112" s="73"/>
      <c r="W112" s="74"/>
      <c r="X112" s="74"/>
      <c r="Y112" s="74"/>
      <c r="Z112" s="72"/>
      <c r="AA112" s="72"/>
      <c r="AB112" s="72"/>
      <c r="AC112" s="72"/>
    </row>
    <row r="113" spans="1:29" s="10" customFormat="1" ht="45.75" customHeight="1">
      <c r="A113" s="15">
        <v>8</v>
      </c>
      <c r="B113" s="79" t="s">
        <v>950</v>
      </c>
      <c r="C113" s="17">
        <v>3</v>
      </c>
      <c r="D113" s="17">
        <v>3</v>
      </c>
      <c r="E113" s="17">
        <v>3</v>
      </c>
      <c r="F113" s="17">
        <v>3</v>
      </c>
      <c r="G113" s="17">
        <v>1.24</v>
      </c>
      <c r="H113" s="17">
        <v>1.24</v>
      </c>
      <c r="I113" s="17">
        <v>24</v>
      </c>
      <c r="J113" s="168" t="s">
        <v>938</v>
      </c>
      <c r="K113" s="15">
        <v>24</v>
      </c>
      <c r="L113" s="168" t="s">
        <v>938</v>
      </c>
      <c r="M113" s="15">
        <v>24</v>
      </c>
      <c r="N113" s="168" t="s">
        <v>938</v>
      </c>
      <c r="O113" s="15">
        <v>24</v>
      </c>
      <c r="P113" s="168" t="s">
        <v>938</v>
      </c>
      <c r="Q113" s="15">
        <v>30</v>
      </c>
      <c r="R113" s="73"/>
      <c r="S113" s="74"/>
      <c r="T113" s="74"/>
      <c r="U113" s="74"/>
      <c r="V113" s="73"/>
      <c r="W113" s="74"/>
      <c r="X113" s="74"/>
      <c r="Y113" s="74"/>
      <c r="Z113" s="72"/>
      <c r="AA113" s="72"/>
      <c r="AB113" s="72"/>
      <c r="AC113" s="72"/>
    </row>
    <row r="114" spans="1:29" s="10" customFormat="1" ht="45.75" customHeight="1">
      <c r="A114" s="15">
        <v>9</v>
      </c>
      <c r="B114" s="79" t="s">
        <v>951</v>
      </c>
      <c r="C114" s="17">
        <v>1</v>
      </c>
      <c r="D114" s="17">
        <v>1</v>
      </c>
      <c r="E114" s="17">
        <v>1</v>
      </c>
      <c r="F114" s="17">
        <v>1</v>
      </c>
      <c r="G114" s="17">
        <v>1.1000000000000001</v>
      </c>
      <c r="H114" s="17">
        <v>1.1000000000000001</v>
      </c>
      <c r="I114" s="17">
        <v>2</v>
      </c>
      <c r="J114" s="168" t="s">
        <v>952</v>
      </c>
      <c r="K114" s="15">
        <v>2</v>
      </c>
      <c r="L114" s="168" t="s">
        <v>952</v>
      </c>
      <c r="M114" s="15">
        <v>2</v>
      </c>
      <c r="N114" s="168" t="s">
        <v>952</v>
      </c>
      <c r="O114" s="15">
        <v>2</v>
      </c>
      <c r="P114" s="168" t="s">
        <v>952</v>
      </c>
      <c r="Q114" s="15">
        <v>30</v>
      </c>
      <c r="R114" s="73"/>
      <c r="S114" s="74"/>
      <c r="T114" s="74"/>
      <c r="U114" s="74"/>
      <c r="V114" s="73"/>
      <c r="W114" s="74"/>
      <c r="X114" s="74"/>
      <c r="Y114" s="74"/>
      <c r="Z114" s="72"/>
      <c r="AA114" s="72"/>
      <c r="AB114" s="72"/>
      <c r="AC114" s="72"/>
    </row>
    <row r="115" spans="1:29" s="10" customFormat="1" ht="45.75" customHeight="1">
      <c r="A115" s="15">
        <v>10</v>
      </c>
      <c r="B115" s="79" t="s">
        <v>953</v>
      </c>
      <c r="C115" s="17">
        <v>1</v>
      </c>
      <c r="D115" s="17">
        <v>1</v>
      </c>
      <c r="E115" s="17">
        <v>1</v>
      </c>
      <c r="F115" s="17">
        <v>1</v>
      </c>
      <c r="G115" s="17">
        <v>5.4</v>
      </c>
      <c r="H115" s="17">
        <v>12</v>
      </c>
      <c r="I115" s="17">
        <v>1</v>
      </c>
      <c r="J115" s="168" t="s">
        <v>932</v>
      </c>
      <c r="K115" s="15">
        <v>1</v>
      </c>
      <c r="L115" s="168" t="s">
        <v>932</v>
      </c>
      <c r="M115" s="15">
        <v>1</v>
      </c>
      <c r="N115" s="168" t="s">
        <v>932</v>
      </c>
      <c r="O115" s="15">
        <v>1</v>
      </c>
      <c r="P115" s="168" t="s">
        <v>932</v>
      </c>
      <c r="Q115" s="15">
        <v>30</v>
      </c>
      <c r="R115" s="73"/>
      <c r="S115" s="74"/>
      <c r="T115" s="74"/>
      <c r="U115" s="74"/>
      <c r="V115" s="73"/>
      <c r="W115" s="74"/>
      <c r="X115" s="74"/>
      <c r="Y115" s="74"/>
      <c r="Z115" s="72"/>
      <c r="AA115" s="72"/>
      <c r="AB115" s="72"/>
      <c r="AC115" s="72"/>
    </row>
    <row r="116" spans="1:29" s="10" customFormat="1" ht="45.75" customHeight="1">
      <c r="A116" s="15">
        <v>11</v>
      </c>
      <c r="B116" s="79" t="s">
        <v>954</v>
      </c>
      <c r="C116" s="17">
        <v>3</v>
      </c>
      <c r="D116" s="17">
        <v>3</v>
      </c>
      <c r="E116" s="17">
        <v>3</v>
      </c>
      <c r="F116" s="17">
        <v>3</v>
      </c>
      <c r="G116" s="17">
        <v>2.75</v>
      </c>
      <c r="H116" s="17">
        <v>2.75</v>
      </c>
      <c r="I116" s="17">
        <v>2</v>
      </c>
      <c r="J116" s="168" t="s">
        <v>955</v>
      </c>
      <c r="K116" s="15">
        <v>2</v>
      </c>
      <c r="L116" s="168" t="s">
        <v>955</v>
      </c>
      <c r="M116" s="15">
        <v>2</v>
      </c>
      <c r="N116" s="168" t="s">
        <v>955</v>
      </c>
      <c r="O116" s="15">
        <v>2</v>
      </c>
      <c r="P116" s="168" t="s">
        <v>955</v>
      </c>
      <c r="Q116" s="15">
        <v>30</v>
      </c>
      <c r="R116" s="73"/>
      <c r="S116" s="74"/>
      <c r="T116" s="74"/>
      <c r="U116" s="74"/>
      <c r="V116" s="73"/>
      <c r="W116" s="74"/>
      <c r="X116" s="74"/>
      <c r="Y116" s="74"/>
      <c r="Z116" s="72"/>
      <c r="AA116" s="72"/>
      <c r="AB116" s="72"/>
      <c r="AC116" s="72"/>
    </row>
    <row r="117" spans="1:29" s="10" customFormat="1" ht="45.75" customHeight="1">
      <c r="A117" s="15">
        <v>12</v>
      </c>
      <c r="B117" s="79" t="s">
        <v>956</v>
      </c>
      <c r="C117" s="17">
        <v>6</v>
      </c>
      <c r="D117" s="17">
        <v>6</v>
      </c>
      <c r="E117" s="17">
        <v>6</v>
      </c>
      <c r="F117" s="17">
        <v>6</v>
      </c>
      <c r="G117" s="17">
        <v>2</v>
      </c>
      <c r="H117" s="17">
        <v>2</v>
      </c>
      <c r="I117" s="17">
        <v>3</v>
      </c>
      <c r="J117" s="168" t="s">
        <v>957</v>
      </c>
      <c r="K117" s="15">
        <v>3</v>
      </c>
      <c r="L117" s="168" t="s">
        <v>957</v>
      </c>
      <c r="M117" s="15">
        <v>3</v>
      </c>
      <c r="N117" s="168" t="s">
        <v>957</v>
      </c>
      <c r="O117" s="15">
        <v>3</v>
      </c>
      <c r="P117" s="168" t="s">
        <v>957</v>
      </c>
      <c r="Q117" s="15">
        <v>30</v>
      </c>
      <c r="R117" s="73"/>
      <c r="S117" s="74"/>
      <c r="T117" s="74"/>
      <c r="U117" s="74"/>
      <c r="V117" s="73"/>
      <c r="W117" s="74"/>
      <c r="X117" s="74"/>
      <c r="Y117" s="74"/>
      <c r="Z117" s="72"/>
      <c r="AA117" s="72"/>
      <c r="AB117" s="72"/>
      <c r="AC117" s="72"/>
    </row>
    <row r="118" spans="1:29" s="10" customFormat="1" ht="45.75" customHeight="1">
      <c r="A118" s="15">
        <v>13</v>
      </c>
      <c r="B118" s="79" t="s">
        <v>958</v>
      </c>
      <c r="C118" s="17">
        <v>1</v>
      </c>
      <c r="D118" s="17">
        <v>1</v>
      </c>
      <c r="E118" s="17">
        <v>1</v>
      </c>
      <c r="F118" s="17">
        <v>1</v>
      </c>
      <c r="G118" s="17">
        <v>6</v>
      </c>
      <c r="H118" s="17">
        <v>6</v>
      </c>
      <c r="I118" s="17">
        <v>24</v>
      </c>
      <c r="J118" s="168" t="s">
        <v>938</v>
      </c>
      <c r="K118" s="15">
        <v>24</v>
      </c>
      <c r="L118" s="168" t="s">
        <v>938</v>
      </c>
      <c r="M118" s="15">
        <v>24</v>
      </c>
      <c r="N118" s="168" t="s">
        <v>938</v>
      </c>
      <c r="O118" s="15">
        <v>24</v>
      </c>
      <c r="P118" s="168" t="s">
        <v>938</v>
      </c>
      <c r="Q118" s="15">
        <v>30</v>
      </c>
      <c r="R118" s="73"/>
      <c r="S118" s="74"/>
      <c r="T118" s="74"/>
      <c r="U118" s="74"/>
      <c r="V118" s="73"/>
      <c r="W118" s="74"/>
      <c r="X118" s="74"/>
      <c r="Y118" s="74"/>
      <c r="Z118" s="72"/>
      <c r="AA118" s="72"/>
      <c r="AB118" s="72"/>
      <c r="AC118" s="72"/>
    </row>
    <row r="119" spans="1:29" s="10" customFormat="1" ht="45.75" customHeight="1">
      <c r="A119" s="15">
        <v>14</v>
      </c>
      <c r="B119" s="79" t="s">
        <v>819</v>
      </c>
      <c r="C119" s="17">
        <v>1</v>
      </c>
      <c r="D119" s="17">
        <v>1</v>
      </c>
      <c r="E119" s="17">
        <v>1</v>
      </c>
      <c r="F119" s="17">
        <v>1</v>
      </c>
      <c r="G119" s="17">
        <v>2.4</v>
      </c>
      <c r="H119" s="17">
        <v>2.4</v>
      </c>
      <c r="I119" s="17">
        <v>6</v>
      </c>
      <c r="J119" s="168" t="s">
        <v>959</v>
      </c>
      <c r="K119" s="15">
        <v>6</v>
      </c>
      <c r="L119" s="168" t="s">
        <v>959</v>
      </c>
      <c r="M119" s="15">
        <v>6</v>
      </c>
      <c r="N119" s="168" t="s">
        <v>959</v>
      </c>
      <c r="O119" s="15">
        <v>6</v>
      </c>
      <c r="P119" s="168" t="s">
        <v>959</v>
      </c>
      <c r="Q119" s="15">
        <v>30</v>
      </c>
      <c r="R119" s="73"/>
      <c r="S119" s="74"/>
      <c r="T119" s="74"/>
      <c r="U119" s="74"/>
      <c r="V119" s="73"/>
      <c r="W119" s="74"/>
      <c r="X119" s="74"/>
      <c r="Y119" s="74"/>
      <c r="Z119" s="72"/>
      <c r="AA119" s="72"/>
      <c r="AB119" s="72"/>
      <c r="AC119" s="72"/>
    </row>
    <row r="120" spans="1:29" s="10" customFormat="1" ht="45.75" customHeight="1">
      <c r="A120" s="15">
        <v>15</v>
      </c>
      <c r="B120" s="79" t="s">
        <v>960</v>
      </c>
      <c r="C120" s="17">
        <v>1</v>
      </c>
      <c r="D120" s="17">
        <v>1</v>
      </c>
      <c r="E120" s="17">
        <v>1</v>
      </c>
      <c r="F120" s="17">
        <v>1</v>
      </c>
      <c r="G120" s="17">
        <v>0.22</v>
      </c>
      <c r="H120" s="17">
        <v>0.22</v>
      </c>
      <c r="I120" s="17">
        <v>8</v>
      </c>
      <c r="J120" s="168" t="s">
        <v>961</v>
      </c>
      <c r="K120" s="15">
        <v>8</v>
      </c>
      <c r="L120" s="168" t="s">
        <v>961</v>
      </c>
      <c r="M120" s="15">
        <v>8</v>
      </c>
      <c r="N120" s="168" t="s">
        <v>961</v>
      </c>
      <c r="O120" s="15">
        <v>8</v>
      </c>
      <c r="P120" s="168" t="s">
        <v>961</v>
      </c>
      <c r="Q120" s="15">
        <v>30</v>
      </c>
      <c r="R120" s="73"/>
      <c r="S120" s="74"/>
      <c r="T120" s="74"/>
      <c r="U120" s="74"/>
      <c r="V120" s="73"/>
      <c r="W120" s="74"/>
      <c r="X120" s="74"/>
      <c r="Y120" s="74"/>
      <c r="Z120" s="72"/>
      <c r="AA120" s="72"/>
      <c r="AB120" s="72"/>
      <c r="AC120" s="72"/>
    </row>
    <row r="121" spans="1:29" s="10" customFormat="1" ht="45.75" customHeight="1">
      <c r="A121" s="15">
        <v>16</v>
      </c>
      <c r="B121" s="79" t="s">
        <v>962</v>
      </c>
      <c r="C121" s="17">
        <v>4</v>
      </c>
      <c r="D121" s="17">
        <v>4</v>
      </c>
      <c r="E121" s="17">
        <v>4</v>
      </c>
      <c r="F121" s="17">
        <v>4</v>
      </c>
      <c r="G121" s="17">
        <v>0.05</v>
      </c>
      <c r="H121" s="17">
        <v>0.05</v>
      </c>
      <c r="I121" s="17">
        <v>3</v>
      </c>
      <c r="J121" s="168" t="s">
        <v>957</v>
      </c>
      <c r="K121" s="15">
        <v>3</v>
      </c>
      <c r="L121" s="168" t="s">
        <v>957</v>
      </c>
      <c r="M121" s="15">
        <v>3</v>
      </c>
      <c r="N121" s="168" t="s">
        <v>957</v>
      </c>
      <c r="O121" s="15">
        <v>3</v>
      </c>
      <c r="P121" s="168" t="s">
        <v>957</v>
      </c>
      <c r="Q121" s="15">
        <v>30</v>
      </c>
      <c r="R121" s="73"/>
      <c r="S121" s="74"/>
      <c r="T121" s="74"/>
      <c r="U121" s="74"/>
      <c r="V121" s="73"/>
      <c r="W121" s="74"/>
      <c r="X121" s="74"/>
      <c r="Y121" s="74"/>
      <c r="Z121" s="72"/>
      <c r="AA121" s="72"/>
      <c r="AB121" s="72"/>
      <c r="AC121" s="72"/>
    </row>
    <row r="122" spans="1:29" s="10" customFormat="1" ht="45.75" customHeight="1">
      <c r="A122" s="15">
        <v>17</v>
      </c>
      <c r="B122" s="79" t="s">
        <v>963</v>
      </c>
      <c r="C122" s="17">
        <v>1</v>
      </c>
      <c r="D122" s="17">
        <v>1</v>
      </c>
      <c r="E122" s="17">
        <v>1</v>
      </c>
      <c r="F122" s="17">
        <v>1</v>
      </c>
      <c r="G122" s="17">
        <v>1.5</v>
      </c>
      <c r="H122" s="17">
        <v>1.5</v>
      </c>
      <c r="I122" s="17">
        <v>24</v>
      </c>
      <c r="J122" s="168" t="s">
        <v>938</v>
      </c>
      <c r="K122" s="15">
        <v>24</v>
      </c>
      <c r="L122" s="168" t="s">
        <v>938</v>
      </c>
      <c r="M122" s="15">
        <v>24</v>
      </c>
      <c r="N122" s="168" t="s">
        <v>938</v>
      </c>
      <c r="O122" s="15">
        <v>24</v>
      </c>
      <c r="P122" s="168" t="s">
        <v>938</v>
      </c>
      <c r="Q122" s="15">
        <v>30</v>
      </c>
      <c r="R122" s="73"/>
      <c r="S122" s="74"/>
      <c r="T122" s="74"/>
      <c r="U122" s="74"/>
      <c r="V122" s="73"/>
      <c r="W122" s="74"/>
      <c r="X122" s="74"/>
      <c r="Y122" s="74"/>
      <c r="Z122" s="72"/>
      <c r="AA122" s="72"/>
      <c r="AB122" s="72"/>
      <c r="AC122" s="72"/>
    </row>
    <row r="123" spans="1:29" s="10" customFormat="1" ht="45.75" customHeight="1">
      <c r="A123" s="15">
        <v>18</v>
      </c>
      <c r="B123" s="79" t="s">
        <v>964</v>
      </c>
      <c r="C123" s="17">
        <v>1</v>
      </c>
      <c r="D123" s="17">
        <v>1</v>
      </c>
      <c r="E123" s="17">
        <v>1</v>
      </c>
      <c r="F123" s="17">
        <v>1</v>
      </c>
      <c r="G123" s="17">
        <v>0.08</v>
      </c>
      <c r="H123" s="17">
        <v>0.08</v>
      </c>
      <c r="I123" s="17">
        <v>1</v>
      </c>
      <c r="J123" s="168" t="s">
        <v>965</v>
      </c>
      <c r="K123" s="15">
        <v>1</v>
      </c>
      <c r="L123" s="168" t="s">
        <v>965</v>
      </c>
      <c r="M123" s="15">
        <v>1</v>
      </c>
      <c r="N123" s="168" t="s">
        <v>965</v>
      </c>
      <c r="O123" s="15">
        <v>1</v>
      </c>
      <c r="P123" s="168" t="s">
        <v>965</v>
      </c>
      <c r="Q123" s="15">
        <v>30</v>
      </c>
      <c r="R123" s="73"/>
      <c r="S123" s="74"/>
      <c r="T123" s="74"/>
      <c r="U123" s="74"/>
      <c r="V123" s="73"/>
      <c r="W123" s="74"/>
      <c r="X123" s="74"/>
      <c r="Y123" s="74"/>
      <c r="Z123" s="72"/>
      <c r="AA123" s="72"/>
      <c r="AB123" s="72"/>
      <c r="AC123" s="72"/>
    </row>
    <row r="124" spans="1:29" s="10" customFormat="1" ht="45.75" customHeight="1">
      <c r="A124" s="15">
        <v>19</v>
      </c>
      <c r="B124" s="79" t="s">
        <v>966</v>
      </c>
      <c r="C124" s="17">
        <v>1</v>
      </c>
      <c r="D124" s="17">
        <v>1</v>
      </c>
      <c r="E124" s="17">
        <v>1</v>
      </c>
      <c r="F124" s="17">
        <v>1</v>
      </c>
      <c r="G124" s="17">
        <v>0.55000000000000004</v>
      </c>
      <c r="H124" s="17">
        <v>0.55000000000000004</v>
      </c>
      <c r="I124" s="17">
        <v>6</v>
      </c>
      <c r="J124" s="168" t="s">
        <v>967</v>
      </c>
      <c r="K124" s="15">
        <v>6</v>
      </c>
      <c r="L124" s="168" t="s">
        <v>967</v>
      </c>
      <c r="M124" s="15">
        <v>6</v>
      </c>
      <c r="N124" s="168" t="s">
        <v>967</v>
      </c>
      <c r="O124" s="15">
        <v>6</v>
      </c>
      <c r="P124" s="168" t="s">
        <v>967</v>
      </c>
      <c r="Q124" s="15">
        <v>30</v>
      </c>
      <c r="R124" s="73"/>
      <c r="S124" s="74"/>
      <c r="T124" s="74"/>
      <c r="U124" s="74"/>
      <c r="V124" s="73"/>
      <c r="W124" s="74"/>
      <c r="X124" s="74"/>
      <c r="Y124" s="74"/>
      <c r="Z124" s="72"/>
      <c r="AA124" s="72"/>
      <c r="AB124" s="72"/>
      <c r="AC124" s="72"/>
    </row>
    <row r="125" spans="1:29" s="10" customFormat="1" ht="45.75" customHeight="1">
      <c r="A125" s="15">
        <v>20</v>
      </c>
      <c r="B125" s="79" t="s">
        <v>968</v>
      </c>
      <c r="C125" s="17">
        <v>5</v>
      </c>
      <c r="D125" s="17">
        <v>5</v>
      </c>
      <c r="E125" s="17">
        <v>5</v>
      </c>
      <c r="F125" s="17">
        <v>5</v>
      </c>
      <c r="G125" s="17">
        <v>0.05</v>
      </c>
      <c r="H125" s="17">
        <v>0.05</v>
      </c>
      <c r="I125" s="17">
        <v>8</v>
      </c>
      <c r="J125" s="168" t="s">
        <v>961</v>
      </c>
      <c r="K125" s="15">
        <v>8</v>
      </c>
      <c r="L125" s="168" t="s">
        <v>961</v>
      </c>
      <c r="M125" s="15">
        <v>8</v>
      </c>
      <c r="N125" s="168" t="s">
        <v>961</v>
      </c>
      <c r="O125" s="15">
        <v>8</v>
      </c>
      <c r="P125" s="168" t="s">
        <v>961</v>
      </c>
      <c r="Q125" s="15">
        <v>30</v>
      </c>
      <c r="R125" s="73"/>
      <c r="S125" s="74"/>
      <c r="T125" s="74"/>
      <c r="U125" s="74"/>
      <c r="V125" s="73"/>
      <c r="W125" s="74"/>
      <c r="X125" s="74"/>
      <c r="Y125" s="74"/>
      <c r="Z125" s="72"/>
      <c r="AA125" s="72"/>
      <c r="AB125" s="72"/>
      <c r="AC125" s="72"/>
    </row>
    <row r="126" spans="1:29" s="10" customFormat="1" ht="31.5" customHeight="1">
      <c r="A126" s="319" t="s">
        <v>413</v>
      </c>
      <c r="B126" s="51" t="s">
        <v>969</v>
      </c>
      <c r="C126" s="15"/>
      <c r="D126" s="17"/>
      <c r="E126" s="17"/>
      <c r="F126" s="17"/>
      <c r="G126" s="18"/>
      <c r="H126" s="18"/>
      <c r="I126" s="320"/>
      <c r="J126" s="79"/>
      <c r="K126" s="79"/>
      <c r="L126" s="79"/>
      <c r="M126" s="79"/>
      <c r="N126" s="79"/>
      <c r="O126" s="79"/>
      <c r="P126" s="79"/>
      <c r="Q126" s="15"/>
      <c r="R126" s="73">
        <f t="shared" ref="R126" si="18">C126*G126*I126*Q126</f>
        <v>0</v>
      </c>
      <c r="S126" s="74">
        <f t="shared" ref="S126" si="19">D126*G126*K126*Q126</f>
        <v>0</v>
      </c>
      <c r="T126" s="74">
        <f t="shared" ref="T126" si="20">E126*G126*M126*Q126</f>
        <v>0</v>
      </c>
      <c r="U126" s="74">
        <f t="shared" ref="U126" si="21">F126*G126*O126*Q126</f>
        <v>0</v>
      </c>
      <c r="V126" s="73">
        <f t="shared" ref="V126" si="22">C126*H126*I126*Q126</f>
        <v>0</v>
      </c>
      <c r="W126" s="74">
        <f t="shared" ref="W126" si="23">D126*H126*K126*Q126</f>
        <v>0</v>
      </c>
      <c r="X126" s="74">
        <f t="shared" ref="X126" si="24">E126*H126*M126*Q126</f>
        <v>0</v>
      </c>
      <c r="Y126" s="74">
        <f t="shared" ref="Y126" si="25">F126*H126*O126*Q126</f>
        <v>0</v>
      </c>
      <c r="Z126" s="72" t="e">
        <f t="shared" ref="Z126:AC126" si="26">V126/R126</f>
        <v>#DIV/0!</v>
      </c>
      <c r="AA126" s="72" t="e">
        <f t="shared" si="26"/>
        <v>#DIV/0!</v>
      </c>
      <c r="AB126" s="72" t="e">
        <f t="shared" si="26"/>
        <v>#DIV/0!</v>
      </c>
      <c r="AC126" s="72" t="e">
        <f t="shared" si="26"/>
        <v>#DIV/0!</v>
      </c>
    </row>
    <row r="127" spans="1:29" s="10" customFormat="1" ht="36.75" customHeight="1">
      <c r="A127" s="15">
        <v>1</v>
      </c>
      <c r="B127" s="79" t="s">
        <v>941</v>
      </c>
      <c r="C127" s="17">
        <v>38</v>
      </c>
      <c r="D127" s="17">
        <v>38</v>
      </c>
      <c r="E127" s="17">
        <v>38</v>
      </c>
      <c r="F127" s="17">
        <v>38</v>
      </c>
      <c r="G127" s="17">
        <v>3.5999999999999997E-2</v>
      </c>
      <c r="H127" s="17">
        <v>3.5999999999999997E-2</v>
      </c>
      <c r="I127" s="17">
        <v>0</v>
      </c>
      <c r="J127" s="168"/>
      <c r="K127" s="15">
        <v>0</v>
      </c>
      <c r="L127" s="168"/>
      <c r="M127" s="15">
        <v>0</v>
      </c>
      <c r="N127" s="168"/>
      <c r="O127" s="15">
        <v>0</v>
      </c>
      <c r="P127" s="168"/>
      <c r="Q127" s="15">
        <v>30</v>
      </c>
      <c r="R127" s="73"/>
      <c r="S127" s="74"/>
      <c r="T127" s="74"/>
      <c r="U127" s="74"/>
      <c r="V127" s="73"/>
      <c r="W127" s="74"/>
      <c r="X127" s="74"/>
      <c r="Y127" s="74"/>
      <c r="Z127" s="72"/>
      <c r="AA127" s="72"/>
      <c r="AB127" s="72"/>
      <c r="AC127" s="72"/>
    </row>
    <row r="128" spans="1:29" s="10" customFormat="1" ht="36.75" customHeight="1">
      <c r="A128" s="15">
        <v>2</v>
      </c>
      <c r="B128" s="79" t="s">
        <v>970</v>
      </c>
      <c r="C128" s="17">
        <v>3</v>
      </c>
      <c r="D128" s="17">
        <v>3</v>
      </c>
      <c r="E128" s="17">
        <v>3</v>
      </c>
      <c r="F128" s="17">
        <v>3</v>
      </c>
      <c r="G128" s="17">
        <v>0.85</v>
      </c>
      <c r="H128" s="17">
        <v>0.85</v>
      </c>
      <c r="I128" s="17">
        <v>0</v>
      </c>
      <c r="J128" s="168"/>
      <c r="K128" s="15">
        <v>0</v>
      </c>
      <c r="L128" s="168"/>
      <c r="M128" s="15">
        <v>0</v>
      </c>
      <c r="N128" s="168"/>
      <c r="O128" s="15">
        <v>0</v>
      </c>
      <c r="P128" s="168"/>
      <c r="Q128" s="15">
        <v>30</v>
      </c>
      <c r="R128" s="73"/>
      <c r="S128" s="74"/>
      <c r="T128" s="74"/>
      <c r="U128" s="74"/>
      <c r="V128" s="73"/>
      <c r="W128" s="74"/>
      <c r="X128" s="74"/>
      <c r="Y128" s="74"/>
      <c r="Z128" s="72"/>
      <c r="AA128" s="72"/>
      <c r="AB128" s="72"/>
      <c r="AC128" s="72"/>
    </row>
    <row r="129" spans="1:29" s="10" customFormat="1" ht="36.75" customHeight="1">
      <c r="A129" s="15">
        <v>3</v>
      </c>
      <c r="B129" s="79" t="s">
        <v>343</v>
      </c>
      <c r="C129" s="17">
        <v>2</v>
      </c>
      <c r="D129" s="17">
        <v>2</v>
      </c>
      <c r="E129" s="17">
        <v>2</v>
      </c>
      <c r="F129" s="17">
        <v>2</v>
      </c>
      <c r="G129" s="17">
        <v>0.09</v>
      </c>
      <c r="H129" s="17">
        <v>0.09</v>
      </c>
      <c r="I129" s="17">
        <v>0</v>
      </c>
      <c r="J129" s="168"/>
      <c r="K129" s="15">
        <v>0</v>
      </c>
      <c r="L129" s="168"/>
      <c r="M129" s="15">
        <v>0</v>
      </c>
      <c r="N129" s="168"/>
      <c r="O129" s="15">
        <v>0</v>
      </c>
      <c r="P129" s="168"/>
      <c r="Q129" s="15">
        <v>30</v>
      </c>
      <c r="R129" s="73"/>
      <c r="S129" s="74"/>
      <c r="T129" s="74"/>
      <c r="U129" s="74"/>
      <c r="V129" s="73"/>
      <c r="W129" s="74"/>
      <c r="X129" s="74"/>
      <c r="Y129" s="74"/>
      <c r="Z129" s="72"/>
      <c r="AA129" s="72"/>
      <c r="AB129" s="72"/>
      <c r="AC129" s="72"/>
    </row>
    <row r="130" spans="1:29" s="10" customFormat="1" ht="36.75" customHeight="1">
      <c r="A130" s="15">
        <v>4</v>
      </c>
      <c r="B130" s="79" t="s">
        <v>971</v>
      </c>
      <c r="C130" s="17">
        <v>1</v>
      </c>
      <c r="D130" s="17">
        <v>1</v>
      </c>
      <c r="E130" s="17">
        <v>1</v>
      </c>
      <c r="F130" s="17">
        <v>1</v>
      </c>
      <c r="G130" s="17">
        <v>2</v>
      </c>
      <c r="H130" s="17">
        <v>2</v>
      </c>
      <c r="I130" s="17">
        <v>0</v>
      </c>
      <c r="J130" s="168"/>
      <c r="K130" s="15">
        <v>0</v>
      </c>
      <c r="L130" s="168"/>
      <c r="M130" s="15">
        <v>0</v>
      </c>
      <c r="N130" s="168"/>
      <c r="O130" s="15">
        <v>0</v>
      </c>
      <c r="P130" s="168"/>
      <c r="Q130" s="15">
        <v>30</v>
      </c>
      <c r="R130" s="73"/>
      <c r="S130" s="74"/>
      <c r="T130" s="74"/>
      <c r="U130" s="74"/>
      <c r="V130" s="73"/>
      <c r="W130" s="74"/>
      <c r="X130" s="74"/>
      <c r="Y130" s="74"/>
      <c r="Z130" s="72"/>
      <c r="AA130" s="72"/>
      <c r="AB130" s="72"/>
      <c r="AC130" s="72"/>
    </row>
    <row r="131" spans="1:29" s="10" customFormat="1" ht="36.75" customHeight="1">
      <c r="A131" s="15">
        <v>5</v>
      </c>
      <c r="B131" s="79" t="s">
        <v>966</v>
      </c>
      <c r="C131" s="17">
        <v>1</v>
      </c>
      <c r="D131" s="17">
        <v>1</v>
      </c>
      <c r="E131" s="17">
        <v>1</v>
      </c>
      <c r="F131" s="17">
        <v>1</v>
      </c>
      <c r="G131" s="17">
        <v>0.55000000000000004</v>
      </c>
      <c r="H131" s="17">
        <v>0.55000000000000004</v>
      </c>
      <c r="I131" s="17">
        <v>0</v>
      </c>
      <c r="J131" s="168"/>
      <c r="K131" s="15">
        <v>0</v>
      </c>
      <c r="L131" s="168"/>
      <c r="M131" s="15">
        <v>0</v>
      </c>
      <c r="N131" s="168"/>
      <c r="O131" s="15">
        <v>0</v>
      </c>
      <c r="P131" s="168"/>
      <c r="Q131" s="15">
        <v>30</v>
      </c>
      <c r="R131" s="73"/>
      <c r="S131" s="74"/>
      <c r="T131" s="74"/>
      <c r="U131" s="74"/>
      <c r="V131" s="73"/>
      <c r="W131" s="74"/>
      <c r="X131" s="74"/>
      <c r="Y131" s="74"/>
      <c r="Z131" s="72"/>
      <c r="AA131" s="72"/>
      <c r="AB131" s="72"/>
      <c r="AC131" s="72"/>
    </row>
    <row r="132" spans="1:29" s="10" customFormat="1" ht="36.75" customHeight="1">
      <c r="A132" s="15">
        <v>6</v>
      </c>
      <c r="B132" s="79" t="s">
        <v>972</v>
      </c>
      <c r="C132" s="17">
        <v>2</v>
      </c>
      <c r="D132" s="17">
        <v>2</v>
      </c>
      <c r="E132" s="17">
        <v>2</v>
      </c>
      <c r="F132" s="17">
        <v>2</v>
      </c>
      <c r="G132" s="17">
        <v>0.06</v>
      </c>
      <c r="H132" s="17">
        <v>0.06</v>
      </c>
      <c r="I132" s="17">
        <v>0</v>
      </c>
      <c r="J132" s="168"/>
      <c r="K132" s="15">
        <v>0</v>
      </c>
      <c r="L132" s="168"/>
      <c r="M132" s="15">
        <v>0</v>
      </c>
      <c r="N132" s="168"/>
      <c r="O132" s="15">
        <v>0</v>
      </c>
      <c r="P132" s="168"/>
      <c r="Q132" s="15">
        <v>30</v>
      </c>
      <c r="R132" s="73"/>
      <c r="S132" s="74"/>
      <c r="T132" s="74"/>
      <c r="U132" s="74"/>
      <c r="V132" s="73"/>
      <c r="W132" s="74"/>
      <c r="X132" s="74"/>
      <c r="Y132" s="74"/>
      <c r="Z132" s="72"/>
      <c r="AA132" s="72"/>
      <c r="AB132" s="72"/>
      <c r="AC132" s="72"/>
    </row>
    <row r="133" spans="1:29" s="10" customFormat="1" ht="36.75" customHeight="1">
      <c r="A133" s="15">
        <v>7</v>
      </c>
      <c r="B133" s="79" t="s">
        <v>973</v>
      </c>
      <c r="C133" s="17">
        <v>1</v>
      </c>
      <c r="D133" s="17">
        <v>1</v>
      </c>
      <c r="E133" s="17">
        <v>1</v>
      </c>
      <c r="F133" s="17">
        <v>1</v>
      </c>
      <c r="G133" s="17">
        <v>6</v>
      </c>
      <c r="H133" s="17">
        <v>6</v>
      </c>
      <c r="I133" s="17">
        <v>0</v>
      </c>
      <c r="J133" s="168"/>
      <c r="K133" s="15">
        <v>0</v>
      </c>
      <c r="L133" s="168"/>
      <c r="M133" s="15">
        <v>0</v>
      </c>
      <c r="N133" s="168"/>
      <c r="O133" s="15">
        <v>0</v>
      </c>
      <c r="P133" s="168"/>
      <c r="Q133" s="15">
        <v>30</v>
      </c>
      <c r="R133" s="73"/>
      <c r="S133" s="74"/>
      <c r="T133" s="74"/>
      <c r="U133" s="74"/>
      <c r="V133" s="73"/>
      <c r="W133" s="74"/>
      <c r="X133" s="74"/>
      <c r="Y133" s="74"/>
      <c r="Z133" s="72"/>
      <c r="AA133" s="72"/>
      <c r="AB133" s="72"/>
      <c r="AC133" s="72"/>
    </row>
    <row r="134" spans="1:29" s="10" customFormat="1" ht="36.75" customHeight="1">
      <c r="A134" s="15">
        <v>8</v>
      </c>
      <c r="B134" s="79" t="s">
        <v>945</v>
      </c>
      <c r="C134" s="17">
        <v>1</v>
      </c>
      <c r="D134" s="17">
        <v>1</v>
      </c>
      <c r="E134" s="17">
        <v>1</v>
      </c>
      <c r="F134" s="17">
        <v>1</v>
      </c>
      <c r="G134" s="17">
        <v>0.25</v>
      </c>
      <c r="H134" s="17">
        <v>0.25</v>
      </c>
      <c r="I134" s="17">
        <v>0</v>
      </c>
      <c r="J134" s="168"/>
      <c r="K134" s="15">
        <v>0</v>
      </c>
      <c r="L134" s="168"/>
      <c r="M134" s="15">
        <v>0</v>
      </c>
      <c r="N134" s="168"/>
      <c r="O134" s="15">
        <v>0</v>
      </c>
      <c r="P134" s="168"/>
      <c r="Q134" s="15">
        <v>30</v>
      </c>
      <c r="R134" s="73"/>
      <c r="S134" s="74"/>
      <c r="T134" s="74"/>
      <c r="U134" s="74"/>
      <c r="V134" s="73"/>
      <c r="W134" s="74"/>
      <c r="X134" s="74"/>
      <c r="Y134" s="74"/>
      <c r="Z134" s="72"/>
      <c r="AA134" s="72"/>
      <c r="AB134" s="72"/>
      <c r="AC134" s="72"/>
    </row>
    <row r="135" spans="1:29" s="10" customFormat="1" ht="36.75" customHeight="1">
      <c r="A135" s="15">
        <v>9</v>
      </c>
      <c r="B135" s="79" t="s">
        <v>819</v>
      </c>
      <c r="C135" s="17">
        <v>1</v>
      </c>
      <c r="D135" s="17">
        <v>1</v>
      </c>
      <c r="E135" s="17">
        <v>1</v>
      </c>
      <c r="F135" s="17">
        <v>1</v>
      </c>
      <c r="G135" s="17">
        <v>2.4</v>
      </c>
      <c r="H135" s="17">
        <v>2.4</v>
      </c>
      <c r="I135" s="17">
        <v>0</v>
      </c>
      <c r="J135" s="168"/>
      <c r="K135" s="15">
        <v>0</v>
      </c>
      <c r="L135" s="168"/>
      <c r="M135" s="15">
        <v>0</v>
      </c>
      <c r="N135" s="168"/>
      <c r="O135" s="15">
        <v>0</v>
      </c>
      <c r="P135" s="168"/>
      <c r="Q135" s="15">
        <v>30</v>
      </c>
      <c r="R135" s="73"/>
      <c r="S135" s="74"/>
      <c r="T135" s="74"/>
      <c r="U135" s="74"/>
      <c r="V135" s="73"/>
      <c r="W135" s="74"/>
      <c r="X135" s="74"/>
      <c r="Y135" s="74"/>
      <c r="Z135" s="72"/>
      <c r="AA135" s="72"/>
      <c r="AB135" s="72"/>
      <c r="AC135" s="72"/>
    </row>
    <row r="136" spans="1:29" s="10" customFormat="1" ht="36.75" customHeight="1">
      <c r="A136" s="15">
        <v>10</v>
      </c>
      <c r="B136" s="79" t="s">
        <v>943</v>
      </c>
      <c r="C136" s="17">
        <v>4</v>
      </c>
      <c r="D136" s="17">
        <v>4</v>
      </c>
      <c r="E136" s="17">
        <v>4</v>
      </c>
      <c r="F136" s="17">
        <v>4</v>
      </c>
      <c r="G136" s="17">
        <v>5.274</v>
      </c>
      <c r="H136" s="17">
        <v>5.274</v>
      </c>
      <c r="I136" s="17">
        <v>0</v>
      </c>
      <c r="J136" s="168"/>
      <c r="K136" s="15">
        <v>0</v>
      </c>
      <c r="L136" s="168"/>
      <c r="M136" s="15">
        <v>0</v>
      </c>
      <c r="N136" s="168"/>
      <c r="O136" s="15">
        <v>0</v>
      </c>
      <c r="P136" s="168"/>
      <c r="Q136" s="15">
        <v>30</v>
      </c>
      <c r="R136" s="73"/>
      <c r="S136" s="74"/>
      <c r="T136" s="74"/>
      <c r="U136" s="74"/>
      <c r="V136" s="73"/>
      <c r="W136" s="74"/>
      <c r="X136" s="74"/>
      <c r="Y136" s="74"/>
      <c r="Z136" s="72"/>
      <c r="AA136" s="72"/>
      <c r="AB136" s="72"/>
      <c r="AC136" s="72"/>
    </row>
    <row r="137" spans="1:29" s="10" customFormat="1" ht="30">
      <c r="A137" s="15">
        <v>11</v>
      </c>
      <c r="B137" s="79" t="s">
        <v>953</v>
      </c>
      <c r="C137" s="17">
        <v>1</v>
      </c>
      <c r="D137" s="17">
        <v>1</v>
      </c>
      <c r="E137" s="17">
        <v>1</v>
      </c>
      <c r="F137" s="17">
        <v>1</v>
      </c>
      <c r="G137" s="17">
        <v>5.4</v>
      </c>
      <c r="H137" s="17">
        <v>5.4</v>
      </c>
      <c r="I137" s="17">
        <v>3</v>
      </c>
      <c r="J137" s="168" t="s">
        <v>974</v>
      </c>
      <c r="K137" s="15">
        <v>3</v>
      </c>
      <c r="L137" s="168" t="s">
        <v>974</v>
      </c>
      <c r="M137" s="15">
        <v>3</v>
      </c>
      <c r="N137" s="168" t="s">
        <v>974</v>
      </c>
      <c r="O137" s="15">
        <v>3</v>
      </c>
      <c r="P137" s="168" t="s">
        <v>974</v>
      </c>
      <c r="Q137" s="15">
        <v>30</v>
      </c>
      <c r="R137" s="73"/>
      <c r="S137" s="74"/>
      <c r="T137" s="74"/>
      <c r="U137" s="74"/>
      <c r="V137" s="73"/>
      <c r="W137" s="74"/>
      <c r="X137" s="74"/>
      <c r="Y137" s="74"/>
      <c r="Z137" s="72"/>
      <c r="AA137" s="72"/>
      <c r="AB137" s="72"/>
      <c r="AC137" s="72"/>
    </row>
    <row r="138" spans="1:29" s="10" customFormat="1" ht="39" customHeight="1">
      <c r="A138" s="319" t="s">
        <v>415</v>
      </c>
      <c r="B138" s="51" t="s">
        <v>975</v>
      </c>
      <c r="C138" s="15"/>
      <c r="D138" s="17"/>
      <c r="E138" s="17"/>
      <c r="F138" s="17"/>
      <c r="G138" s="18"/>
      <c r="H138" s="18"/>
      <c r="I138" s="320"/>
      <c r="J138" s="79"/>
      <c r="K138" s="79"/>
      <c r="L138" s="79"/>
      <c r="M138" s="79"/>
      <c r="N138" s="79"/>
      <c r="O138" s="79"/>
      <c r="P138" s="79"/>
      <c r="Q138" s="15"/>
      <c r="R138" s="73">
        <f t="shared" ref="R138" si="27">C138*G138*I138*Q138</f>
        <v>0</v>
      </c>
      <c r="S138" s="74">
        <f t="shared" ref="S138" si="28">D138*G138*K138*Q138</f>
        <v>0</v>
      </c>
      <c r="T138" s="74">
        <f t="shared" ref="T138" si="29">E138*G138*M138*Q138</f>
        <v>0</v>
      </c>
      <c r="U138" s="74">
        <f t="shared" ref="U138" si="30">F138*G138*O138*Q138</f>
        <v>0</v>
      </c>
      <c r="V138" s="73">
        <f t="shared" ref="V138" si="31">C138*H138*I138*Q138</f>
        <v>0</v>
      </c>
      <c r="W138" s="74">
        <f t="shared" ref="W138" si="32">D138*H138*K138*Q138</f>
        <v>0</v>
      </c>
      <c r="X138" s="74">
        <f t="shared" ref="X138" si="33">E138*H138*M138*Q138</f>
        <v>0</v>
      </c>
      <c r="Y138" s="74">
        <f t="shared" ref="Y138" si="34">F138*H138*O138*Q138</f>
        <v>0</v>
      </c>
      <c r="Z138" s="72" t="e">
        <f t="shared" ref="Z138:AC138" si="35">V138/R138</f>
        <v>#DIV/0!</v>
      </c>
      <c r="AA138" s="72" t="e">
        <f t="shared" si="35"/>
        <v>#DIV/0!</v>
      </c>
      <c r="AB138" s="72" t="e">
        <f t="shared" si="35"/>
        <v>#DIV/0!</v>
      </c>
      <c r="AC138" s="72" t="e">
        <f t="shared" si="35"/>
        <v>#DIV/0!</v>
      </c>
    </row>
    <row r="139" spans="1:29" s="10" customFormat="1" ht="28.5" customHeight="1">
      <c r="A139" s="15">
        <v>1</v>
      </c>
      <c r="B139" s="79" t="s">
        <v>970</v>
      </c>
      <c r="C139" s="17">
        <v>1</v>
      </c>
      <c r="D139" s="17">
        <v>1</v>
      </c>
      <c r="E139" s="17">
        <v>1</v>
      </c>
      <c r="F139" s="17">
        <v>1</v>
      </c>
      <c r="G139" s="17">
        <v>0.85</v>
      </c>
      <c r="H139" s="17">
        <v>0.85</v>
      </c>
      <c r="I139" s="17">
        <v>24</v>
      </c>
      <c r="J139" s="168" t="s">
        <v>922</v>
      </c>
      <c r="K139" s="15">
        <v>24</v>
      </c>
      <c r="L139" s="168" t="s">
        <v>922</v>
      </c>
      <c r="M139" s="15">
        <v>24</v>
      </c>
      <c r="N139" s="168" t="s">
        <v>922</v>
      </c>
      <c r="O139" s="15">
        <v>24</v>
      </c>
      <c r="P139" s="168" t="s">
        <v>922</v>
      </c>
      <c r="Q139" s="15">
        <v>30</v>
      </c>
      <c r="R139" s="73"/>
      <c r="S139" s="74"/>
      <c r="T139" s="74"/>
      <c r="U139" s="74"/>
      <c r="V139" s="73"/>
      <c r="W139" s="74"/>
      <c r="X139" s="74"/>
      <c r="Y139" s="74"/>
      <c r="Z139" s="72"/>
      <c r="AA139" s="72"/>
      <c r="AB139" s="72"/>
      <c r="AC139" s="72"/>
    </row>
    <row r="140" spans="1:29" s="10" customFormat="1" ht="28.5" customHeight="1">
      <c r="A140" s="15">
        <v>2</v>
      </c>
      <c r="B140" s="79" t="s">
        <v>343</v>
      </c>
      <c r="C140" s="17">
        <v>2</v>
      </c>
      <c r="D140" s="17">
        <v>2</v>
      </c>
      <c r="E140" s="17">
        <v>2</v>
      </c>
      <c r="F140" s="17">
        <v>2</v>
      </c>
      <c r="G140" s="17">
        <v>0.09</v>
      </c>
      <c r="H140" s="17">
        <v>0.09</v>
      </c>
      <c r="I140" s="17">
        <v>24</v>
      </c>
      <c r="J140" s="168" t="s">
        <v>922</v>
      </c>
      <c r="K140" s="15">
        <v>24</v>
      </c>
      <c r="L140" s="168" t="s">
        <v>922</v>
      </c>
      <c r="M140" s="15">
        <v>24</v>
      </c>
      <c r="N140" s="168" t="s">
        <v>922</v>
      </c>
      <c r="O140" s="15">
        <v>24</v>
      </c>
      <c r="P140" s="168" t="s">
        <v>922</v>
      </c>
      <c r="Q140" s="15">
        <v>30</v>
      </c>
      <c r="R140" s="73"/>
      <c r="S140" s="74"/>
      <c r="T140" s="74"/>
      <c r="U140" s="74"/>
      <c r="V140" s="73"/>
      <c r="W140" s="74"/>
      <c r="X140" s="74"/>
      <c r="Y140" s="74"/>
      <c r="Z140" s="72"/>
      <c r="AA140" s="72"/>
      <c r="AB140" s="72"/>
      <c r="AC140" s="72"/>
    </row>
    <row r="141" spans="1:29" s="10" customFormat="1" ht="28.5" customHeight="1">
      <c r="A141" s="15">
        <v>3</v>
      </c>
      <c r="B141" s="79" t="s">
        <v>971</v>
      </c>
      <c r="C141" s="17">
        <v>1</v>
      </c>
      <c r="D141" s="17">
        <v>1</v>
      </c>
      <c r="E141" s="17">
        <v>1</v>
      </c>
      <c r="F141" s="17">
        <v>1</v>
      </c>
      <c r="G141" s="17">
        <v>2</v>
      </c>
      <c r="H141" s="17">
        <v>2</v>
      </c>
      <c r="I141" s="17">
        <v>24</v>
      </c>
      <c r="J141" s="168" t="s">
        <v>922</v>
      </c>
      <c r="K141" s="15">
        <v>24</v>
      </c>
      <c r="L141" s="168" t="s">
        <v>922</v>
      </c>
      <c r="M141" s="15">
        <v>24</v>
      </c>
      <c r="N141" s="168" t="s">
        <v>922</v>
      </c>
      <c r="O141" s="15">
        <v>24</v>
      </c>
      <c r="P141" s="168" t="s">
        <v>922</v>
      </c>
      <c r="Q141" s="15">
        <v>30</v>
      </c>
      <c r="R141" s="73"/>
      <c r="S141" s="74"/>
      <c r="T141" s="74"/>
      <c r="U141" s="74"/>
      <c r="V141" s="73"/>
      <c r="W141" s="74"/>
      <c r="X141" s="74"/>
      <c r="Y141" s="74"/>
      <c r="Z141" s="72"/>
      <c r="AA141" s="72"/>
      <c r="AB141" s="72"/>
      <c r="AC141" s="72"/>
    </row>
    <row r="142" spans="1:29" s="10" customFormat="1" ht="30">
      <c r="A142" s="15">
        <v>4</v>
      </c>
      <c r="B142" s="79" t="s">
        <v>966</v>
      </c>
      <c r="C142" s="17">
        <v>2</v>
      </c>
      <c r="D142" s="17">
        <v>2</v>
      </c>
      <c r="E142" s="17">
        <v>2</v>
      </c>
      <c r="F142" s="17">
        <v>2</v>
      </c>
      <c r="G142" s="17">
        <v>0.55000000000000004</v>
      </c>
      <c r="H142" s="17">
        <v>0.55000000000000004</v>
      </c>
      <c r="I142" s="17">
        <v>9</v>
      </c>
      <c r="J142" s="168" t="s">
        <v>976</v>
      </c>
      <c r="K142" s="15">
        <v>9</v>
      </c>
      <c r="L142" s="168" t="s">
        <v>976</v>
      </c>
      <c r="M142" s="15">
        <v>9</v>
      </c>
      <c r="N142" s="168" t="s">
        <v>976</v>
      </c>
      <c r="O142" s="15">
        <v>9</v>
      </c>
      <c r="P142" s="168" t="s">
        <v>976</v>
      </c>
      <c r="Q142" s="15">
        <v>30</v>
      </c>
      <c r="R142" s="73"/>
      <c r="S142" s="74"/>
      <c r="T142" s="74"/>
      <c r="U142" s="74"/>
      <c r="V142" s="73"/>
      <c r="W142" s="74"/>
      <c r="X142" s="74"/>
      <c r="Y142" s="74"/>
      <c r="Z142" s="72"/>
      <c r="AA142" s="72"/>
      <c r="AB142" s="72"/>
      <c r="AC142" s="72"/>
    </row>
    <row r="143" spans="1:29" s="10" customFormat="1" ht="30">
      <c r="A143" s="15">
        <v>5</v>
      </c>
      <c r="B143" s="79" t="s">
        <v>945</v>
      </c>
      <c r="C143" s="17">
        <v>1</v>
      </c>
      <c r="D143" s="17">
        <v>1</v>
      </c>
      <c r="E143" s="17">
        <v>1</v>
      </c>
      <c r="F143" s="17">
        <v>1</v>
      </c>
      <c r="G143" s="17">
        <v>0.25</v>
      </c>
      <c r="H143" s="17">
        <v>0.25</v>
      </c>
      <c r="I143" s="17">
        <v>9</v>
      </c>
      <c r="J143" s="168" t="s">
        <v>976</v>
      </c>
      <c r="K143" s="15">
        <v>9</v>
      </c>
      <c r="L143" s="168" t="s">
        <v>976</v>
      </c>
      <c r="M143" s="15">
        <v>9</v>
      </c>
      <c r="N143" s="168" t="s">
        <v>976</v>
      </c>
      <c r="O143" s="15">
        <v>9</v>
      </c>
      <c r="P143" s="168" t="s">
        <v>976</v>
      </c>
      <c r="Q143" s="15">
        <v>30</v>
      </c>
      <c r="R143" s="73"/>
      <c r="S143" s="74"/>
      <c r="T143" s="74"/>
      <c r="U143" s="74"/>
      <c r="V143" s="73"/>
      <c r="W143" s="74"/>
      <c r="X143" s="74"/>
      <c r="Y143" s="74"/>
      <c r="Z143" s="72"/>
      <c r="AA143" s="72"/>
      <c r="AB143" s="72"/>
      <c r="AC143" s="72"/>
    </row>
    <row r="144" spans="1:29" s="10" customFormat="1" ht="60">
      <c r="A144" s="15">
        <v>6</v>
      </c>
      <c r="B144" s="79" t="s">
        <v>819</v>
      </c>
      <c r="C144" s="17">
        <v>1</v>
      </c>
      <c r="D144" s="17">
        <v>1</v>
      </c>
      <c r="E144" s="17">
        <v>1</v>
      </c>
      <c r="F144" s="17">
        <v>1</v>
      </c>
      <c r="G144" s="17">
        <v>2.4</v>
      </c>
      <c r="H144" s="17">
        <v>2.4</v>
      </c>
      <c r="I144" s="17">
        <v>6</v>
      </c>
      <c r="J144" s="168" t="s">
        <v>977</v>
      </c>
      <c r="K144" s="15">
        <v>6</v>
      </c>
      <c r="L144" s="168" t="s">
        <v>977</v>
      </c>
      <c r="M144" s="15">
        <v>6</v>
      </c>
      <c r="N144" s="168" t="s">
        <v>977</v>
      </c>
      <c r="O144" s="15">
        <v>6</v>
      </c>
      <c r="P144" s="168" t="s">
        <v>977</v>
      </c>
      <c r="Q144" s="15">
        <v>30</v>
      </c>
      <c r="R144" s="73"/>
      <c r="S144" s="74"/>
      <c r="T144" s="74"/>
      <c r="U144" s="74"/>
      <c r="V144" s="73"/>
      <c r="W144" s="74"/>
      <c r="X144" s="74"/>
      <c r="Y144" s="74"/>
      <c r="Z144" s="72"/>
      <c r="AA144" s="72"/>
      <c r="AB144" s="72"/>
      <c r="AC144" s="72"/>
    </row>
    <row r="145" spans="1:29" s="10" customFormat="1" ht="45">
      <c r="A145" s="15">
        <v>7</v>
      </c>
      <c r="B145" s="79" t="s">
        <v>943</v>
      </c>
      <c r="C145" s="17">
        <v>12</v>
      </c>
      <c r="D145" s="17">
        <v>12</v>
      </c>
      <c r="E145" s="17">
        <v>12</v>
      </c>
      <c r="F145" s="17">
        <v>12</v>
      </c>
      <c r="G145" s="17">
        <v>2</v>
      </c>
      <c r="H145" s="17">
        <v>2</v>
      </c>
      <c r="I145" s="17">
        <v>7</v>
      </c>
      <c r="J145" s="168" t="s">
        <v>978</v>
      </c>
      <c r="K145" s="15">
        <v>7</v>
      </c>
      <c r="L145" s="168" t="s">
        <v>978</v>
      </c>
      <c r="M145" s="15">
        <v>7</v>
      </c>
      <c r="N145" s="168" t="s">
        <v>978</v>
      </c>
      <c r="O145" s="15">
        <v>7</v>
      </c>
      <c r="P145" s="168" t="s">
        <v>978</v>
      </c>
      <c r="Q145" s="15">
        <v>30</v>
      </c>
      <c r="R145" s="73"/>
      <c r="S145" s="74"/>
      <c r="T145" s="74"/>
      <c r="U145" s="74"/>
      <c r="V145" s="73"/>
      <c r="W145" s="74"/>
      <c r="X145" s="74"/>
      <c r="Y145" s="74"/>
      <c r="Z145" s="72"/>
      <c r="AA145" s="72"/>
      <c r="AB145" s="72"/>
      <c r="AC145" s="72"/>
    </row>
    <row r="146" spans="1:29" s="10" customFormat="1" ht="30">
      <c r="A146" s="15">
        <v>8</v>
      </c>
      <c r="B146" s="79" t="s">
        <v>956</v>
      </c>
      <c r="C146" s="17">
        <v>10</v>
      </c>
      <c r="D146" s="17">
        <v>10</v>
      </c>
      <c r="E146" s="17">
        <v>10</v>
      </c>
      <c r="F146" s="17">
        <v>10</v>
      </c>
      <c r="G146" s="17">
        <v>2</v>
      </c>
      <c r="H146" s="17">
        <v>2</v>
      </c>
      <c r="I146" s="17">
        <v>6</v>
      </c>
      <c r="J146" s="168" t="s">
        <v>979</v>
      </c>
      <c r="K146" s="15">
        <v>6</v>
      </c>
      <c r="L146" s="168" t="s">
        <v>979</v>
      </c>
      <c r="M146" s="15">
        <v>6</v>
      </c>
      <c r="N146" s="168" t="s">
        <v>979</v>
      </c>
      <c r="O146" s="15">
        <v>6</v>
      </c>
      <c r="P146" s="168" t="s">
        <v>979</v>
      </c>
      <c r="Q146" s="15">
        <v>30</v>
      </c>
      <c r="R146" s="73"/>
      <c r="S146" s="74"/>
      <c r="T146" s="74"/>
      <c r="U146" s="74"/>
      <c r="V146" s="73"/>
      <c r="W146" s="74"/>
      <c r="X146" s="74"/>
      <c r="Y146" s="74"/>
      <c r="Z146" s="72"/>
      <c r="AA146" s="72"/>
      <c r="AB146" s="72"/>
      <c r="AC146" s="72"/>
    </row>
    <row r="147" spans="1:29" s="10" customFormat="1" ht="32.25" customHeight="1">
      <c r="A147" s="15">
        <v>9</v>
      </c>
      <c r="B147" s="79" t="s">
        <v>954</v>
      </c>
      <c r="C147" s="17">
        <v>1</v>
      </c>
      <c r="D147" s="17">
        <v>1</v>
      </c>
      <c r="E147" s="17">
        <v>1</v>
      </c>
      <c r="F147" s="17">
        <v>1</v>
      </c>
      <c r="G147" s="17">
        <v>2.75</v>
      </c>
      <c r="H147" s="17">
        <v>2.75</v>
      </c>
      <c r="I147" s="17">
        <v>2</v>
      </c>
      <c r="J147" s="168" t="s">
        <v>980</v>
      </c>
      <c r="K147" s="15">
        <v>2</v>
      </c>
      <c r="L147" s="168" t="s">
        <v>980</v>
      </c>
      <c r="M147" s="15">
        <v>2</v>
      </c>
      <c r="N147" s="168" t="s">
        <v>980</v>
      </c>
      <c r="O147" s="15">
        <v>2</v>
      </c>
      <c r="P147" s="168" t="s">
        <v>980</v>
      </c>
      <c r="Q147" s="15">
        <v>30</v>
      </c>
      <c r="R147" s="73"/>
      <c r="S147" s="74"/>
      <c r="T147" s="74"/>
      <c r="U147" s="74"/>
      <c r="V147" s="73"/>
      <c r="W147" s="74"/>
      <c r="X147" s="74"/>
      <c r="Y147" s="74"/>
      <c r="Z147" s="72"/>
      <c r="AA147" s="72"/>
      <c r="AB147" s="72"/>
      <c r="AC147" s="72"/>
    </row>
    <row r="148" spans="1:29" s="10" customFormat="1" ht="32.25" customHeight="1">
      <c r="A148" s="15">
        <v>10</v>
      </c>
      <c r="B148" s="79" t="s">
        <v>981</v>
      </c>
      <c r="C148" s="17">
        <v>1</v>
      </c>
      <c r="D148" s="17">
        <v>1</v>
      </c>
      <c r="E148" s="17">
        <v>1</v>
      </c>
      <c r="F148" s="17">
        <v>1</v>
      </c>
      <c r="G148" s="17">
        <v>1.28</v>
      </c>
      <c r="H148" s="17">
        <v>1.28</v>
      </c>
      <c r="I148" s="17">
        <v>24</v>
      </c>
      <c r="J148" s="168" t="s">
        <v>922</v>
      </c>
      <c r="K148" s="15">
        <v>24</v>
      </c>
      <c r="L148" s="168" t="s">
        <v>922</v>
      </c>
      <c r="M148" s="15">
        <v>24</v>
      </c>
      <c r="N148" s="168" t="s">
        <v>922</v>
      </c>
      <c r="O148" s="15">
        <v>24</v>
      </c>
      <c r="P148" s="168" t="s">
        <v>922</v>
      </c>
      <c r="Q148" s="15">
        <v>30</v>
      </c>
      <c r="R148" s="73"/>
      <c r="S148" s="74"/>
      <c r="T148" s="74"/>
      <c r="U148" s="74"/>
      <c r="V148" s="73"/>
      <c r="W148" s="74"/>
      <c r="X148" s="74"/>
      <c r="Y148" s="74"/>
      <c r="Z148" s="72"/>
      <c r="AA148" s="72"/>
      <c r="AB148" s="72"/>
      <c r="AC148" s="72"/>
    </row>
    <row r="149" spans="1:29" s="10" customFormat="1" ht="43.5" customHeight="1">
      <c r="A149" s="15">
        <v>11</v>
      </c>
      <c r="B149" s="79" t="s">
        <v>982</v>
      </c>
      <c r="C149" s="17">
        <v>1</v>
      </c>
      <c r="D149" s="17">
        <v>1</v>
      </c>
      <c r="E149" s="17">
        <v>1</v>
      </c>
      <c r="F149" s="17">
        <v>1</v>
      </c>
      <c r="G149" s="17">
        <v>36</v>
      </c>
      <c r="H149" s="17">
        <v>36</v>
      </c>
      <c r="I149" s="17">
        <v>2</v>
      </c>
      <c r="J149" s="168" t="s">
        <v>983</v>
      </c>
      <c r="K149" s="15">
        <v>2</v>
      </c>
      <c r="L149" s="168" t="s">
        <v>983</v>
      </c>
      <c r="M149" s="15">
        <v>2</v>
      </c>
      <c r="N149" s="168" t="s">
        <v>983</v>
      </c>
      <c r="O149" s="15">
        <v>2</v>
      </c>
      <c r="P149" s="168" t="s">
        <v>983</v>
      </c>
      <c r="Q149" s="15">
        <v>30</v>
      </c>
      <c r="R149" s="73"/>
      <c r="S149" s="74"/>
      <c r="T149" s="74"/>
      <c r="U149" s="74"/>
      <c r="V149" s="73"/>
      <c r="W149" s="74"/>
      <c r="X149" s="74"/>
      <c r="Y149" s="74"/>
      <c r="Z149" s="72"/>
      <c r="AA149" s="72"/>
      <c r="AB149" s="72"/>
      <c r="AC149" s="72"/>
    </row>
    <row r="150" spans="1:29" s="10" customFormat="1" ht="43.5" customHeight="1">
      <c r="A150" s="15">
        <v>12</v>
      </c>
      <c r="B150" s="79" t="s">
        <v>984</v>
      </c>
      <c r="C150" s="17">
        <v>1</v>
      </c>
      <c r="D150" s="17">
        <v>1</v>
      </c>
      <c r="E150" s="17">
        <v>1</v>
      </c>
      <c r="F150" s="17">
        <v>1</v>
      </c>
      <c r="G150" s="17">
        <v>5.2220000000000004</v>
      </c>
      <c r="H150" s="17">
        <v>5.2220000000000004</v>
      </c>
      <c r="I150" s="17">
        <v>24</v>
      </c>
      <c r="J150" s="168" t="s">
        <v>922</v>
      </c>
      <c r="K150" s="15">
        <v>24</v>
      </c>
      <c r="L150" s="168" t="s">
        <v>922</v>
      </c>
      <c r="M150" s="15">
        <v>24</v>
      </c>
      <c r="N150" s="168" t="s">
        <v>922</v>
      </c>
      <c r="O150" s="15">
        <v>24</v>
      </c>
      <c r="P150" s="168" t="s">
        <v>922</v>
      </c>
      <c r="Q150" s="15">
        <v>30</v>
      </c>
      <c r="R150" s="73"/>
      <c r="S150" s="74"/>
      <c r="T150" s="74"/>
      <c r="U150" s="74"/>
      <c r="V150" s="73"/>
      <c r="W150" s="74"/>
      <c r="X150" s="74"/>
      <c r="Y150" s="74"/>
      <c r="Z150" s="72"/>
      <c r="AA150" s="72"/>
      <c r="AB150" s="72"/>
      <c r="AC150" s="72"/>
    </row>
    <row r="151" spans="1:29" s="10" customFormat="1" ht="43.5" customHeight="1">
      <c r="A151" s="15">
        <v>13</v>
      </c>
      <c r="B151" s="79" t="s">
        <v>985</v>
      </c>
      <c r="C151" s="17">
        <v>1</v>
      </c>
      <c r="D151" s="17">
        <v>1</v>
      </c>
      <c r="E151" s="17">
        <v>1</v>
      </c>
      <c r="F151" s="17">
        <v>1</v>
      </c>
      <c r="G151" s="17">
        <v>2.5</v>
      </c>
      <c r="H151" s="17">
        <v>2.5</v>
      </c>
      <c r="I151" s="17">
        <v>24</v>
      </c>
      <c r="J151" s="168" t="s">
        <v>922</v>
      </c>
      <c r="K151" s="15">
        <v>24</v>
      </c>
      <c r="L151" s="168" t="s">
        <v>922</v>
      </c>
      <c r="M151" s="15">
        <v>24</v>
      </c>
      <c r="N151" s="168" t="s">
        <v>922</v>
      </c>
      <c r="O151" s="15">
        <v>24</v>
      </c>
      <c r="P151" s="168" t="s">
        <v>922</v>
      </c>
      <c r="Q151" s="15">
        <v>30</v>
      </c>
      <c r="R151" s="73"/>
      <c r="S151" s="74"/>
      <c r="T151" s="74"/>
      <c r="U151" s="74"/>
      <c r="V151" s="73"/>
      <c r="W151" s="74"/>
      <c r="X151" s="74"/>
      <c r="Y151" s="74"/>
      <c r="Z151" s="72"/>
      <c r="AA151" s="72"/>
      <c r="AB151" s="72"/>
      <c r="AC151" s="72"/>
    </row>
    <row r="152" spans="1:29" s="10" customFormat="1" ht="43.5" customHeight="1">
      <c r="A152" s="15">
        <v>14</v>
      </c>
      <c r="B152" s="79" t="s">
        <v>986</v>
      </c>
      <c r="C152" s="17">
        <v>2</v>
      </c>
      <c r="D152" s="17">
        <v>2</v>
      </c>
      <c r="E152" s="17">
        <v>2</v>
      </c>
      <c r="F152" s="17">
        <v>2</v>
      </c>
      <c r="G152" s="17">
        <v>2.2999999999999998</v>
      </c>
      <c r="H152" s="17">
        <v>2.2999999999999998</v>
      </c>
      <c r="I152" s="17">
        <v>5</v>
      </c>
      <c r="J152" s="168" t="s">
        <v>987</v>
      </c>
      <c r="K152" s="15">
        <v>5</v>
      </c>
      <c r="L152" s="168" t="s">
        <v>987</v>
      </c>
      <c r="M152" s="15">
        <v>5</v>
      </c>
      <c r="N152" s="168" t="s">
        <v>987</v>
      </c>
      <c r="O152" s="15">
        <v>5</v>
      </c>
      <c r="P152" s="168" t="s">
        <v>987</v>
      </c>
      <c r="Q152" s="15">
        <v>30</v>
      </c>
      <c r="R152" s="73"/>
      <c r="S152" s="74"/>
      <c r="T152" s="74"/>
      <c r="U152" s="74"/>
      <c r="V152" s="73"/>
      <c r="W152" s="74"/>
      <c r="X152" s="74"/>
      <c r="Y152" s="74"/>
      <c r="Z152" s="72"/>
      <c r="AA152" s="72"/>
      <c r="AB152" s="72"/>
      <c r="AC152" s="72"/>
    </row>
    <row r="153" spans="1:29" s="10" customFormat="1" ht="43.5" customHeight="1">
      <c r="A153" s="15">
        <v>15</v>
      </c>
      <c r="B153" s="79" t="s">
        <v>988</v>
      </c>
      <c r="C153" s="17">
        <v>1</v>
      </c>
      <c r="D153" s="17">
        <v>1</v>
      </c>
      <c r="E153" s="17">
        <v>1</v>
      </c>
      <c r="F153" s="17">
        <v>1</v>
      </c>
      <c r="G153" s="17">
        <v>2.8</v>
      </c>
      <c r="H153" s="17">
        <v>2.8</v>
      </c>
      <c r="I153" s="17">
        <v>2.5</v>
      </c>
      <c r="J153" s="168" t="s">
        <v>989</v>
      </c>
      <c r="K153" s="15">
        <v>2.5</v>
      </c>
      <c r="L153" s="168" t="s">
        <v>989</v>
      </c>
      <c r="M153" s="15">
        <v>2.5</v>
      </c>
      <c r="N153" s="168" t="s">
        <v>989</v>
      </c>
      <c r="O153" s="15">
        <v>2.5</v>
      </c>
      <c r="P153" s="168" t="s">
        <v>989</v>
      </c>
      <c r="Q153" s="15">
        <v>30</v>
      </c>
      <c r="R153" s="73"/>
      <c r="S153" s="74"/>
      <c r="T153" s="74"/>
      <c r="U153" s="74"/>
      <c r="V153" s="73"/>
      <c r="W153" s="74"/>
      <c r="X153" s="74"/>
      <c r="Y153" s="74"/>
      <c r="Z153" s="72"/>
      <c r="AA153" s="72"/>
      <c r="AB153" s="72"/>
      <c r="AC153" s="72"/>
    </row>
    <row r="154" spans="1:29" s="10" customFormat="1" ht="39.75" customHeight="1">
      <c r="A154" s="15">
        <v>16</v>
      </c>
      <c r="B154" s="79" t="s">
        <v>195</v>
      </c>
      <c r="C154" s="17">
        <v>57</v>
      </c>
      <c r="D154" s="17">
        <v>57</v>
      </c>
      <c r="E154" s="17">
        <v>57</v>
      </c>
      <c r="F154" s="17">
        <v>57</v>
      </c>
      <c r="G154" s="17">
        <v>3.5999999999999997E-2</v>
      </c>
      <c r="H154" s="17">
        <v>3.5999999999999997E-2</v>
      </c>
      <c r="I154" s="17">
        <v>6</v>
      </c>
      <c r="J154" s="168" t="s">
        <v>990</v>
      </c>
      <c r="K154" s="15">
        <v>6</v>
      </c>
      <c r="L154" s="168" t="s">
        <v>990</v>
      </c>
      <c r="M154" s="15">
        <v>6</v>
      </c>
      <c r="N154" s="168" t="s">
        <v>990</v>
      </c>
      <c r="O154" s="15">
        <v>6</v>
      </c>
      <c r="P154" s="168" t="s">
        <v>990</v>
      </c>
      <c r="Q154" s="15">
        <v>30</v>
      </c>
      <c r="R154" s="73"/>
      <c r="S154" s="74"/>
      <c r="T154" s="74"/>
      <c r="U154" s="74"/>
      <c r="V154" s="73"/>
      <c r="W154" s="74"/>
      <c r="X154" s="74"/>
      <c r="Y154" s="74"/>
      <c r="Z154" s="72"/>
      <c r="AA154" s="72"/>
      <c r="AB154" s="72"/>
      <c r="AC154" s="72"/>
    </row>
    <row r="155" spans="1:29" s="10" customFormat="1" ht="36.75" customHeight="1">
      <c r="A155" s="15">
        <v>17</v>
      </c>
      <c r="B155" s="79" t="s">
        <v>197</v>
      </c>
      <c r="C155" s="17">
        <v>57</v>
      </c>
      <c r="D155" s="17">
        <v>57</v>
      </c>
      <c r="E155" s="17">
        <v>57</v>
      </c>
      <c r="F155" s="17">
        <v>57</v>
      </c>
      <c r="G155" s="17">
        <v>8.9999999999999993E-3</v>
      </c>
      <c r="H155" s="17">
        <v>8.9999999999999993E-3</v>
      </c>
      <c r="I155" s="17">
        <v>6</v>
      </c>
      <c r="J155" s="168" t="s">
        <v>990</v>
      </c>
      <c r="K155" s="15">
        <v>6</v>
      </c>
      <c r="L155" s="168" t="s">
        <v>990</v>
      </c>
      <c r="M155" s="15">
        <v>6</v>
      </c>
      <c r="N155" s="168" t="s">
        <v>990</v>
      </c>
      <c r="O155" s="15">
        <v>6</v>
      </c>
      <c r="P155" s="168" t="s">
        <v>990</v>
      </c>
      <c r="Q155" s="15">
        <v>30</v>
      </c>
      <c r="R155" s="73"/>
      <c r="S155" s="74"/>
      <c r="T155" s="74"/>
      <c r="U155" s="74"/>
      <c r="V155" s="73"/>
      <c r="W155" s="74"/>
      <c r="X155" s="74"/>
      <c r="Y155" s="74"/>
      <c r="Z155" s="72"/>
      <c r="AA155" s="72"/>
      <c r="AB155" s="72"/>
      <c r="AC155" s="72"/>
    </row>
    <row r="156" spans="1:29" s="10" customFormat="1" ht="33" customHeight="1">
      <c r="A156" s="319" t="s">
        <v>991</v>
      </c>
      <c r="B156" s="51" t="s">
        <v>992</v>
      </c>
      <c r="C156" s="15"/>
      <c r="D156" s="17"/>
      <c r="E156" s="17"/>
      <c r="F156" s="17"/>
      <c r="G156" s="18"/>
      <c r="H156" s="18"/>
      <c r="I156" s="320"/>
      <c r="J156" s="79"/>
      <c r="K156" s="79"/>
      <c r="L156" s="79"/>
      <c r="M156" s="79"/>
      <c r="N156" s="79"/>
      <c r="O156" s="79"/>
      <c r="P156" s="79"/>
      <c r="Q156" s="15"/>
      <c r="R156" s="73"/>
      <c r="S156" s="74"/>
      <c r="T156" s="74"/>
      <c r="U156" s="74"/>
      <c r="V156" s="73"/>
      <c r="W156" s="74"/>
      <c r="X156" s="74"/>
      <c r="Y156" s="74"/>
      <c r="Z156" s="72"/>
      <c r="AA156" s="72"/>
      <c r="AB156" s="72"/>
      <c r="AC156" s="72"/>
    </row>
    <row r="157" spans="1:29" s="10" customFormat="1" ht="22.5" customHeight="1">
      <c r="A157" s="15"/>
      <c r="B157" s="79" t="s">
        <v>993</v>
      </c>
      <c r="C157" s="17"/>
      <c r="D157" s="17"/>
      <c r="E157" s="17"/>
      <c r="F157" s="17"/>
      <c r="G157" s="17"/>
      <c r="H157" s="17"/>
      <c r="I157" s="17"/>
      <c r="J157" s="168"/>
      <c r="K157" s="15"/>
      <c r="L157" s="168"/>
      <c r="M157" s="15"/>
      <c r="N157" s="168"/>
      <c r="O157" s="15"/>
      <c r="P157" s="168"/>
      <c r="Q157" s="15"/>
      <c r="R157" s="73"/>
      <c r="S157" s="74"/>
      <c r="T157" s="74"/>
      <c r="U157" s="74"/>
      <c r="V157" s="73"/>
      <c r="W157" s="74"/>
      <c r="X157" s="74"/>
      <c r="Y157" s="74"/>
      <c r="Z157" s="72"/>
      <c r="AA157" s="72"/>
      <c r="AB157" s="72"/>
      <c r="AC157" s="72"/>
    </row>
    <row r="158" spans="1:29" s="10" customFormat="1" ht="22.5" customHeight="1">
      <c r="A158" s="15">
        <v>1</v>
      </c>
      <c r="B158" s="79" t="s">
        <v>994</v>
      </c>
      <c r="C158" s="17">
        <v>2</v>
      </c>
      <c r="D158" s="17"/>
      <c r="E158" s="17"/>
      <c r="F158" s="17"/>
      <c r="G158" s="17"/>
      <c r="H158" s="17"/>
      <c r="I158" s="17">
        <v>0</v>
      </c>
      <c r="J158" s="168"/>
      <c r="K158" s="15">
        <v>0</v>
      </c>
      <c r="L158" s="168"/>
      <c r="M158" s="15">
        <v>0</v>
      </c>
      <c r="N158" s="168"/>
      <c r="O158" s="15">
        <v>0</v>
      </c>
      <c r="P158" s="168"/>
      <c r="Q158" s="15">
        <v>30</v>
      </c>
      <c r="R158" s="73"/>
      <c r="S158" s="74"/>
      <c r="T158" s="74"/>
      <c r="U158" s="74"/>
      <c r="V158" s="73"/>
      <c r="W158" s="74"/>
      <c r="X158" s="74"/>
      <c r="Y158" s="74"/>
      <c r="Z158" s="72"/>
      <c r="AA158" s="72"/>
      <c r="AB158" s="72"/>
      <c r="AC158" s="72"/>
    </row>
    <row r="159" spans="1:29" s="10" customFormat="1" ht="22.5" customHeight="1">
      <c r="A159" s="15">
        <v>2</v>
      </c>
      <c r="B159" s="79" t="s">
        <v>995</v>
      </c>
      <c r="C159" s="17">
        <v>1</v>
      </c>
      <c r="D159" s="17">
        <v>1</v>
      </c>
      <c r="E159" s="17">
        <v>1</v>
      </c>
      <c r="F159" s="17">
        <v>1</v>
      </c>
      <c r="G159" s="17">
        <v>1</v>
      </c>
      <c r="H159" s="17"/>
      <c r="I159" s="17">
        <v>24</v>
      </c>
      <c r="J159" s="168" t="s">
        <v>996</v>
      </c>
      <c r="K159" s="15">
        <v>24</v>
      </c>
      <c r="L159" s="168" t="s">
        <v>996</v>
      </c>
      <c r="M159" s="15">
        <v>24</v>
      </c>
      <c r="N159" s="168" t="s">
        <v>996</v>
      </c>
      <c r="O159" s="15">
        <v>24</v>
      </c>
      <c r="P159" s="168" t="s">
        <v>996</v>
      </c>
      <c r="Q159" s="15">
        <v>30</v>
      </c>
      <c r="R159" s="73"/>
      <c r="S159" s="74"/>
      <c r="T159" s="74"/>
      <c r="U159" s="74"/>
      <c r="V159" s="73"/>
      <c r="W159" s="74"/>
      <c r="X159" s="74"/>
      <c r="Y159" s="74"/>
      <c r="Z159" s="72"/>
      <c r="AA159" s="72"/>
      <c r="AB159" s="72"/>
      <c r="AC159" s="72"/>
    </row>
    <row r="160" spans="1:29" s="10" customFormat="1" ht="22.5" customHeight="1">
      <c r="A160" s="15">
        <v>3</v>
      </c>
      <c r="B160" s="79" t="s">
        <v>997</v>
      </c>
      <c r="C160" s="17">
        <v>1</v>
      </c>
      <c r="D160" s="17">
        <v>1</v>
      </c>
      <c r="E160" s="17">
        <v>1</v>
      </c>
      <c r="F160" s="17">
        <v>1</v>
      </c>
      <c r="G160" s="17">
        <v>1</v>
      </c>
      <c r="H160" s="17"/>
      <c r="I160" s="17">
        <v>4</v>
      </c>
      <c r="J160" s="168" t="s">
        <v>998</v>
      </c>
      <c r="K160" s="15">
        <v>4</v>
      </c>
      <c r="L160" s="168" t="s">
        <v>998</v>
      </c>
      <c r="M160" s="15">
        <v>4</v>
      </c>
      <c r="N160" s="168" t="s">
        <v>998</v>
      </c>
      <c r="O160" s="15">
        <v>4</v>
      </c>
      <c r="P160" s="168" t="s">
        <v>998</v>
      </c>
      <c r="Q160" s="15">
        <v>30</v>
      </c>
      <c r="R160" s="73"/>
      <c r="S160" s="74"/>
      <c r="T160" s="74"/>
      <c r="U160" s="74"/>
      <c r="V160" s="73"/>
      <c r="W160" s="74"/>
      <c r="X160" s="74"/>
      <c r="Y160" s="74"/>
      <c r="Z160" s="72"/>
      <c r="AA160" s="72"/>
      <c r="AB160" s="72"/>
      <c r="AC160" s="72"/>
    </row>
    <row r="161" spans="1:29" s="10" customFormat="1" ht="22.5" customHeight="1">
      <c r="A161" s="15">
        <v>4</v>
      </c>
      <c r="B161" s="79" t="s">
        <v>999</v>
      </c>
      <c r="C161" s="17">
        <v>1</v>
      </c>
      <c r="D161" s="17">
        <v>1</v>
      </c>
      <c r="E161" s="17">
        <v>1</v>
      </c>
      <c r="F161" s="17">
        <v>1</v>
      </c>
      <c r="G161" s="17">
        <v>1</v>
      </c>
      <c r="H161" s="17"/>
      <c r="I161" s="17">
        <v>24</v>
      </c>
      <c r="J161" s="168" t="s">
        <v>996</v>
      </c>
      <c r="K161" s="15">
        <v>24</v>
      </c>
      <c r="L161" s="168" t="s">
        <v>996</v>
      </c>
      <c r="M161" s="15">
        <v>24</v>
      </c>
      <c r="N161" s="168" t="s">
        <v>996</v>
      </c>
      <c r="O161" s="15">
        <v>24</v>
      </c>
      <c r="P161" s="168" t="s">
        <v>996</v>
      </c>
      <c r="Q161" s="15">
        <v>30</v>
      </c>
      <c r="R161" s="73"/>
      <c r="S161" s="74"/>
      <c r="T161" s="74"/>
      <c r="U161" s="74"/>
      <c r="V161" s="73"/>
      <c r="W161" s="74"/>
      <c r="X161" s="74"/>
      <c r="Y161" s="74"/>
      <c r="Z161" s="72"/>
      <c r="AA161" s="72"/>
      <c r="AB161" s="72"/>
      <c r="AC161" s="72"/>
    </row>
    <row r="162" spans="1:29" s="10" customFormat="1" ht="22.5" customHeight="1">
      <c r="A162" s="15">
        <v>5</v>
      </c>
      <c r="B162" s="79" t="s">
        <v>1000</v>
      </c>
      <c r="C162" s="17">
        <v>1</v>
      </c>
      <c r="D162" s="17">
        <v>1</v>
      </c>
      <c r="E162" s="17">
        <v>1</v>
      </c>
      <c r="F162" s="17">
        <v>1</v>
      </c>
      <c r="G162" s="17">
        <v>1</v>
      </c>
      <c r="H162" s="17"/>
      <c r="I162" s="17">
        <v>4</v>
      </c>
      <c r="J162" s="168" t="s">
        <v>998</v>
      </c>
      <c r="K162" s="15">
        <v>4</v>
      </c>
      <c r="L162" s="168" t="s">
        <v>998</v>
      </c>
      <c r="M162" s="15">
        <v>4</v>
      </c>
      <c r="N162" s="168" t="s">
        <v>998</v>
      </c>
      <c r="O162" s="15">
        <v>4</v>
      </c>
      <c r="P162" s="168" t="s">
        <v>998</v>
      </c>
      <c r="Q162" s="15">
        <v>30</v>
      </c>
      <c r="R162" s="73"/>
      <c r="S162" s="74"/>
      <c r="T162" s="74"/>
      <c r="U162" s="74"/>
      <c r="V162" s="73"/>
      <c r="W162" s="74"/>
      <c r="X162" s="74"/>
      <c r="Y162" s="74"/>
      <c r="Z162" s="72"/>
      <c r="AA162" s="72"/>
      <c r="AB162" s="72"/>
      <c r="AC162" s="72"/>
    </row>
    <row r="163" spans="1:29" s="10" customFormat="1" ht="22.5" customHeight="1">
      <c r="A163" s="15">
        <v>6</v>
      </c>
      <c r="B163" s="79" t="s">
        <v>1001</v>
      </c>
      <c r="C163" s="17">
        <v>3</v>
      </c>
      <c r="D163" s="17">
        <v>3</v>
      </c>
      <c r="E163" s="17">
        <v>3</v>
      </c>
      <c r="F163" s="17">
        <v>3</v>
      </c>
      <c r="G163" s="17">
        <v>3</v>
      </c>
      <c r="H163" s="17"/>
      <c r="I163" s="17">
        <v>4</v>
      </c>
      <c r="J163" s="168" t="s">
        <v>998</v>
      </c>
      <c r="K163" s="15">
        <v>4</v>
      </c>
      <c r="L163" s="168" t="s">
        <v>998</v>
      </c>
      <c r="M163" s="15">
        <v>4</v>
      </c>
      <c r="N163" s="168" t="s">
        <v>998</v>
      </c>
      <c r="O163" s="15">
        <v>4</v>
      </c>
      <c r="P163" s="168" t="s">
        <v>998</v>
      </c>
      <c r="Q163" s="15">
        <v>30</v>
      </c>
      <c r="R163" s="73"/>
      <c r="S163" s="74"/>
      <c r="T163" s="74"/>
      <c r="U163" s="74"/>
      <c r="V163" s="73"/>
      <c r="W163" s="74"/>
      <c r="X163" s="74"/>
      <c r="Y163" s="74"/>
      <c r="Z163" s="72"/>
      <c r="AA163" s="72"/>
      <c r="AB163" s="72"/>
      <c r="AC163" s="72"/>
    </row>
    <row r="164" spans="1:29" s="10" customFormat="1" ht="22.5" customHeight="1">
      <c r="A164" s="15">
        <v>7</v>
      </c>
      <c r="B164" s="79" t="s">
        <v>1002</v>
      </c>
      <c r="C164" s="17">
        <v>1</v>
      </c>
      <c r="D164" s="17">
        <v>1</v>
      </c>
      <c r="E164" s="17">
        <v>1</v>
      </c>
      <c r="F164" s="17">
        <v>1</v>
      </c>
      <c r="G164" s="17">
        <v>1</v>
      </c>
      <c r="H164" s="17"/>
      <c r="I164" s="17">
        <v>0</v>
      </c>
      <c r="J164" s="168"/>
      <c r="K164" s="15">
        <v>0</v>
      </c>
      <c r="L164" s="168"/>
      <c r="M164" s="15">
        <v>0</v>
      </c>
      <c r="N164" s="168"/>
      <c r="O164" s="15">
        <v>0</v>
      </c>
      <c r="P164" s="168"/>
      <c r="Q164" s="15">
        <v>30</v>
      </c>
      <c r="R164" s="73"/>
      <c r="S164" s="74"/>
      <c r="T164" s="74"/>
      <c r="U164" s="74"/>
      <c r="V164" s="73"/>
      <c r="W164" s="74"/>
      <c r="X164" s="74"/>
      <c r="Y164" s="74"/>
      <c r="Z164" s="72"/>
      <c r="AA164" s="72"/>
      <c r="AB164" s="72"/>
      <c r="AC164" s="72"/>
    </row>
    <row r="165" spans="1:29" s="10" customFormat="1" ht="22.5" customHeight="1">
      <c r="A165" s="15">
        <v>8</v>
      </c>
      <c r="B165" s="79" t="s">
        <v>1003</v>
      </c>
      <c r="C165" s="17">
        <v>5</v>
      </c>
      <c r="D165" s="17">
        <v>5</v>
      </c>
      <c r="E165" s="17">
        <v>5</v>
      </c>
      <c r="F165" s="17">
        <v>5</v>
      </c>
      <c r="G165" s="17">
        <v>5</v>
      </c>
      <c r="H165" s="17"/>
      <c r="I165" s="17">
        <v>4</v>
      </c>
      <c r="J165" s="168" t="s">
        <v>998</v>
      </c>
      <c r="K165" s="15">
        <v>4</v>
      </c>
      <c r="L165" s="168" t="s">
        <v>998</v>
      </c>
      <c r="M165" s="15">
        <v>4</v>
      </c>
      <c r="N165" s="168" t="s">
        <v>998</v>
      </c>
      <c r="O165" s="15">
        <v>4</v>
      </c>
      <c r="P165" s="168" t="s">
        <v>998</v>
      </c>
      <c r="Q165" s="15">
        <v>30</v>
      </c>
      <c r="R165" s="73"/>
      <c r="S165" s="74"/>
      <c r="T165" s="74"/>
      <c r="U165" s="74"/>
      <c r="V165" s="73"/>
      <c r="W165" s="74"/>
      <c r="X165" s="74"/>
      <c r="Y165" s="74"/>
      <c r="Z165" s="72"/>
      <c r="AA165" s="72"/>
      <c r="AB165" s="72"/>
      <c r="AC165" s="72"/>
    </row>
    <row r="166" spans="1:29" s="10" customFormat="1" ht="22.5" customHeight="1">
      <c r="A166" s="15">
        <v>9</v>
      </c>
      <c r="B166" s="79" t="s">
        <v>1004</v>
      </c>
      <c r="C166" s="17">
        <v>1</v>
      </c>
      <c r="D166" s="17">
        <v>1</v>
      </c>
      <c r="E166" s="17">
        <v>1</v>
      </c>
      <c r="F166" s="17">
        <v>1</v>
      </c>
      <c r="G166" s="17">
        <v>1</v>
      </c>
      <c r="H166" s="17"/>
      <c r="I166" s="17">
        <v>4</v>
      </c>
      <c r="J166" s="168" t="s">
        <v>998</v>
      </c>
      <c r="K166" s="15">
        <v>4</v>
      </c>
      <c r="L166" s="168" t="s">
        <v>998</v>
      </c>
      <c r="M166" s="15">
        <v>4</v>
      </c>
      <c r="N166" s="168" t="s">
        <v>998</v>
      </c>
      <c r="O166" s="15">
        <v>4</v>
      </c>
      <c r="P166" s="168" t="s">
        <v>998</v>
      </c>
      <c r="Q166" s="15">
        <v>30</v>
      </c>
      <c r="R166" s="73"/>
      <c r="S166" s="74"/>
      <c r="T166" s="74"/>
      <c r="U166" s="74"/>
      <c r="V166" s="73"/>
      <c r="W166" s="74"/>
      <c r="X166" s="74"/>
      <c r="Y166" s="74"/>
      <c r="Z166" s="72"/>
      <c r="AA166" s="72"/>
      <c r="AB166" s="72"/>
      <c r="AC166" s="72"/>
    </row>
    <row r="167" spans="1:29" s="10" customFormat="1" ht="22.5" customHeight="1">
      <c r="A167" s="15">
        <v>10</v>
      </c>
      <c r="B167" s="79" t="s">
        <v>1005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68">
        <v>0</v>
      </c>
      <c r="K167" s="15">
        <v>0</v>
      </c>
      <c r="L167" s="168">
        <v>0</v>
      </c>
      <c r="M167" s="15">
        <v>0</v>
      </c>
      <c r="N167" s="168">
        <v>0</v>
      </c>
      <c r="O167" s="15">
        <v>0</v>
      </c>
      <c r="P167" s="168">
        <v>0</v>
      </c>
      <c r="Q167" s="15">
        <v>0</v>
      </c>
      <c r="R167" s="73"/>
      <c r="S167" s="74"/>
      <c r="T167" s="74"/>
      <c r="U167" s="74"/>
      <c r="V167" s="73"/>
      <c r="W167" s="74"/>
      <c r="X167" s="74"/>
      <c r="Y167" s="74"/>
      <c r="Z167" s="72"/>
      <c r="AA167" s="72"/>
      <c r="AB167" s="72"/>
      <c r="AC167" s="72"/>
    </row>
    <row r="168" spans="1:29" s="10" customFormat="1" ht="22.5" customHeight="1">
      <c r="A168" s="15">
        <v>11</v>
      </c>
      <c r="B168" s="79" t="s">
        <v>1006</v>
      </c>
      <c r="C168" s="17">
        <v>2</v>
      </c>
      <c r="D168" s="17">
        <v>2</v>
      </c>
      <c r="E168" s="17">
        <v>2</v>
      </c>
      <c r="F168" s="17">
        <v>2</v>
      </c>
      <c r="G168" s="17">
        <v>2</v>
      </c>
      <c r="H168" s="17"/>
      <c r="I168" s="17">
        <v>4</v>
      </c>
      <c r="J168" s="168" t="s">
        <v>998</v>
      </c>
      <c r="K168" s="15">
        <v>4</v>
      </c>
      <c r="L168" s="168" t="s">
        <v>998</v>
      </c>
      <c r="M168" s="15">
        <v>5</v>
      </c>
      <c r="N168" s="168" t="s">
        <v>1007</v>
      </c>
      <c r="O168" s="15">
        <v>5</v>
      </c>
      <c r="P168" s="168" t="s">
        <v>1007</v>
      </c>
      <c r="Q168" s="15">
        <v>30</v>
      </c>
      <c r="R168" s="73"/>
      <c r="S168" s="74"/>
      <c r="T168" s="74"/>
      <c r="U168" s="74"/>
      <c r="V168" s="73"/>
      <c r="W168" s="74"/>
      <c r="X168" s="74"/>
      <c r="Y168" s="74"/>
      <c r="Z168" s="72"/>
      <c r="AA168" s="72"/>
      <c r="AB168" s="72"/>
      <c r="AC168" s="72"/>
    </row>
    <row r="169" spans="1:29" s="10" customFormat="1" ht="22.5" customHeight="1">
      <c r="A169" s="15">
        <v>12</v>
      </c>
      <c r="B169" s="79" t="s">
        <v>1008</v>
      </c>
      <c r="C169" s="17">
        <v>3</v>
      </c>
      <c r="D169" s="17">
        <v>3</v>
      </c>
      <c r="E169" s="17">
        <v>3</v>
      </c>
      <c r="F169" s="17">
        <v>3</v>
      </c>
      <c r="G169" s="17">
        <v>3</v>
      </c>
      <c r="H169" s="17"/>
      <c r="I169" s="17">
        <v>4</v>
      </c>
      <c r="J169" s="168" t="s">
        <v>998</v>
      </c>
      <c r="K169" s="15">
        <v>4</v>
      </c>
      <c r="L169" s="168" t="s">
        <v>998</v>
      </c>
      <c r="M169" s="15">
        <v>5</v>
      </c>
      <c r="N169" s="168" t="s">
        <v>1007</v>
      </c>
      <c r="O169" s="15">
        <v>5</v>
      </c>
      <c r="P169" s="168" t="s">
        <v>1007</v>
      </c>
      <c r="Q169" s="15">
        <v>30</v>
      </c>
      <c r="R169" s="73"/>
      <c r="S169" s="74"/>
      <c r="T169" s="74"/>
      <c r="U169" s="74"/>
      <c r="V169" s="73"/>
      <c r="W169" s="74"/>
      <c r="X169" s="74"/>
      <c r="Y169" s="74"/>
      <c r="Z169" s="72"/>
      <c r="AA169" s="72"/>
      <c r="AB169" s="72"/>
      <c r="AC169" s="72"/>
    </row>
    <row r="170" spans="1:29" s="10" customFormat="1" ht="22.5" customHeight="1">
      <c r="A170" s="15">
        <v>13</v>
      </c>
      <c r="B170" s="79" t="s">
        <v>1009</v>
      </c>
      <c r="C170" s="17">
        <v>4</v>
      </c>
      <c r="D170" s="17">
        <v>4</v>
      </c>
      <c r="E170" s="17">
        <v>4</v>
      </c>
      <c r="F170" s="17">
        <v>4</v>
      </c>
      <c r="G170" s="17">
        <v>4</v>
      </c>
      <c r="H170" s="17"/>
      <c r="I170" s="17">
        <v>4</v>
      </c>
      <c r="J170" s="168" t="s">
        <v>998</v>
      </c>
      <c r="K170" s="15">
        <v>4</v>
      </c>
      <c r="L170" s="168" t="s">
        <v>998</v>
      </c>
      <c r="M170" s="15">
        <v>5</v>
      </c>
      <c r="N170" s="168" t="s">
        <v>1007</v>
      </c>
      <c r="O170" s="15">
        <v>5</v>
      </c>
      <c r="P170" s="168" t="s">
        <v>1007</v>
      </c>
      <c r="Q170" s="15">
        <v>30</v>
      </c>
      <c r="R170" s="73"/>
      <c r="S170" s="74"/>
      <c r="T170" s="74"/>
      <c r="U170" s="74"/>
      <c r="V170" s="73"/>
      <c r="W170" s="74"/>
      <c r="X170" s="74"/>
      <c r="Y170" s="74"/>
      <c r="Z170" s="72"/>
      <c r="AA170" s="72"/>
      <c r="AB170" s="72"/>
      <c r="AC170" s="72"/>
    </row>
    <row r="171" spans="1:29" s="10" customFormat="1" ht="22.5" customHeight="1">
      <c r="A171" s="15">
        <v>14</v>
      </c>
      <c r="B171" s="79" t="s">
        <v>1010</v>
      </c>
      <c r="C171" s="17">
        <v>3</v>
      </c>
      <c r="D171" s="17">
        <v>3</v>
      </c>
      <c r="E171" s="17">
        <v>3</v>
      </c>
      <c r="F171" s="17">
        <v>3</v>
      </c>
      <c r="G171" s="17">
        <v>3</v>
      </c>
      <c r="H171" s="17"/>
      <c r="I171" s="17">
        <v>24</v>
      </c>
      <c r="J171" s="168"/>
      <c r="K171" s="15">
        <v>24</v>
      </c>
      <c r="L171" s="168"/>
      <c r="M171" s="15">
        <v>24</v>
      </c>
      <c r="N171" s="168"/>
      <c r="O171" s="15">
        <v>24</v>
      </c>
      <c r="P171" s="168"/>
      <c r="Q171" s="15">
        <v>30</v>
      </c>
      <c r="R171" s="73"/>
      <c r="S171" s="74"/>
      <c r="T171" s="74"/>
      <c r="U171" s="74"/>
      <c r="V171" s="73"/>
      <c r="W171" s="74"/>
      <c r="X171" s="74"/>
      <c r="Y171" s="74"/>
      <c r="Z171" s="72"/>
      <c r="AA171" s="72"/>
      <c r="AB171" s="72"/>
      <c r="AC171" s="72"/>
    </row>
    <row r="172" spans="1:29" s="10" customFormat="1" ht="22.5" customHeight="1">
      <c r="A172" s="15">
        <v>15</v>
      </c>
      <c r="B172" s="79" t="s">
        <v>1011</v>
      </c>
      <c r="C172" s="17">
        <v>1</v>
      </c>
      <c r="D172" s="17">
        <v>1</v>
      </c>
      <c r="E172" s="17">
        <v>1</v>
      </c>
      <c r="F172" s="17">
        <v>1</v>
      </c>
      <c r="G172" s="17">
        <v>1</v>
      </c>
      <c r="H172" s="17"/>
      <c r="I172" s="17">
        <v>12</v>
      </c>
      <c r="J172" s="168" t="s">
        <v>1012</v>
      </c>
      <c r="K172" s="15">
        <v>12</v>
      </c>
      <c r="L172" s="168" t="s">
        <v>1012</v>
      </c>
      <c r="M172" s="15">
        <v>12</v>
      </c>
      <c r="N172" s="168" t="s">
        <v>1012</v>
      </c>
      <c r="O172" s="15">
        <v>12</v>
      </c>
      <c r="P172" s="168" t="s">
        <v>1012</v>
      </c>
      <c r="Q172" s="15">
        <v>30</v>
      </c>
      <c r="R172" s="73"/>
      <c r="S172" s="74"/>
      <c r="T172" s="74"/>
      <c r="U172" s="74"/>
      <c r="V172" s="73"/>
      <c r="W172" s="74"/>
      <c r="X172" s="74"/>
      <c r="Y172" s="74"/>
      <c r="Z172" s="72"/>
      <c r="AA172" s="72"/>
      <c r="AB172" s="72"/>
      <c r="AC172" s="72"/>
    </row>
    <row r="173" spans="1:29" s="10" customFormat="1" ht="22.5" customHeight="1">
      <c r="A173" s="15">
        <v>16</v>
      </c>
      <c r="B173" s="79" t="s">
        <v>1013</v>
      </c>
      <c r="C173" s="17">
        <v>1</v>
      </c>
      <c r="D173" s="17">
        <v>1</v>
      </c>
      <c r="E173" s="17">
        <v>1</v>
      </c>
      <c r="F173" s="17">
        <v>1</v>
      </c>
      <c r="G173" s="17">
        <v>1</v>
      </c>
      <c r="H173" s="17"/>
      <c r="I173" s="17">
        <v>12</v>
      </c>
      <c r="J173" s="168" t="s">
        <v>1012</v>
      </c>
      <c r="K173" s="15">
        <v>12</v>
      </c>
      <c r="L173" s="168" t="s">
        <v>1012</v>
      </c>
      <c r="M173" s="15">
        <v>12</v>
      </c>
      <c r="N173" s="168" t="s">
        <v>1012</v>
      </c>
      <c r="O173" s="15">
        <v>12</v>
      </c>
      <c r="P173" s="168" t="s">
        <v>1012</v>
      </c>
      <c r="Q173" s="15">
        <v>30</v>
      </c>
      <c r="R173" s="73"/>
      <c r="S173" s="74"/>
      <c r="T173" s="74"/>
      <c r="U173" s="74"/>
      <c r="V173" s="73"/>
      <c r="W173" s="74"/>
      <c r="X173" s="74"/>
      <c r="Y173" s="74"/>
      <c r="Z173" s="72"/>
      <c r="AA173" s="72"/>
      <c r="AB173" s="72"/>
      <c r="AC173" s="72"/>
    </row>
    <row r="174" spans="1:29" s="10" customFormat="1" ht="22.5" customHeight="1">
      <c r="A174" s="15">
        <v>17</v>
      </c>
      <c r="B174" s="79" t="s">
        <v>1014</v>
      </c>
      <c r="C174" s="17">
        <v>1</v>
      </c>
      <c r="D174" s="17">
        <v>1</v>
      </c>
      <c r="E174" s="17">
        <v>1</v>
      </c>
      <c r="F174" s="17">
        <v>1</v>
      </c>
      <c r="G174" s="17">
        <v>1</v>
      </c>
      <c r="H174" s="17"/>
      <c r="I174" s="17">
        <v>12</v>
      </c>
      <c r="J174" s="168" t="s">
        <v>1012</v>
      </c>
      <c r="K174" s="15">
        <v>12</v>
      </c>
      <c r="L174" s="168" t="s">
        <v>1012</v>
      </c>
      <c r="M174" s="15">
        <v>12</v>
      </c>
      <c r="N174" s="168" t="s">
        <v>1012</v>
      </c>
      <c r="O174" s="15">
        <v>12</v>
      </c>
      <c r="P174" s="168" t="s">
        <v>1012</v>
      </c>
      <c r="Q174" s="15">
        <v>30</v>
      </c>
      <c r="R174" s="73"/>
      <c r="S174" s="74"/>
      <c r="T174" s="74"/>
      <c r="U174" s="74"/>
      <c r="V174" s="73"/>
      <c r="W174" s="74"/>
      <c r="X174" s="74"/>
      <c r="Y174" s="74"/>
      <c r="Z174" s="72"/>
      <c r="AA174" s="72"/>
      <c r="AB174" s="72"/>
      <c r="AC174" s="72"/>
    </row>
    <row r="175" spans="1:29" s="10" customFormat="1" ht="22.5" customHeight="1">
      <c r="A175" s="15">
        <v>18</v>
      </c>
      <c r="B175" s="79" t="s">
        <v>1015</v>
      </c>
      <c r="C175" s="17">
        <v>1</v>
      </c>
      <c r="D175" s="17">
        <v>1</v>
      </c>
      <c r="E175" s="17">
        <v>1</v>
      </c>
      <c r="F175" s="17">
        <v>1</v>
      </c>
      <c r="G175" s="17">
        <v>1</v>
      </c>
      <c r="H175" s="17"/>
      <c r="I175" s="17">
        <v>12</v>
      </c>
      <c r="J175" s="168" t="s">
        <v>1012</v>
      </c>
      <c r="K175" s="15">
        <v>12</v>
      </c>
      <c r="L175" s="168" t="s">
        <v>1012</v>
      </c>
      <c r="M175" s="15">
        <v>12</v>
      </c>
      <c r="N175" s="168" t="s">
        <v>1012</v>
      </c>
      <c r="O175" s="15">
        <v>12</v>
      </c>
      <c r="P175" s="168" t="s">
        <v>1012</v>
      </c>
      <c r="Q175" s="15">
        <v>30</v>
      </c>
      <c r="R175" s="73"/>
      <c r="S175" s="74"/>
      <c r="T175" s="74"/>
      <c r="U175" s="74"/>
      <c r="V175" s="73"/>
      <c r="W175" s="74"/>
      <c r="X175" s="74"/>
      <c r="Y175" s="74"/>
      <c r="Z175" s="72"/>
      <c r="AA175" s="72"/>
      <c r="AB175" s="72"/>
      <c r="AC175" s="72"/>
    </row>
    <row r="176" spans="1:29" s="10" customFormat="1" ht="22.5" customHeight="1">
      <c r="A176" s="15">
        <v>19</v>
      </c>
      <c r="B176" s="79" t="s">
        <v>1016</v>
      </c>
      <c r="C176" s="17">
        <v>1</v>
      </c>
      <c r="D176" s="17">
        <v>1</v>
      </c>
      <c r="E176" s="17">
        <v>1</v>
      </c>
      <c r="F176" s="17">
        <v>1</v>
      </c>
      <c r="G176" s="17">
        <v>1</v>
      </c>
      <c r="H176" s="17"/>
      <c r="I176" s="17">
        <v>4</v>
      </c>
      <c r="J176" s="168" t="s">
        <v>998</v>
      </c>
      <c r="K176" s="15">
        <v>4</v>
      </c>
      <c r="L176" s="168" t="s">
        <v>998</v>
      </c>
      <c r="M176" s="15">
        <v>4</v>
      </c>
      <c r="N176" s="168" t="s">
        <v>998</v>
      </c>
      <c r="O176" s="15">
        <v>4</v>
      </c>
      <c r="P176" s="168" t="s">
        <v>998</v>
      </c>
      <c r="Q176" s="15">
        <v>30</v>
      </c>
      <c r="R176" s="73"/>
      <c r="S176" s="74"/>
      <c r="T176" s="74"/>
      <c r="U176" s="74"/>
      <c r="V176" s="73"/>
      <c r="W176" s="74"/>
      <c r="X176" s="74"/>
      <c r="Y176" s="74"/>
      <c r="Z176" s="72"/>
      <c r="AA176" s="72"/>
      <c r="AB176" s="72"/>
      <c r="AC176" s="72"/>
    </row>
    <row r="177" spans="1:29" s="10" customFormat="1" ht="22.5" customHeight="1">
      <c r="A177" s="15">
        <v>20</v>
      </c>
      <c r="B177" s="79" t="s">
        <v>1017</v>
      </c>
      <c r="C177" s="17">
        <v>16</v>
      </c>
      <c r="D177" s="17">
        <v>16</v>
      </c>
      <c r="E177" s="17">
        <v>16</v>
      </c>
      <c r="F177" s="17">
        <v>16</v>
      </c>
      <c r="G177" s="17">
        <v>16</v>
      </c>
      <c r="H177" s="17"/>
      <c r="I177" s="17">
        <v>4</v>
      </c>
      <c r="J177" s="168" t="s">
        <v>998</v>
      </c>
      <c r="K177" s="15">
        <v>4</v>
      </c>
      <c r="L177" s="168" t="s">
        <v>998</v>
      </c>
      <c r="M177" s="15">
        <v>4</v>
      </c>
      <c r="N177" s="168" t="s">
        <v>998</v>
      </c>
      <c r="O177" s="15">
        <v>4</v>
      </c>
      <c r="P177" s="168" t="s">
        <v>998</v>
      </c>
      <c r="Q177" s="15">
        <v>30</v>
      </c>
      <c r="R177" s="73"/>
      <c r="S177" s="74"/>
      <c r="T177" s="74"/>
      <c r="U177" s="74"/>
      <c r="V177" s="73"/>
      <c r="W177" s="74"/>
      <c r="X177" s="74"/>
      <c r="Y177" s="74"/>
      <c r="Z177" s="72"/>
      <c r="AA177" s="72"/>
      <c r="AB177" s="72"/>
      <c r="AC177" s="72"/>
    </row>
    <row r="178" spans="1:29" s="10" customFormat="1" ht="22.5" customHeight="1">
      <c r="A178" s="15">
        <v>21</v>
      </c>
      <c r="B178" s="79" t="s">
        <v>1018</v>
      </c>
      <c r="C178" s="17">
        <v>1</v>
      </c>
      <c r="D178" s="17">
        <v>1</v>
      </c>
      <c r="E178" s="17">
        <v>1</v>
      </c>
      <c r="F178" s="17">
        <v>1</v>
      </c>
      <c r="G178" s="17">
        <v>1</v>
      </c>
      <c r="H178" s="17"/>
      <c r="I178" s="17">
        <v>4</v>
      </c>
      <c r="J178" s="168" t="s">
        <v>998</v>
      </c>
      <c r="K178" s="15">
        <v>4</v>
      </c>
      <c r="L178" s="168" t="s">
        <v>998</v>
      </c>
      <c r="M178" s="15">
        <v>4</v>
      </c>
      <c r="N178" s="168" t="s">
        <v>998</v>
      </c>
      <c r="O178" s="15">
        <v>4</v>
      </c>
      <c r="P178" s="168" t="s">
        <v>998</v>
      </c>
      <c r="Q178" s="15">
        <v>30</v>
      </c>
      <c r="R178" s="73"/>
      <c r="S178" s="74"/>
      <c r="T178" s="74"/>
      <c r="U178" s="74"/>
      <c r="V178" s="73"/>
      <c r="W178" s="74"/>
      <c r="X178" s="74"/>
      <c r="Y178" s="74"/>
      <c r="Z178" s="72"/>
      <c r="AA178" s="72"/>
      <c r="AB178" s="72"/>
      <c r="AC178" s="72"/>
    </row>
    <row r="179" spans="1:29" s="10" customFormat="1" ht="22.5" customHeight="1">
      <c r="A179" s="15">
        <v>22</v>
      </c>
      <c r="B179" s="79" t="s">
        <v>1019</v>
      </c>
      <c r="C179" s="17">
        <v>4</v>
      </c>
      <c r="D179" s="17">
        <v>4</v>
      </c>
      <c r="E179" s="17">
        <v>4</v>
      </c>
      <c r="F179" s="17">
        <v>4</v>
      </c>
      <c r="G179" s="17">
        <v>4</v>
      </c>
      <c r="H179" s="17"/>
      <c r="I179" s="17">
        <v>4</v>
      </c>
      <c r="J179" s="168" t="s">
        <v>998</v>
      </c>
      <c r="K179" s="15">
        <v>4</v>
      </c>
      <c r="L179" s="168" t="s">
        <v>998</v>
      </c>
      <c r="M179" s="15">
        <v>4</v>
      </c>
      <c r="N179" s="168" t="s">
        <v>998</v>
      </c>
      <c r="O179" s="15">
        <v>4</v>
      </c>
      <c r="P179" s="168" t="s">
        <v>998</v>
      </c>
      <c r="Q179" s="15">
        <v>30</v>
      </c>
      <c r="R179" s="73"/>
      <c r="S179" s="74"/>
      <c r="T179" s="74"/>
      <c r="U179" s="74"/>
      <c r="V179" s="73"/>
      <c r="W179" s="74"/>
      <c r="X179" s="74"/>
      <c r="Y179" s="74"/>
      <c r="Z179" s="72"/>
      <c r="AA179" s="72"/>
      <c r="AB179" s="72"/>
      <c r="AC179" s="72"/>
    </row>
    <row r="180" spans="1:29" s="10" customFormat="1" ht="22.5" customHeight="1">
      <c r="A180" s="15">
        <v>23</v>
      </c>
      <c r="B180" s="79" t="s">
        <v>1020</v>
      </c>
      <c r="C180" s="17">
        <v>1</v>
      </c>
      <c r="D180" s="17">
        <v>1</v>
      </c>
      <c r="E180" s="17">
        <v>1</v>
      </c>
      <c r="F180" s="17">
        <v>1</v>
      </c>
      <c r="G180" s="17">
        <v>1</v>
      </c>
      <c r="H180" s="17"/>
      <c r="I180" s="17">
        <v>4</v>
      </c>
      <c r="J180" s="168" t="s">
        <v>998</v>
      </c>
      <c r="K180" s="15">
        <v>4</v>
      </c>
      <c r="L180" s="168" t="s">
        <v>998</v>
      </c>
      <c r="M180" s="15">
        <v>4</v>
      </c>
      <c r="N180" s="168" t="s">
        <v>998</v>
      </c>
      <c r="O180" s="15">
        <v>4</v>
      </c>
      <c r="P180" s="168" t="s">
        <v>998</v>
      </c>
      <c r="Q180" s="15">
        <v>30</v>
      </c>
      <c r="R180" s="73"/>
      <c r="S180" s="74"/>
      <c r="T180" s="74"/>
      <c r="U180" s="74"/>
      <c r="V180" s="73"/>
      <c r="W180" s="74"/>
      <c r="X180" s="74"/>
      <c r="Y180" s="74"/>
      <c r="Z180" s="72"/>
      <c r="AA180" s="72"/>
      <c r="AB180" s="72"/>
      <c r="AC180" s="72"/>
    </row>
    <row r="181" spans="1:29" s="10" customFormat="1" ht="22.5" customHeight="1">
      <c r="A181" s="15">
        <v>24</v>
      </c>
      <c r="B181" s="79" t="s">
        <v>1021</v>
      </c>
      <c r="C181" s="17">
        <v>30</v>
      </c>
      <c r="D181" s="17">
        <v>30</v>
      </c>
      <c r="E181" s="17">
        <v>30</v>
      </c>
      <c r="F181" s="17">
        <v>30</v>
      </c>
      <c r="G181" s="17">
        <v>30</v>
      </c>
      <c r="H181" s="17"/>
      <c r="I181" s="17">
        <v>4</v>
      </c>
      <c r="J181" s="168" t="s">
        <v>998</v>
      </c>
      <c r="K181" s="15">
        <v>4</v>
      </c>
      <c r="L181" s="168" t="s">
        <v>998</v>
      </c>
      <c r="M181" s="15">
        <v>4</v>
      </c>
      <c r="N181" s="168" t="s">
        <v>998</v>
      </c>
      <c r="O181" s="15">
        <v>4</v>
      </c>
      <c r="P181" s="168" t="s">
        <v>998</v>
      </c>
      <c r="Q181" s="15">
        <v>30</v>
      </c>
      <c r="R181" s="73"/>
      <c r="S181" s="74"/>
      <c r="T181" s="74"/>
      <c r="U181" s="74"/>
      <c r="V181" s="73"/>
      <c r="W181" s="74"/>
      <c r="X181" s="74"/>
      <c r="Y181" s="74"/>
      <c r="Z181" s="72"/>
      <c r="AA181" s="72"/>
      <c r="AB181" s="72"/>
      <c r="AC181" s="72"/>
    </row>
    <row r="182" spans="1:29" s="10" customFormat="1" ht="22.5" customHeight="1">
      <c r="A182" s="15">
        <v>25</v>
      </c>
      <c r="B182" s="79" t="s">
        <v>1022</v>
      </c>
      <c r="C182" s="17">
        <v>40</v>
      </c>
      <c r="D182" s="17">
        <v>40</v>
      </c>
      <c r="E182" s="17">
        <v>40</v>
      </c>
      <c r="F182" s="17">
        <v>40</v>
      </c>
      <c r="G182" s="17">
        <v>40</v>
      </c>
      <c r="H182" s="17"/>
      <c r="I182" s="17">
        <v>8</v>
      </c>
      <c r="J182" s="168" t="s">
        <v>1023</v>
      </c>
      <c r="K182" s="15">
        <v>8</v>
      </c>
      <c r="L182" s="168" t="s">
        <v>1023</v>
      </c>
      <c r="M182" s="15">
        <v>8</v>
      </c>
      <c r="N182" s="168" t="s">
        <v>1023</v>
      </c>
      <c r="O182" s="15">
        <v>8</v>
      </c>
      <c r="P182" s="168" t="s">
        <v>1023</v>
      </c>
      <c r="Q182" s="15">
        <v>30</v>
      </c>
      <c r="R182" s="73"/>
      <c r="S182" s="74"/>
      <c r="T182" s="74"/>
      <c r="U182" s="74"/>
      <c r="V182" s="73"/>
      <c r="W182" s="74"/>
      <c r="X182" s="74"/>
      <c r="Y182" s="74"/>
      <c r="Z182" s="72"/>
      <c r="AA182" s="72"/>
      <c r="AB182" s="72"/>
      <c r="AC182" s="72"/>
    </row>
    <row r="183" spans="1:29" s="10" customFormat="1" ht="22.5" customHeight="1">
      <c r="A183" s="15">
        <v>26</v>
      </c>
      <c r="B183" s="79" t="s">
        <v>1024</v>
      </c>
      <c r="C183" s="17">
        <v>2</v>
      </c>
      <c r="D183" s="17">
        <v>2</v>
      </c>
      <c r="E183" s="17">
        <v>2</v>
      </c>
      <c r="F183" s="17">
        <v>2</v>
      </c>
      <c r="G183" s="17">
        <v>2</v>
      </c>
      <c r="H183" s="17"/>
      <c r="I183" s="17">
        <v>4</v>
      </c>
      <c r="J183" s="168" t="s">
        <v>998</v>
      </c>
      <c r="K183" s="15">
        <v>4</v>
      </c>
      <c r="L183" s="168" t="s">
        <v>998</v>
      </c>
      <c r="M183" s="15">
        <v>4</v>
      </c>
      <c r="N183" s="168" t="s">
        <v>998</v>
      </c>
      <c r="O183" s="15">
        <v>4</v>
      </c>
      <c r="P183" s="168" t="s">
        <v>998</v>
      </c>
      <c r="Q183" s="15">
        <v>30</v>
      </c>
      <c r="R183" s="73"/>
      <c r="S183" s="74"/>
      <c r="T183" s="74"/>
      <c r="U183" s="74"/>
      <c r="V183" s="73"/>
      <c r="W183" s="74"/>
      <c r="X183" s="74"/>
      <c r="Y183" s="74"/>
      <c r="Z183" s="72"/>
      <c r="AA183" s="72"/>
      <c r="AB183" s="72"/>
      <c r="AC183" s="72"/>
    </row>
    <row r="184" spans="1:29" s="173" customFormat="1" ht="31.5" customHeight="1">
      <c r="A184" s="50" t="s">
        <v>1025</v>
      </c>
      <c r="B184" s="32" t="s">
        <v>1026</v>
      </c>
      <c r="C184" s="50"/>
      <c r="D184" s="50"/>
      <c r="E184" s="50"/>
      <c r="F184" s="50"/>
      <c r="G184" s="50"/>
      <c r="H184" s="50"/>
      <c r="I184" s="50"/>
      <c r="J184" s="25"/>
      <c r="K184" s="50"/>
      <c r="L184" s="25"/>
      <c r="M184" s="50"/>
      <c r="N184" s="25"/>
      <c r="O184" s="50"/>
      <c r="P184" s="25"/>
      <c r="Q184" s="50"/>
      <c r="R184" s="170"/>
      <c r="S184" s="171"/>
      <c r="T184" s="171"/>
      <c r="U184" s="171"/>
      <c r="V184" s="170"/>
      <c r="W184" s="171"/>
      <c r="X184" s="171"/>
      <c r="Y184" s="171"/>
      <c r="Z184" s="172"/>
      <c r="AA184" s="172"/>
      <c r="AB184" s="172"/>
      <c r="AC184" s="172"/>
    </row>
    <row r="185" spans="1:29" s="10" customFormat="1" ht="22.5" customHeight="1">
      <c r="A185" s="15">
        <v>1</v>
      </c>
      <c r="B185" s="79" t="s">
        <v>182</v>
      </c>
      <c r="C185" s="17">
        <v>170</v>
      </c>
      <c r="D185" s="17">
        <v>170</v>
      </c>
      <c r="E185" s="17">
        <v>170</v>
      </c>
      <c r="F185" s="17">
        <v>170</v>
      </c>
      <c r="G185" s="17">
        <v>3.5999999999999997E-2</v>
      </c>
      <c r="H185" s="17">
        <v>3.5999999999999997E-2</v>
      </c>
      <c r="I185" s="17">
        <v>8</v>
      </c>
      <c r="J185" s="168" t="s">
        <v>1027</v>
      </c>
      <c r="K185" s="15">
        <v>8</v>
      </c>
      <c r="L185" s="168" t="s">
        <v>1027</v>
      </c>
      <c r="M185" s="15">
        <v>8</v>
      </c>
      <c r="N185" s="168" t="s">
        <v>1027</v>
      </c>
      <c r="O185" s="15">
        <v>8</v>
      </c>
      <c r="P185" s="168" t="s">
        <v>1027</v>
      </c>
      <c r="Q185" s="15">
        <v>30</v>
      </c>
      <c r="R185" s="73"/>
      <c r="S185" s="74"/>
      <c r="T185" s="74"/>
      <c r="U185" s="74"/>
      <c r="V185" s="73"/>
      <c r="W185" s="74"/>
      <c r="X185" s="74"/>
      <c r="Y185" s="74"/>
      <c r="Z185" s="72"/>
      <c r="AA185" s="72"/>
      <c r="AB185" s="72"/>
      <c r="AC185" s="72"/>
    </row>
    <row r="186" spans="1:29" s="10" customFormat="1" ht="22.5" customHeight="1">
      <c r="A186" s="15">
        <v>2</v>
      </c>
      <c r="B186" s="79" t="s">
        <v>1028</v>
      </c>
      <c r="C186" s="17">
        <v>1</v>
      </c>
      <c r="D186" s="17">
        <v>1</v>
      </c>
      <c r="E186" s="17">
        <v>1</v>
      </c>
      <c r="F186" s="17">
        <v>1</v>
      </c>
      <c r="G186" s="17">
        <v>5.2220000000000004</v>
      </c>
      <c r="H186" s="17">
        <v>5.2220000000000004</v>
      </c>
      <c r="I186" s="17">
        <v>12</v>
      </c>
      <c r="J186" s="168"/>
      <c r="K186" s="15">
        <v>24</v>
      </c>
      <c r="L186" s="168"/>
      <c r="M186" s="15">
        <v>24</v>
      </c>
      <c r="N186" s="168"/>
      <c r="O186" s="15">
        <v>24</v>
      </c>
      <c r="P186" s="168"/>
      <c r="Q186" s="15">
        <v>30</v>
      </c>
      <c r="R186" s="73"/>
      <c r="S186" s="74"/>
      <c r="T186" s="74"/>
      <c r="U186" s="74"/>
      <c r="V186" s="73"/>
      <c r="W186" s="74"/>
      <c r="X186" s="74"/>
      <c r="Y186" s="74"/>
      <c r="Z186" s="72"/>
      <c r="AA186" s="72"/>
      <c r="AB186" s="72"/>
      <c r="AC186" s="72"/>
    </row>
    <row r="187" spans="1:29" s="10" customFormat="1" ht="22.5" customHeight="1">
      <c r="A187" s="15">
        <v>3</v>
      </c>
      <c r="B187" s="79" t="s">
        <v>348</v>
      </c>
      <c r="C187" s="17">
        <v>1</v>
      </c>
      <c r="D187" s="17">
        <v>1</v>
      </c>
      <c r="E187" s="17">
        <v>1</v>
      </c>
      <c r="F187" s="17">
        <v>1</v>
      </c>
      <c r="G187" s="17">
        <v>2.5</v>
      </c>
      <c r="H187" s="17">
        <v>2.5</v>
      </c>
      <c r="I187" s="17">
        <v>12</v>
      </c>
      <c r="J187" s="168"/>
      <c r="K187" s="15">
        <v>24</v>
      </c>
      <c r="L187" s="168"/>
      <c r="M187" s="15">
        <v>24</v>
      </c>
      <c r="N187" s="168"/>
      <c r="O187" s="15">
        <v>24</v>
      </c>
      <c r="P187" s="168"/>
      <c r="Q187" s="15">
        <v>30</v>
      </c>
      <c r="R187" s="73"/>
      <c r="S187" s="74"/>
      <c r="T187" s="74"/>
      <c r="U187" s="74"/>
      <c r="V187" s="73"/>
      <c r="W187" s="74"/>
      <c r="X187" s="74"/>
      <c r="Y187" s="74"/>
      <c r="Z187" s="72"/>
      <c r="AA187" s="72"/>
      <c r="AB187" s="72"/>
      <c r="AC187" s="72"/>
    </row>
    <row r="188" spans="1:29" s="10" customFormat="1" ht="22.5" customHeight="1">
      <c r="A188" s="15">
        <v>4</v>
      </c>
      <c r="B188" s="79" t="s">
        <v>1029</v>
      </c>
      <c r="C188" s="17">
        <v>1</v>
      </c>
      <c r="D188" s="17">
        <v>1</v>
      </c>
      <c r="E188" s="17">
        <v>1</v>
      </c>
      <c r="F188" s="17">
        <v>1</v>
      </c>
      <c r="G188" s="17">
        <v>1.24</v>
      </c>
      <c r="H188" s="17">
        <v>1.24</v>
      </c>
      <c r="I188" s="17">
        <v>0</v>
      </c>
      <c r="J188" s="168" t="s">
        <v>1027</v>
      </c>
      <c r="K188" s="15">
        <v>24</v>
      </c>
      <c r="L188" s="168" t="s">
        <v>1027</v>
      </c>
      <c r="M188" s="15">
        <v>24</v>
      </c>
      <c r="N188" s="168" t="s">
        <v>1027</v>
      </c>
      <c r="O188" s="15">
        <v>24</v>
      </c>
      <c r="P188" s="168" t="s">
        <v>1027</v>
      </c>
      <c r="Q188" s="15">
        <v>30</v>
      </c>
      <c r="R188" s="73"/>
      <c r="S188" s="74"/>
      <c r="T188" s="74"/>
      <c r="U188" s="74"/>
      <c r="V188" s="73"/>
      <c r="W188" s="74"/>
      <c r="X188" s="74"/>
      <c r="Y188" s="74"/>
      <c r="Z188" s="72"/>
      <c r="AA188" s="72"/>
      <c r="AB188" s="72"/>
      <c r="AC188" s="72"/>
    </row>
    <row r="189" spans="1:29" s="10" customFormat="1" ht="22.5" customHeight="1">
      <c r="A189" s="15">
        <v>5</v>
      </c>
      <c r="B189" s="79" t="s">
        <v>966</v>
      </c>
      <c r="C189" s="17">
        <v>2</v>
      </c>
      <c r="D189" s="17">
        <v>2</v>
      </c>
      <c r="E189" s="17">
        <v>2</v>
      </c>
      <c r="F189" s="17">
        <v>2</v>
      </c>
      <c r="G189" s="17">
        <v>0.55000000000000004</v>
      </c>
      <c r="H189" s="17">
        <v>0.55000000000000004</v>
      </c>
      <c r="I189" s="17">
        <v>0</v>
      </c>
      <c r="J189" s="168" t="s">
        <v>1027</v>
      </c>
      <c r="K189" s="15">
        <v>5</v>
      </c>
      <c r="L189" s="168" t="s">
        <v>1027</v>
      </c>
      <c r="M189" s="15">
        <v>5</v>
      </c>
      <c r="N189" s="168" t="s">
        <v>1027</v>
      </c>
      <c r="O189" s="15">
        <v>5</v>
      </c>
      <c r="P189" s="168" t="s">
        <v>1027</v>
      </c>
      <c r="Q189" s="15">
        <v>30</v>
      </c>
      <c r="R189" s="73"/>
      <c r="S189" s="74"/>
      <c r="T189" s="74"/>
      <c r="U189" s="74"/>
      <c r="V189" s="73"/>
      <c r="W189" s="74"/>
      <c r="X189" s="74"/>
      <c r="Y189" s="74"/>
      <c r="Z189" s="72"/>
      <c r="AA189" s="72"/>
      <c r="AB189" s="72"/>
      <c r="AC189" s="72"/>
    </row>
    <row r="190" spans="1:29" s="10" customFormat="1" ht="22.5" customHeight="1">
      <c r="A190" s="15">
        <v>6</v>
      </c>
      <c r="B190" s="79" t="s">
        <v>819</v>
      </c>
      <c r="C190" s="17">
        <v>1</v>
      </c>
      <c r="D190" s="17">
        <v>1</v>
      </c>
      <c r="E190" s="17">
        <v>1</v>
      </c>
      <c r="F190" s="17">
        <v>1</v>
      </c>
      <c r="G190" s="17">
        <v>2.4</v>
      </c>
      <c r="H190" s="17">
        <v>2.4</v>
      </c>
      <c r="I190" s="17">
        <v>6</v>
      </c>
      <c r="J190" s="168" t="s">
        <v>1027</v>
      </c>
      <c r="K190" s="15">
        <v>6</v>
      </c>
      <c r="L190" s="168" t="s">
        <v>1027</v>
      </c>
      <c r="M190" s="15">
        <v>6</v>
      </c>
      <c r="N190" s="168" t="s">
        <v>1027</v>
      </c>
      <c r="O190" s="15">
        <v>6</v>
      </c>
      <c r="P190" s="168" t="s">
        <v>1027</v>
      </c>
      <c r="Q190" s="15">
        <v>30</v>
      </c>
      <c r="R190" s="73"/>
      <c r="S190" s="74"/>
      <c r="T190" s="74"/>
      <c r="U190" s="74"/>
      <c r="V190" s="73"/>
      <c r="W190" s="74"/>
      <c r="X190" s="74"/>
      <c r="Y190" s="74"/>
      <c r="Z190" s="72"/>
      <c r="AA190" s="72"/>
      <c r="AB190" s="72"/>
      <c r="AC190" s="72"/>
    </row>
    <row r="191" spans="1:29" s="10" customFormat="1" ht="22.5" customHeight="1">
      <c r="A191" s="15">
        <v>7</v>
      </c>
      <c r="B191" s="79" t="s">
        <v>1030</v>
      </c>
      <c r="C191" s="17">
        <v>2</v>
      </c>
      <c r="D191" s="17">
        <v>2</v>
      </c>
      <c r="E191" s="17">
        <v>2</v>
      </c>
      <c r="F191" s="17">
        <v>2</v>
      </c>
      <c r="G191" s="17">
        <v>5.4</v>
      </c>
      <c r="H191" s="17">
        <v>12</v>
      </c>
      <c r="I191" s="17">
        <v>4</v>
      </c>
      <c r="J191" s="168" t="s">
        <v>1027</v>
      </c>
      <c r="K191" s="15">
        <v>5</v>
      </c>
      <c r="L191" s="168" t="s">
        <v>1027</v>
      </c>
      <c r="M191" s="15">
        <v>5</v>
      </c>
      <c r="N191" s="168" t="s">
        <v>1027</v>
      </c>
      <c r="O191" s="15">
        <v>5</v>
      </c>
      <c r="P191" s="168" t="s">
        <v>1027</v>
      </c>
      <c r="Q191" s="15">
        <v>30</v>
      </c>
      <c r="R191" s="73"/>
      <c r="S191" s="74"/>
      <c r="T191" s="74"/>
      <c r="U191" s="74"/>
      <c r="V191" s="73"/>
      <c r="W191" s="74"/>
      <c r="X191" s="74"/>
      <c r="Y191" s="74"/>
      <c r="Z191" s="72"/>
      <c r="AA191" s="72"/>
      <c r="AB191" s="72"/>
      <c r="AC191" s="72"/>
    </row>
    <row r="192" spans="1:29" s="10" customFormat="1" ht="22.5" customHeight="1">
      <c r="A192" s="15">
        <v>8</v>
      </c>
      <c r="B192" s="79" t="s">
        <v>945</v>
      </c>
      <c r="C192" s="17">
        <v>2</v>
      </c>
      <c r="D192" s="17">
        <v>2</v>
      </c>
      <c r="E192" s="17">
        <v>2</v>
      </c>
      <c r="F192" s="17">
        <v>2</v>
      </c>
      <c r="G192" s="17">
        <v>0.25</v>
      </c>
      <c r="H192" s="17">
        <v>0.25</v>
      </c>
      <c r="I192" s="17">
        <v>4</v>
      </c>
      <c r="J192" s="168" t="s">
        <v>1027</v>
      </c>
      <c r="K192" s="15">
        <v>5</v>
      </c>
      <c r="L192" s="168" t="s">
        <v>1027</v>
      </c>
      <c r="M192" s="15">
        <v>5</v>
      </c>
      <c r="N192" s="168" t="s">
        <v>1027</v>
      </c>
      <c r="O192" s="15">
        <v>5</v>
      </c>
      <c r="P192" s="168" t="s">
        <v>1027</v>
      </c>
      <c r="Q192" s="15">
        <v>30</v>
      </c>
      <c r="R192" s="73"/>
      <c r="S192" s="74"/>
      <c r="T192" s="74"/>
      <c r="U192" s="74"/>
      <c r="V192" s="73"/>
      <c r="W192" s="74"/>
      <c r="X192" s="74"/>
      <c r="Y192" s="74"/>
      <c r="Z192" s="72"/>
      <c r="AA192" s="72"/>
      <c r="AB192" s="72"/>
      <c r="AC192" s="72"/>
    </row>
    <row r="193" spans="1:29" s="10" customFormat="1" ht="22.5" customHeight="1">
      <c r="A193" s="15">
        <v>9</v>
      </c>
      <c r="B193" s="79" t="s">
        <v>1031</v>
      </c>
      <c r="C193" s="17">
        <v>1</v>
      </c>
      <c r="D193" s="17">
        <v>1</v>
      </c>
      <c r="E193" s="17">
        <v>1</v>
      </c>
      <c r="F193" s="17">
        <v>1</v>
      </c>
      <c r="G193" s="17">
        <v>0.2</v>
      </c>
      <c r="H193" s="17">
        <v>0.2</v>
      </c>
      <c r="I193" s="17">
        <v>2</v>
      </c>
      <c r="J193" s="168"/>
      <c r="K193" s="15">
        <v>2</v>
      </c>
      <c r="L193" s="168"/>
      <c r="M193" s="15">
        <v>2</v>
      </c>
      <c r="N193" s="168"/>
      <c r="O193" s="15">
        <v>2</v>
      </c>
      <c r="P193" s="168"/>
      <c r="Q193" s="15">
        <v>30</v>
      </c>
      <c r="R193" s="73"/>
      <c r="S193" s="74"/>
      <c r="T193" s="74"/>
      <c r="U193" s="74"/>
      <c r="V193" s="73"/>
      <c r="W193" s="74"/>
      <c r="X193" s="74"/>
      <c r="Y193" s="74"/>
      <c r="Z193" s="72"/>
      <c r="AA193" s="72"/>
      <c r="AB193" s="72"/>
      <c r="AC193" s="72"/>
    </row>
    <row r="194" spans="1:29" s="10" customFormat="1" ht="22.5" customHeight="1">
      <c r="A194" s="15">
        <v>10</v>
      </c>
      <c r="B194" s="79" t="s">
        <v>958</v>
      </c>
      <c r="C194" s="17">
        <v>1</v>
      </c>
      <c r="D194" s="17">
        <v>1</v>
      </c>
      <c r="E194" s="17">
        <v>1</v>
      </c>
      <c r="F194" s="17">
        <v>1</v>
      </c>
      <c r="G194" s="17">
        <v>6</v>
      </c>
      <c r="H194" s="17">
        <v>6</v>
      </c>
      <c r="I194" s="17">
        <v>8</v>
      </c>
      <c r="J194" s="168" t="s">
        <v>1027</v>
      </c>
      <c r="K194" s="15">
        <v>8</v>
      </c>
      <c r="L194" s="168" t="s">
        <v>1027</v>
      </c>
      <c r="M194" s="15">
        <v>8</v>
      </c>
      <c r="N194" s="168" t="s">
        <v>1027</v>
      </c>
      <c r="O194" s="15">
        <v>8</v>
      </c>
      <c r="P194" s="168" t="s">
        <v>1027</v>
      </c>
      <c r="Q194" s="15">
        <v>30</v>
      </c>
      <c r="R194" s="73"/>
      <c r="S194" s="74"/>
      <c r="T194" s="74"/>
      <c r="U194" s="74"/>
      <c r="V194" s="73"/>
      <c r="W194" s="74"/>
      <c r="X194" s="74"/>
      <c r="Y194" s="74"/>
      <c r="Z194" s="72"/>
      <c r="AA194" s="72"/>
      <c r="AB194" s="72"/>
      <c r="AC194" s="72"/>
    </row>
    <row r="195" spans="1:29" s="10" customFormat="1" ht="22.5" customHeight="1">
      <c r="A195" s="15">
        <v>11</v>
      </c>
      <c r="B195" s="79" t="s">
        <v>1032</v>
      </c>
      <c r="C195" s="17">
        <v>1</v>
      </c>
      <c r="D195" s="17">
        <v>1</v>
      </c>
      <c r="E195" s="17">
        <v>1</v>
      </c>
      <c r="F195" s="17">
        <v>1</v>
      </c>
      <c r="G195" s="17">
        <v>0.06</v>
      </c>
      <c r="H195" s="17">
        <v>0.06</v>
      </c>
      <c r="I195" s="17">
        <v>8</v>
      </c>
      <c r="J195" s="168" t="s">
        <v>1027</v>
      </c>
      <c r="K195" s="15">
        <v>8</v>
      </c>
      <c r="L195" s="168" t="s">
        <v>1027</v>
      </c>
      <c r="M195" s="15">
        <v>8</v>
      </c>
      <c r="N195" s="168" t="s">
        <v>1027</v>
      </c>
      <c r="O195" s="15">
        <v>8</v>
      </c>
      <c r="P195" s="168" t="s">
        <v>1027</v>
      </c>
      <c r="Q195" s="15">
        <v>30</v>
      </c>
      <c r="R195" s="73"/>
      <c r="S195" s="74"/>
      <c r="T195" s="74"/>
      <c r="U195" s="74"/>
      <c r="V195" s="73"/>
      <c r="W195" s="74"/>
      <c r="X195" s="74"/>
      <c r="Y195" s="74"/>
      <c r="Z195" s="72"/>
      <c r="AA195" s="72"/>
      <c r="AB195" s="72"/>
      <c r="AC195" s="72"/>
    </row>
    <row r="196" spans="1:29" s="10" customFormat="1" ht="22.5" customHeight="1">
      <c r="A196" s="15">
        <v>12</v>
      </c>
      <c r="B196" s="79" t="s">
        <v>982</v>
      </c>
      <c r="C196" s="17">
        <v>2</v>
      </c>
      <c r="D196" s="17">
        <v>2</v>
      </c>
      <c r="E196" s="17">
        <v>2</v>
      </c>
      <c r="F196" s="17">
        <v>2</v>
      </c>
      <c r="G196" s="17">
        <v>36</v>
      </c>
      <c r="H196" s="17">
        <v>36</v>
      </c>
      <c r="I196" s="17">
        <v>5</v>
      </c>
      <c r="J196" s="168"/>
      <c r="K196" s="15">
        <v>5</v>
      </c>
      <c r="L196" s="168"/>
      <c r="M196" s="15">
        <v>5</v>
      </c>
      <c r="N196" s="168"/>
      <c r="O196" s="15">
        <v>5</v>
      </c>
      <c r="P196" s="168"/>
      <c r="Q196" s="15">
        <v>30</v>
      </c>
      <c r="R196" s="73"/>
      <c r="S196" s="74"/>
      <c r="T196" s="74"/>
      <c r="U196" s="74"/>
      <c r="V196" s="73"/>
      <c r="W196" s="74"/>
      <c r="X196" s="74"/>
      <c r="Y196" s="74"/>
      <c r="Z196" s="72"/>
      <c r="AA196" s="72"/>
      <c r="AB196" s="72"/>
      <c r="AC196" s="72"/>
    </row>
    <row r="197" spans="1:29" s="10" customFormat="1" ht="22.5" customHeight="1">
      <c r="A197" s="15">
        <v>13</v>
      </c>
      <c r="B197" s="79" t="s">
        <v>954</v>
      </c>
      <c r="C197" s="17">
        <v>4</v>
      </c>
      <c r="D197" s="17">
        <v>4</v>
      </c>
      <c r="E197" s="17">
        <v>4</v>
      </c>
      <c r="F197" s="17">
        <v>4</v>
      </c>
      <c r="G197" s="17">
        <v>2.75</v>
      </c>
      <c r="H197" s="17">
        <v>2.75</v>
      </c>
      <c r="I197" s="17">
        <v>5</v>
      </c>
      <c r="J197" s="168"/>
      <c r="K197" s="15">
        <v>5</v>
      </c>
      <c r="L197" s="168"/>
      <c r="M197" s="15">
        <v>5</v>
      </c>
      <c r="N197" s="168"/>
      <c r="O197" s="15">
        <v>5</v>
      </c>
      <c r="P197" s="168"/>
      <c r="Q197" s="15">
        <v>30</v>
      </c>
      <c r="R197" s="73"/>
      <c r="S197" s="74"/>
      <c r="T197" s="74"/>
      <c r="U197" s="74"/>
      <c r="V197" s="73"/>
      <c r="W197" s="74"/>
      <c r="X197" s="74"/>
      <c r="Y197" s="74"/>
      <c r="Z197" s="72"/>
      <c r="AA197" s="72"/>
      <c r="AB197" s="72"/>
      <c r="AC197" s="72"/>
    </row>
    <row r="198" spans="1:29" s="10" customFormat="1" ht="22.5" customHeight="1">
      <c r="A198" s="15"/>
      <c r="B198" s="79"/>
      <c r="C198" s="17"/>
      <c r="D198" s="17"/>
      <c r="E198" s="17"/>
      <c r="F198" s="17"/>
      <c r="G198" s="17"/>
      <c r="H198" s="17"/>
      <c r="I198" s="17"/>
      <c r="J198" s="168"/>
      <c r="K198" s="15"/>
      <c r="L198" s="168"/>
      <c r="M198" s="15"/>
      <c r="N198" s="168"/>
      <c r="O198" s="15"/>
      <c r="P198" s="168"/>
      <c r="Q198" s="15"/>
      <c r="R198" s="73"/>
      <c r="S198" s="74"/>
      <c r="T198" s="74"/>
      <c r="U198" s="74"/>
      <c r="V198" s="73"/>
      <c r="W198" s="74"/>
      <c r="X198" s="74"/>
      <c r="Y198" s="74"/>
      <c r="Z198" s="72"/>
      <c r="AA198" s="72"/>
      <c r="AB198" s="72"/>
      <c r="AC198" s="72"/>
    </row>
    <row r="199" spans="1:29" s="10" customFormat="1" ht="27" customHeight="1">
      <c r="A199" s="15"/>
      <c r="B199" s="79"/>
      <c r="C199" s="17"/>
      <c r="D199" s="17"/>
      <c r="E199" s="17"/>
      <c r="F199" s="17"/>
      <c r="G199" s="17"/>
      <c r="H199" s="17"/>
      <c r="I199" s="17"/>
      <c r="J199" s="168"/>
      <c r="K199" s="15"/>
      <c r="L199" s="168"/>
      <c r="M199" s="15"/>
      <c r="N199" s="168"/>
      <c r="O199" s="15"/>
      <c r="P199" s="168"/>
      <c r="Q199" s="15"/>
      <c r="R199" s="73"/>
      <c r="S199" s="74"/>
      <c r="T199" s="74"/>
      <c r="U199" s="74"/>
      <c r="V199" s="73"/>
      <c r="W199" s="74"/>
      <c r="X199" s="74"/>
      <c r="Y199" s="74"/>
      <c r="Z199" s="72"/>
      <c r="AA199" s="72"/>
      <c r="AB199" s="72"/>
      <c r="AC199" s="72"/>
    </row>
    <row r="200" spans="1:29" s="10" customFormat="1" ht="36" customHeight="1">
      <c r="A200" s="15"/>
      <c r="B200" s="747" t="s">
        <v>7</v>
      </c>
      <c r="C200" s="747"/>
      <c r="D200" s="747"/>
      <c r="E200" s="747"/>
      <c r="F200" s="747"/>
      <c r="G200" s="747"/>
      <c r="H200" s="747"/>
      <c r="I200" s="747"/>
      <c r="J200" s="747"/>
      <c r="K200" s="747"/>
      <c r="L200" s="747"/>
      <c r="M200" s="747"/>
      <c r="N200" s="747"/>
      <c r="O200" s="747"/>
      <c r="P200" s="747"/>
      <c r="Q200" s="747"/>
      <c r="R200" s="321">
        <f t="shared" ref="R200:X200" si="36">SUM(R7:R104)</f>
        <v>93634.049999999988</v>
      </c>
      <c r="S200" s="321">
        <f t="shared" si="36"/>
        <v>150574.5</v>
      </c>
      <c r="T200" s="321">
        <f t="shared" si="36"/>
        <v>157202.10000000003</v>
      </c>
      <c r="U200" s="321">
        <f>SUM(U7:U104)</f>
        <v>157202.10000000003</v>
      </c>
      <c r="V200" s="321">
        <f t="shared" si="36"/>
        <v>92194.049999999988</v>
      </c>
      <c r="W200" s="321">
        <f t="shared" si="36"/>
        <v>148414.5</v>
      </c>
      <c r="X200" s="321">
        <f t="shared" si="36"/>
        <v>154322.10000000003</v>
      </c>
      <c r="Y200" s="321">
        <f>SUM(Y7:Y104)</f>
        <v>154322.10000000003</v>
      </c>
      <c r="Z200" s="72"/>
      <c r="AA200" s="72"/>
      <c r="AB200" s="72"/>
      <c r="AC200" s="72"/>
    </row>
    <row r="201" spans="1:29" ht="18" customHeight="1">
      <c r="A201" s="748"/>
      <c r="B201" s="748"/>
      <c r="C201" s="748"/>
      <c r="D201" s="748"/>
      <c r="E201" s="748"/>
      <c r="F201" s="748"/>
      <c r="G201" s="748"/>
      <c r="H201" s="748"/>
      <c r="I201" s="748"/>
      <c r="J201" s="748"/>
      <c r="K201" s="748"/>
      <c r="L201" s="748"/>
      <c r="M201" s="748"/>
      <c r="N201" s="748"/>
      <c r="O201" s="748"/>
      <c r="P201" s="748"/>
      <c r="Q201" s="748"/>
      <c r="R201" s="748"/>
      <c r="S201" s="748"/>
      <c r="T201" s="748"/>
      <c r="U201" s="748"/>
      <c r="V201" s="748"/>
      <c r="W201" s="748"/>
      <c r="X201" s="748"/>
      <c r="Y201" s="748"/>
      <c r="Z201" s="748"/>
      <c r="AA201" s="748"/>
      <c r="AB201" s="748"/>
      <c r="AC201" s="748"/>
    </row>
    <row r="202" spans="1:29" ht="18.75">
      <c r="P202" s="306" t="s">
        <v>615</v>
      </c>
    </row>
  </sheetData>
  <mergeCells count="18">
    <mergeCell ref="A1:AB1"/>
    <mergeCell ref="I2:P2"/>
    <mergeCell ref="R3:U3"/>
    <mergeCell ref="V3:Y3"/>
    <mergeCell ref="Z3:AC3"/>
    <mergeCell ref="V2:X2"/>
    <mergeCell ref="C2:F2"/>
    <mergeCell ref="O3:P3"/>
    <mergeCell ref="A2:A3"/>
    <mergeCell ref="B2:B3"/>
    <mergeCell ref="G2:G3"/>
    <mergeCell ref="Q2:Q3"/>
    <mergeCell ref="H2:H3"/>
    <mergeCell ref="I3:J3"/>
    <mergeCell ref="K3:L3"/>
    <mergeCell ref="M3:N3"/>
    <mergeCell ref="B200:Q200"/>
    <mergeCell ref="A201:AC201"/>
  </mergeCells>
  <pageMargins left="0.7" right="0.7" top="0.75" bottom="0.75" header="0.3" footer="0.3"/>
  <pageSetup scale="33" orientation="portrait" r:id="rId1"/>
  <colBreaks count="1" manualBreakCount="1">
    <brk id="17" max="19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3"/>
  <sheetViews>
    <sheetView showZeros="0" zoomScale="85" zoomScaleNormal="85" workbookViewId="0">
      <pane ySplit="4" topLeftCell="A5" activePane="bottomLeft" state="frozen"/>
      <selection pane="bottomLeft" activeCell="Q53" sqref="Q53"/>
    </sheetView>
  </sheetViews>
  <sheetFormatPr defaultColWidth="8.85546875" defaultRowHeight="15"/>
  <cols>
    <col min="1" max="1" width="9.140625" style="3" customWidth="1"/>
    <col min="2" max="2" width="37.5703125" style="1" customWidth="1"/>
    <col min="3" max="3" width="10.42578125" style="1" customWidth="1"/>
    <col min="4" max="4" width="11.42578125" style="59" bestFit="1" customWidth="1"/>
    <col min="5" max="5" width="10.42578125" style="59" customWidth="1"/>
    <col min="6" max="7" width="15.42578125" style="39" customWidth="1"/>
    <col min="8" max="8" width="11.42578125" style="53" customWidth="1"/>
    <col min="9" max="10" width="18.85546875" style="53" customWidth="1"/>
    <col min="11" max="16" width="18.85546875" style="39" customWidth="1"/>
    <col min="17" max="17" width="13.7109375" style="1" bestFit="1" customWidth="1"/>
    <col min="18" max="19" width="13.7109375" style="39" bestFit="1" customWidth="1"/>
    <col min="20" max="20" width="13.7109375" style="1" bestFit="1" customWidth="1"/>
    <col min="21" max="22" width="13.7109375" style="39" bestFit="1" customWidth="1"/>
    <col min="23" max="23" width="13.7109375" style="1" bestFit="1" customWidth="1"/>
    <col min="24" max="25" width="13.7109375" style="39" bestFit="1" customWidth="1"/>
    <col min="26" max="16384" width="8.85546875" style="1"/>
  </cols>
  <sheetData>
    <row r="1" spans="1:26" s="2" customFormat="1" ht="14.25">
      <c r="A1" s="754" t="s">
        <v>0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  <c r="S1" s="754"/>
      <c r="T1" s="754"/>
      <c r="U1" s="754"/>
      <c r="V1" s="754"/>
      <c r="W1" s="754"/>
      <c r="X1" s="754"/>
      <c r="Y1" s="754"/>
      <c r="Z1" s="754"/>
    </row>
    <row r="3" spans="1:26" s="21" customFormat="1" ht="35.25" customHeight="1">
      <c r="A3" s="757" t="s">
        <v>1</v>
      </c>
      <c r="B3" s="757" t="s">
        <v>2</v>
      </c>
      <c r="C3" s="759" t="s">
        <v>3</v>
      </c>
      <c r="D3" s="759"/>
      <c r="E3" s="760"/>
      <c r="F3" s="757" t="s">
        <v>8</v>
      </c>
      <c r="G3" s="761" t="s">
        <v>497</v>
      </c>
      <c r="H3" s="762" t="s">
        <v>499</v>
      </c>
      <c r="I3" s="759"/>
      <c r="J3" s="759"/>
      <c r="K3" s="759"/>
      <c r="L3" s="759"/>
      <c r="M3" s="759"/>
      <c r="N3" s="759"/>
      <c r="O3" s="759"/>
      <c r="P3" s="760"/>
      <c r="Q3" s="761" t="s">
        <v>501</v>
      </c>
      <c r="R3" s="761"/>
      <c r="S3" s="761"/>
      <c r="T3" s="761" t="s">
        <v>502</v>
      </c>
      <c r="U3" s="761"/>
      <c r="V3" s="761"/>
      <c r="W3" s="761" t="s">
        <v>503</v>
      </c>
      <c r="X3" s="761"/>
      <c r="Y3" s="761"/>
    </row>
    <row r="4" spans="1:26" s="21" customFormat="1" ht="49.5" customHeight="1">
      <c r="A4" s="758"/>
      <c r="B4" s="758"/>
      <c r="C4" s="48" t="s">
        <v>484</v>
      </c>
      <c r="D4" s="48" t="s">
        <v>485</v>
      </c>
      <c r="E4" s="48" t="s">
        <v>486</v>
      </c>
      <c r="F4" s="758"/>
      <c r="G4" s="761"/>
      <c r="H4" s="750" t="s">
        <v>484</v>
      </c>
      <c r="I4" s="751"/>
      <c r="J4" s="752"/>
      <c r="K4" s="750" t="s">
        <v>485</v>
      </c>
      <c r="L4" s="751"/>
      <c r="M4" s="752"/>
      <c r="N4" s="753" t="s">
        <v>486</v>
      </c>
      <c r="O4" s="753"/>
      <c r="P4" s="753"/>
      <c r="Q4" s="40" t="s">
        <v>484</v>
      </c>
      <c r="R4" s="40" t="s">
        <v>485</v>
      </c>
      <c r="S4" s="40" t="s">
        <v>486</v>
      </c>
      <c r="T4" s="40" t="s">
        <v>484</v>
      </c>
      <c r="U4" s="40" t="s">
        <v>485</v>
      </c>
      <c r="V4" s="40" t="s">
        <v>486</v>
      </c>
      <c r="W4" s="40" t="s">
        <v>484</v>
      </c>
      <c r="X4" s="40" t="s">
        <v>485</v>
      </c>
      <c r="Y4" s="40" t="s">
        <v>486</v>
      </c>
    </row>
    <row r="5" spans="1:26" s="21" customFormat="1" ht="49.5" customHeight="1">
      <c r="A5" s="49"/>
      <c r="B5" s="49"/>
      <c r="C5" s="48"/>
      <c r="D5" s="48"/>
      <c r="E5" s="48"/>
      <c r="F5" s="49"/>
      <c r="G5" s="48"/>
      <c r="H5" s="48" t="s">
        <v>498</v>
      </c>
      <c r="I5" s="48" t="s">
        <v>496</v>
      </c>
      <c r="J5" s="48" t="s">
        <v>5</v>
      </c>
      <c r="K5" s="48" t="s">
        <v>498</v>
      </c>
      <c r="L5" s="48" t="s">
        <v>496</v>
      </c>
      <c r="M5" s="48" t="s">
        <v>5</v>
      </c>
      <c r="N5" s="48" t="s">
        <v>498</v>
      </c>
      <c r="O5" s="48" t="s">
        <v>496</v>
      </c>
      <c r="P5" s="48" t="s">
        <v>5</v>
      </c>
      <c r="Q5" s="40"/>
      <c r="R5" s="8"/>
      <c r="S5" s="8"/>
      <c r="T5" s="40"/>
      <c r="U5" s="8"/>
      <c r="V5" s="8"/>
      <c r="W5" s="40"/>
      <c r="X5" s="8"/>
      <c r="Y5" s="8"/>
    </row>
    <row r="6" spans="1:26" s="10" customFormat="1" ht="15.75" hidden="1">
      <c r="A6" s="13">
        <v>1</v>
      </c>
      <c r="B6" s="13">
        <v>2</v>
      </c>
      <c r="C6" s="22"/>
      <c r="D6" s="56"/>
      <c r="E6" s="56"/>
      <c r="F6" s="13">
        <v>5</v>
      </c>
      <c r="G6" s="13"/>
      <c r="H6" s="13"/>
      <c r="I6" s="22"/>
      <c r="J6" s="22"/>
      <c r="K6" s="22"/>
      <c r="L6" s="22"/>
      <c r="M6" s="22"/>
      <c r="N6" s="22"/>
      <c r="O6" s="22"/>
      <c r="P6" s="22"/>
      <c r="Q6" s="5"/>
      <c r="R6" s="22"/>
      <c r="S6" s="22"/>
      <c r="T6" s="5"/>
      <c r="U6" s="22"/>
      <c r="V6" s="22"/>
      <c r="W6" s="5"/>
      <c r="X6" s="22"/>
      <c r="Y6" s="22"/>
    </row>
    <row r="7" spans="1:26" s="10" customFormat="1">
      <c r="A7" s="23" t="s">
        <v>6</v>
      </c>
      <c r="B7" s="31" t="s">
        <v>206</v>
      </c>
      <c r="C7" s="12"/>
      <c r="D7" s="42"/>
      <c r="E7" s="42"/>
      <c r="F7" s="80"/>
      <c r="G7" s="18"/>
      <c r="H7" s="18"/>
      <c r="I7" s="18"/>
      <c r="J7" s="18"/>
      <c r="K7" s="18"/>
      <c r="L7" s="18"/>
      <c r="M7" s="18"/>
      <c r="N7" s="18"/>
      <c r="O7" s="54"/>
      <c r="P7" s="54"/>
      <c r="Q7" s="18"/>
      <c r="R7" s="18"/>
      <c r="S7" s="18"/>
      <c r="T7" s="18"/>
      <c r="U7" s="18"/>
      <c r="V7" s="18"/>
      <c r="W7" s="18"/>
      <c r="X7" s="18"/>
      <c r="Y7" s="18"/>
      <c r="Z7" s="60"/>
    </row>
    <row r="8" spans="1:26" s="10" customFormat="1">
      <c r="A8" s="20">
        <v>1</v>
      </c>
      <c r="B8" s="26" t="s">
        <v>207</v>
      </c>
      <c r="C8" s="67">
        <v>3</v>
      </c>
      <c r="D8" s="57">
        <v>1</v>
      </c>
      <c r="E8" s="57">
        <v>1</v>
      </c>
      <c r="F8" s="81">
        <v>10.3</v>
      </c>
      <c r="G8" s="71">
        <v>10.3</v>
      </c>
      <c r="H8" s="15">
        <v>0</v>
      </c>
      <c r="I8" s="9" t="s">
        <v>500</v>
      </c>
      <c r="J8" s="36"/>
      <c r="K8" s="17">
        <v>10</v>
      </c>
      <c r="L8" s="9" t="s">
        <v>500</v>
      </c>
      <c r="M8" s="36"/>
      <c r="N8" s="17">
        <v>10</v>
      </c>
      <c r="O8" s="9" t="s">
        <v>500</v>
      </c>
      <c r="P8" s="9"/>
      <c r="Q8" s="73">
        <f>C8*F8*H8*J8</f>
        <v>0</v>
      </c>
      <c r="R8" s="74">
        <f>D8*F8*K8*M8</f>
        <v>0</v>
      </c>
      <c r="S8" s="74">
        <f>E8*F8*N8*P8</f>
        <v>0</v>
      </c>
      <c r="T8" s="73">
        <f>C8*G8*H8*J8</f>
        <v>0</v>
      </c>
      <c r="U8" s="74">
        <f>D8*G8*K8*M8</f>
        <v>0</v>
      </c>
      <c r="V8" s="74">
        <f>E8*G8*N8*P8</f>
        <v>0</v>
      </c>
      <c r="W8" s="72" t="e">
        <f t="shared" ref="W8:Y43" si="0">T8/Q8</f>
        <v>#DIV/0!</v>
      </c>
      <c r="X8" s="72" t="e">
        <f t="shared" si="0"/>
        <v>#DIV/0!</v>
      </c>
      <c r="Y8" s="72" t="e">
        <f t="shared" si="0"/>
        <v>#DIV/0!</v>
      </c>
      <c r="Z8" s="19" t="s">
        <v>208</v>
      </c>
    </row>
    <row r="9" spans="1:26" s="10" customFormat="1">
      <c r="A9" s="20">
        <v>2</v>
      </c>
      <c r="B9" s="7" t="s">
        <v>209</v>
      </c>
      <c r="C9" s="67">
        <v>4</v>
      </c>
      <c r="D9" s="57">
        <v>4</v>
      </c>
      <c r="E9" s="57">
        <v>4</v>
      </c>
      <c r="F9" s="81">
        <v>0.156</v>
      </c>
      <c r="G9" s="71">
        <v>0.156</v>
      </c>
      <c r="H9" s="15">
        <v>0</v>
      </c>
      <c r="I9" s="9" t="s">
        <v>500</v>
      </c>
      <c r="J9" s="36"/>
      <c r="K9" s="17">
        <v>24</v>
      </c>
      <c r="L9" s="9" t="s">
        <v>500</v>
      </c>
      <c r="M9" s="36"/>
      <c r="N9" s="17">
        <v>24</v>
      </c>
      <c r="O9" s="9" t="s">
        <v>500</v>
      </c>
      <c r="P9" s="9"/>
      <c r="Q9" s="73">
        <f t="shared" ref="Q9:Q47" si="1">C9*F9*H9*J9</f>
        <v>0</v>
      </c>
      <c r="R9" s="74">
        <f t="shared" ref="R9:R47" si="2">D9*F9*K9*M9</f>
        <v>0</v>
      </c>
      <c r="S9" s="74">
        <f t="shared" ref="S9:S47" si="3">E9*F9*N9*P9</f>
        <v>0</v>
      </c>
      <c r="T9" s="73">
        <f t="shared" ref="T9:T47" si="4">C9*G9*H9*J9</f>
        <v>0</v>
      </c>
      <c r="U9" s="74">
        <f t="shared" ref="U9:U47" si="5">D9*G9*K9*M9</f>
        <v>0</v>
      </c>
      <c r="V9" s="74">
        <f t="shared" ref="V9:V47" si="6">E9*G9*N9*P9</f>
        <v>0</v>
      </c>
      <c r="W9" s="72" t="e">
        <f t="shared" si="0"/>
        <v>#DIV/0!</v>
      </c>
      <c r="X9" s="72" t="e">
        <f t="shared" si="0"/>
        <v>#DIV/0!</v>
      </c>
      <c r="Y9" s="72" t="e">
        <f t="shared" si="0"/>
        <v>#DIV/0!</v>
      </c>
      <c r="Z9" s="19" t="s">
        <v>208</v>
      </c>
    </row>
    <row r="10" spans="1:26" s="10" customFormat="1">
      <c r="A10" s="20">
        <v>3</v>
      </c>
      <c r="B10" s="26" t="s">
        <v>207</v>
      </c>
      <c r="C10" s="67">
        <v>4</v>
      </c>
      <c r="D10" s="57"/>
      <c r="E10" s="57"/>
      <c r="F10" s="81">
        <v>10.3</v>
      </c>
      <c r="G10" s="71">
        <v>10.3</v>
      </c>
      <c r="H10" s="15">
        <v>0</v>
      </c>
      <c r="I10" s="9" t="s">
        <v>500</v>
      </c>
      <c r="J10" s="36"/>
      <c r="K10" s="17"/>
      <c r="L10" s="9" t="s">
        <v>500</v>
      </c>
      <c r="M10" s="36"/>
      <c r="N10" s="17"/>
      <c r="O10" s="9" t="s">
        <v>500</v>
      </c>
      <c r="P10" s="9"/>
      <c r="Q10" s="73">
        <f t="shared" si="1"/>
        <v>0</v>
      </c>
      <c r="R10" s="74">
        <f t="shared" si="2"/>
        <v>0</v>
      </c>
      <c r="S10" s="74">
        <f t="shared" si="3"/>
        <v>0</v>
      </c>
      <c r="T10" s="73">
        <f t="shared" si="4"/>
        <v>0</v>
      </c>
      <c r="U10" s="74">
        <f t="shared" si="5"/>
        <v>0</v>
      </c>
      <c r="V10" s="74">
        <f t="shared" si="6"/>
        <v>0</v>
      </c>
      <c r="W10" s="72" t="e">
        <f t="shared" si="0"/>
        <v>#DIV/0!</v>
      </c>
      <c r="X10" s="72" t="e">
        <f t="shared" si="0"/>
        <v>#DIV/0!</v>
      </c>
      <c r="Y10" s="72" t="e">
        <f t="shared" si="0"/>
        <v>#DIV/0!</v>
      </c>
      <c r="Z10" s="19" t="s">
        <v>210</v>
      </c>
    </row>
    <row r="11" spans="1:26" s="10" customFormat="1">
      <c r="A11" s="20">
        <v>4</v>
      </c>
      <c r="B11" s="7" t="s">
        <v>209</v>
      </c>
      <c r="C11" s="67">
        <v>16</v>
      </c>
      <c r="D11" s="57"/>
      <c r="E11" s="57"/>
      <c r="F11" s="81">
        <v>0.156</v>
      </c>
      <c r="G11" s="71">
        <v>0.156</v>
      </c>
      <c r="H11" s="15">
        <v>0</v>
      </c>
      <c r="I11" s="9" t="s">
        <v>500</v>
      </c>
      <c r="J11" s="36"/>
      <c r="K11" s="17"/>
      <c r="L11" s="9" t="s">
        <v>500</v>
      </c>
      <c r="M11" s="36"/>
      <c r="N11" s="17"/>
      <c r="O11" s="9" t="s">
        <v>500</v>
      </c>
      <c r="P11" s="9"/>
      <c r="Q11" s="73">
        <f t="shared" si="1"/>
        <v>0</v>
      </c>
      <c r="R11" s="74">
        <f t="shared" si="2"/>
        <v>0</v>
      </c>
      <c r="S11" s="74">
        <f t="shared" si="3"/>
        <v>0</v>
      </c>
      <c r="T11" s="73">
        <f t="shared" si="4"/>
        <v>0</v>
      </c>
      <c r="U11" s="74">
        <f t="shared" si="5"/>
        <v>0</v>
      </c>
      <c r="V11" s="74">
        <f t="shared" si="6"/>
        <v>0</v>
      </c>
      <c r="W11" s="72" t="e">
        <f t="shared" si="0"/>
        <v>#DIV/0!</v>
      </c>
      <c r="X11" s="72" t="e">
        <f t="shared" si="0"/>
        <v>#DIV/0!</v>
      </c>
      <c r="Y11" s="72" t="e">
        <f t="shared" si="0"/>
        <v>#DIV/0!</v>
      </c>
      <c r="Z11" s="19" t="s">
        <v>210</v>
      </c>
    </row>
    <row r="12" spans="1:26" s="10" customFormat="1">
      <c r="A12" s="20">
        <v>5</v>
      </c>
      <c r="B12" s="26" t="s">
        <v>207</v>
      </c>
      <c r="C12" s="67">
        <v>3</v>
      </c>
      <c r="D12" s="57">
        <v>1</v>
      </c>
      <c r="E12" s="57">
        <v>1</v>
      </c>
      <c r="F12" s="81">
        <v>10.3</v>
      </c>
      <c r="G12" s="71">
        <v>10.3</v>
      </c>
      <c r="H12" s="15">
        <v>0</v>
      </c>
      <c r="I12" s="9" t="s">
        <v>500</v>
      </c>
      <c r="J12" s="36"/>
      <c r="K12" s="17">
        <v>10</v>
      </c>
      <c r="L12" s="9" t="s">
        <v>500</v>
      </c>
      <c r="M12" s="36"/>
      <c r="N12" s="17">
        <v>10</v>
      </c>
      <c r="O12" s="9" t="s">
        <v>500</v>
      </c>
      <c r="P12" s="9"/>
      <c r="Q12" s="73">
        <f t="shared" si="1"/>
        <v>0</v>
      </c>
      <c r="R12" s="74">
        <f t="shared" si="2"/>
        <v>0</v>
      </c>
      <c r="S12" s="74">
        <f t="shared" si="3"/>
        <v>0</v>
      </c>
      <c r="T12" s="73">
        <f t="shared" si="4"/>
        <v>0</v>
      </c>
      <c r="U12" s="74">
        <f t="shared" si="5"/>
        <v>0</v>
      </c>
      <c r="V12" s="74">
        <f t="shared" si="6"/>
        <v>0</v>
      </c>
      <c r="W12" s="72" t="e">
        <f t="shared" si="0"/>
        <v>#DIV/0!</v>
      </c>
      <c r="X12" s="72" t="e">
        <f t="shared" si="0"/>
        <v>#DIV/0!</v>
      </c>
      <c r="Y12" s="72" t="e">
        <f t="shared" si="0"/>
        <v>#DIV/0!</v>
      </c>
      <c r="Z12" s="19" t="s">
        <v>208</v>
      </c>
    </row>
    <row r="13" spans="1:26" s="10" customFormat="1">
      <c r="A13" s="20">
        <v>6</v>
      </c>
      <c r="B13" s="7" t="s">
        <v>209</v>
      </c>
      <c r="C13" s="67">
        <v>4</v>
      </c>
      <c r="D13" s="57">
        <v>4</v>
      </c>
      <c r="E13" s="57">
        <v>4</v>
      </c>
      <c r="F13" s="81">
        <v>0.156</v>
      </c>
      <c r="G13" s="71">
        <v>0.156</v>
      </c>
      <c r="H13" s="15">
        <v>0</v>
      </c>
      <c r="I13" s="9" t="s">
        <v>500</v>
      </c>
      <c r="J13" s="36"/>
      <c r="K13" s="17">
        <v>24</v>
      </c>
      <c r="L13" s="9" t="s">
        <v>500</v>
      </c>
      <c r="M13" s="36"/>
      <c r="N13" s="17">
        <v>24</v>
      </c>
      <c r="O13" s="9" t="s">
        <v>500</v>
      </c>
      <c r="P13" s="9"/>
      <c r="Q13" s="73">
        <f t="shared" si="1"/>
        <v>0</v>
      </c>
      <c r="R13" s="74">
        <f t="shared" si="2"/>
        <v>0</v>
      </c>
      <c r="S13" s="74">
        <f t="shared" si="3"/>
        <v>0</v>
      </c>
      <c r="T13" s="73">
        <f t="shared" si="4"/>
        <v>0</v>
      </c>
      <c r="U13" s="74">
        <f t="shared" si="5"/>
        <v>0</v>
      </c>
      <c r="V13" s="74">
        <f t="shared" si="6"/>
        <v>0</v>
      </c>
      <c r="W13" s="72" t="e">
        <f t="shared" si="0"/>
        <v>#DIV/0!</v>
      </c>
      <c r="X13" s="72" t="e">
        <f t="shared" si="0"/>
        <v>#DIV/0!</v>
      </c>
      <c r="Y13" s="72" t="e">
        <f t="shared" si="0"/>
        <v>#DIV/0!</v>
      </c>
      <c r="Z13" s="19" t="s">
        <v>208</v>
      </c>
    </row>
    <row r="14" spans="1:26" s="10" customFormat="1">
      <c r="A14" s="20">
        <v>7</v>
      </c>
      <c r="B14" s="26" t="s">
        <v>207</v>
      </c>
      <c r="C14" s="67">
        <v>4</v>
      </c>
      <c r="D14" s="57"/>
      <c r="E14" s="57"/>
      <c r="F14" s="81">
        <v>10.3</v>
      </c>
      <c r="G14" s="71">
        <v>10.3</v>
      </c>
      <c r="H14" s="15">
        <v>0</v>
      </c>
      <c r="I14" s="9" t="s">
        <v>500</v>
      </c>
      <c r="J14" s="36"/>
      <c r="K14" s="17"/>
      <c r="L14" s="9" t="s">
        <v>500</v>
      </c>
      <c r="M14" s="36"/>
      <c r="N14" s="17"/>
      <c r="O14" s="9" t="s">
        <v>500</v>
      </c>
      <c r="P14" s="9"/>
      <c r="Q14" s="73">
        <f t="shared" si="1"/>
        <v>0</v>
      </c>
      <c r="R14" s="74">
        <f t="shared" si="2"/>
        <v>0</v>
      </c>
      <c r="S14" s="74">
        <f t="shared" si="3"/>
        <v>0</v>
      </c>
      <c r="T14" s="73">
        <f t="shared" si="4"/>
        <v>0</v>
      </c>
      <c r="U14" s="74">
        <f t="shared" si="5"/>
        <v>0</v>
      </c>
      <c r="V14" s="74">
        <f t="shared" si="6"/>
        <v>0</v>
      </c>
      <c r="W14" s="72" t="e">
        <f t="shared" si="0"/>
        <v>#DIV/0!</v>
      </c>
      <c r="X14" s="72" t="e">
        <f t="shared" si="0"/>
        <v>#DIV/0!</v>
      </c>
      <c r="Y14" s="72" t="e">
        <f t="shared" si="0"/>
        <v>#DIV/0!</v>
      </c>
      <c r="Z14" s="19" t="s">
        <v>210</v>
      </c>
    </row>
    <row r="15" spans="1:26" s="10" customFormat="1">
      <c r="A15" s="20">
        <v>8</v>
      </c>
      <c r="B15" s="7" t="s">
        <v>209</v>
      </c>
      <c r="C15" s="67">
        <v>16</v>
      </c>
      <c r="D15" s="57"/>
      <c r="E15" s="57"/>
      <c r="F15" s="81">
        <v>0.156</v>
      </c>
      <c r="G15" s="71">
        <v>0.156</v>
      </c>
      <c r="H15" s="15">
        <v>0</v>
      </c>
      <c r="I15" s="9" t="s">
        <v>500</v>
      </c>
      <c r="J15" s="36"/>
      <c r="K15" s="17"/>
      <c r="L15" s="9" t="s">
        <v>500</v>
      </c>
      <c r="M15" s="36"/>
      <c r="N15" s="17"/>
      <c r="O15" s="9" t="s">
        <v>500</v>
      </c>
      <c r="P15" s="9"/>
      <c r="Q15" s="73">
        <f t="shared" si="1"/>
        <v>0</v>
      </c>
      <c r="R15" s="74">
        <f t="shared" si="2"/>
        <v>0</v>
      </c>
      <c r="S15" s="74">
        <f t="shared" si="3"/>
        <v>0</v>
      </c>
      <c r="T15" s="73">
        <f t="shared" si="4"/>
        <v>0</v>
      </c>
      <c r="U15" s="74">
        <f t="shared" si="5"/>
        <v>0</v>
      </c>
      <c r="V15" s="74">
        <f t="shared" si="6"/>
        <v>0</v>
      </c>
      <c r="W15" s="72" t="e">
        <f t="shared" si="0"/>
        <v>#DIV/0!</v>
      </c>
      <c r="X15" s="72" t="e">
        <f t="shared" si="0"/>
        <v>#DIV/0!</v>
      </c>
      <c r="Y15" s="72" t="e">
        <f t="shared" si="0"/>
        <v>#DIV/0!</v>
      </c>
      <c r="Z15" s="19" t="s">
        <v>210</v>
      </c>
    </row>
    <row r="16" spans="1:26" s="10" customFormat="1">
      <c r="A16" s="20">
        <v>9</v>
      </c>
      <c r="B16" s="26" t="s">
        <v>207</v>
      </c>
      <c r="C16" s="67">
        <v>2</v>
      </c>
      <c r="D16" s="57"/>
      <c r="E16" s="57"/>
      <c r="F16" s="81">
        <v>10.3</v>
      </c>
      <c r="G16" s="71">
        <v>10.3</v>
      </c>
      <c r="H16" s="15">
        <v>0</v>
      </c>
      <c r="I16" s="9" t="s">
        <v>500</v>
      </c>
      <c r="J16" s="36"/>
      <c r="K16" s="17"/>
      <c r="L16" s="9" t="s">
        <v>500</v>
      </c>
      <c r="M16" s="36"/>
      <c r="N16" s="17"/>
      <c r="O16" s="9" t="s">
        <v>500</v>
      </c>
      <c r="P16" s="9"/>
      <c r="Q16" s="73">
        <f t="shared" si="1"/>
        <v>0</v>
      </c>
      <c r="R16" s="74">
        <f t="shared" si="2"/>
        <v>0</v>
      </c>
      <c r="S16" s="74">
        <f t="shared" si="3"/>
        <v>0</v>
      </c>
      <c r="T16" s="73">
        <f t="shared" si="4"/>
        <v>0</v>
      </c>
      <c r="U16" s="74">
        <f t="shared" si="5"/>
        <v>0</v>
      </c>
      <c r="V16" s="74">
        <f t="shared" si="6"/>
        <v>0</v>
      </c>
      <c r="W16" s="72" t="e">
        <f t="shared" si="0"/>
        <v>#DIV/0!</v>
      </c>
      <c r="X16" s="72" t="e">
        <f t="shared" si="0"/>
        <v>#DIV/0!</v>
      </c>
      <c r="Y16" s="72" t="e">
        <f t="shared" si="0"/>
        <v>#DIV/0!</v>
      </c>
      <c r="Z16" s="19" t="s">
        <v>208</v>
      </c>
    </row>
    <row r="17" spans="1:26" s="10" customFormat="1">
      <c r="A17" s="20">
        <v>10</v>
      </c>
      <c r="B17" s="26" t="s">
        <v>209</v>
      </c>
      <c r="C17" s="67">
        <v>4</v>
      </c>
      <c r="D17" s="57"/>
      <c r="E17" s="57"/>
      <c r="F17" s="81">
        <v>0.156</v>
      </c>
      <c r="G17" s="71">
        <v>0.156</v>
      </c>
      <c r="H17" s="15">
        <v>0</v>
      </c>
      <c r="I17" s="9" t="s">
        <v>500</v>
      </c>
      <c r="J17" s="36"/>
      <c r="K17" s="17"/>
      <c r="L17" s="9" t="s">
        <v>500</v>
      </c>
      <c r="M17" s="36"/>
      <c r="N17" s="17"/>
      <c r="O17" s="9" t="s">
        <v>500</v>
      </c>
      <c r="P17" s="9"/>
      <c r="Q17" s="73">
        <f t="shared" si="1"/>
        <v>0</v>
      </c>
      <c r="R17" s="74">
        <f t="shared" si="2"/>
        <v>0</v>
      </c>
      <c r="S17" s="74">
        <f t="shared" si="3"/>
        <v>0</v>
      </c>
      <c r="T17" s="73">
        <f t="shared" si="4"/>
        <v>0</v>
      </c>
      <c r="U17" s="74">
        <f t="shared" si="5"/>
        <v>0</v>
      </c>
      <c r="V17" s="74">
        <f t="shared" si="6"/>
        <v>0</v>
      </c>
      <c r="W17" s="72" t="e">
        <f t="shared" si="0"/>
        <v>#DIV/0!</v>
      </c>
      <c r="X17" s="72" t="e">
        <f t="shared" si="0"/>
        <v>#DIV/0!</v>
      </c>
      <c r="Y17" s="72" t="e">
        <f t="shared" si="0"/>
        <v>#DIV/0!</v>
      </c>
      <c r="Z17" s="19" t="s">
        <v>208</v>
      </c>
    </row>
    <row r="18" spans="1:26" s="10" customFormat="1">
      <c r="A18" s="20">
        <v>11</v>
      </c>
      <c r="B18" s="26" t="s">
        <v>207</v>
      </c>
      <c r="C18" s="67">
        <v>2</v>
      </c>
      <c r="D18" s="57"/>
      <c r="E18" s="57"/>
      <c r="F18" s="81">
        <v>10.3</v>
      </c>
      <c r="G18" s="71">
        <v>10.3</v>
      </c>
      <c r="H18" s="15">
        <v>0</v>
      </c>
      <c r="I18" s="9" t="s">
        <v>500</v>
      </c>
      <c r="J18" s="36"/>
      <c r="K18" s="17"/>
      <c r="L18" s="9" t="s">
        <v>500</v>
      </c>
      <c r="M18" s="36"/>
      <c r="N18" s="17"/>
      <c r="O18" s="9" t="s">
        <v>500</v>
      </c>
      <c r="P18" s="9"/>
      <c r="Q18" s="73">
        <f t="shared" si="1"/>
        <v>0</v>
      </c>
      <c r="R18" s="74">
        <f t="shared" si="2"/>
        <v>0</v>
      </c>
      <c r="S18" s="74">
        <f t="shared" si="3"/>
        <v>0</v>
      </c>
      <c r="T18" s="73">
        <f t="shared" si="4"/>
        <v>0</v>
      </c>
      <c r="U18" s="74">
        <f t="shared" si="5"/>
        <v>0</v>
      </c>
      <c r="V18" s="74">
        <f t="shared" si="6"/>
        <v>0</v>
      </c>
      <c r="W18" s="72" t="e">
        <f t="shared" si="0"/>
        <v>#DIV/0!</v>
      </c>
      <c r="X18" s="72" t="e">
        <f t="shared" si="0"/>
        <v>#DIV/0!</v>
      </c>
      <c r="Y18" s="72" t="e">
        <f t="shared" si="0"/>
        <v>#DIV/0!</v>
      </c>
      <c r="Z18" s="19" t="s">
        <v>210</v>
      </c>
    </row>
    <row r="19" spans="1:26" s="10" customFormat="1">
      <c r="A19" s="20">
        <v>12</v>
      </c>
      <c r="B19" s="26" t="s">
        <v>209</v>
      </c>
      <c r="C19" s="67">
        <v>10</v>
      </c>
      <c r="D19" s="57"/>
      <c r="E19" s="57"/>
      <c r="F19" s="81">
        <v>0.156</v>
      </c>
      <c r="G19" s="71">
        <v>0.156</v>
      </c>
      <c r="H19" s="15">
        <v>0</v>
      </c>
      <c r="I19" s="9" t="s">
        <v>500</v>
      </c>
      <c r="J19" s="36"/>
      <c r="K19" s="17"/>
      <c r="L19" s="9" t="s">
        <v>500</v>
      </c>
      <c r="M19" s="36"/>
      <c r="N19" s="17"/>
      <c r="O19" s="9" t="s">
        <v>500</v>
      </c>
      <c r="P19" s="9"/>
      <c r="Q19" s="73">
        <f t="shared" si="1"/>
        <v>0</v>
      </c>
      <c r="R19" s="74">
        <f t="shared" si="2"/>
        <v>0</v>
      </c>
      <c r="S19" s="74">
        <f t="shared" si="3"/>
        <v>0</v>
      </c>
      <c r="T19" s="73">
        <f t="shared" si="4"/>
        <v>0</v>
      </c>
      <c r="U19" s="74">
        <f t="shared" si="5"/>
        <v>0</v>
      </c>
      <c r="V19" s="74">
        <f t="shared" si="6"/>
        <v>0</v>
      </c>
      <c r="W19" s="72" t="e">
        <f t="shared" si="0"/>
        <v>#DIV/0!</v>
      </c>
      <c r="X19" s="72" t="e">
        <f t="shared" si="0"/>
        <v>#DIV/0!</v>
      </c>
      <c r="Y19" s="72" t="e">
        <f t="shared" si="0"/>
        <v>#DIV/0!</v>
      </c>
      <c r="Z19" s="19" t="s">
        <v>210</v>
      </c>
    </row>
    <row r="20" spans="1:26" s="10" customFormat="1">
      <c r="A20" s="20">
        <v>13</v>
      </c>
      <c r="B20" s="26" t="s">
        <v>207</v>
      </c>
      <c r="C20" s="67">
        <v>2</v>
      </c>
      <c r="D20" s="57"/>
      <c r="E20" s="57"/>
      <c r="F20" s="81">
        <v>10.3</v>
      </c>
      <c r="G20" s="71">
        <v>10.3</v>
      </c>
      <c r="H20" s="15">
        <v>0</v>
      </c>
      <c r="I20" s="9" t="s">
        <v>500</v>
      </c>
      <c r="J20" s="36"/>
      <c r="K20" s="17"/>
      <c r="L20" s="9" t="s">
        <v>500</v>
      </c>
      <c r="M20" s="36"/>
      <c r="N20" s="17"/>
      <c r="O20" s="9" t="s">
        <v>500</v>
      </c>
      <c r="P20" s="9"/>
      <c r="Q20" s="73">
        <f t="shared" si="1"/>
        <v>0</v>
      </c>
      <c r="R20" s="74">
        <f t="shared" si="2"/>
        <v>0</v>
      </c>
      <c r="S20" s="74">
        <f t="shared" si="3"/>
        <v>0</v>
      </c>
      <c r="T20" s="73">
        <f t="shared" si="4"/>
        <v>0</v>
      </c>
      <c r="U20" s="74">
        <f t="shared" si="5"/>
        <v>0</v>
      </c>
      <c r="V20" s="74">
        <f t="shared" si="6"/>
        <v>0</v>
      </c>
      <c r="W20" s="72" t="e">
        <f t="shared" si="0"/>
        <v>#DIV/0!</v>
      </c>
      <c r="X20" s="72" t="e">
        <f t="shared" si="0"/>
        <v>#DIV/0!</v>
      </c>
      <c r="Y20" s="72" t="e">
        <f t="shared" si="0"/>
        <v>#DIV/0!</v>
      </c>
      <c r="Z20" s="19" t="s">
        <v>208</v>
      </c>
    </row>
    <row r="21" spans="1:26" s="10" customFormat="1">
      <c r="A21" s="20">
        <v>14</v>
      </c>
      <c r="B21" s="26" t="s">
        <v>209</v>
      </c>
      <c r="C21" s="67">
        <v>4</v>
      </c>
      <c r="D21" s="57"/>
      <c r="E21" s="57"/>
      <c r="F21" s="81">
        <v>0.156</v>
      </c>
      <c r="G21" s="71">
        <v>0.156</v>
      </c>
      <c r="H21" s="15">
        <v>0</v>
      </c>
      <c r="I21" s="9" t="s">
        <v>500</v>
      </c>
      <c r="J21" s="36"/>
      <c r="K21" s="17"/>
      <c r="L21" s="9" t="s">
        <v>500</v>
      </c>
      <c r="M21" s="36"/>
      <c r="N21" s="17"/>
      <c r="O21" s="9" t="s">
        <v>500</v>
      </c>
      <c r="P21" s="9"/>
      <c r="Q21" s="73">
        <f t="shared" si="1"/>
        <v>0</v>
      </c>
      <c r="R21" s="74">
        <f t="shared" si="2"/>
        <v>0</v>
      </c>
      <c r="S21" s="74">
        <f t="shared" si="3"/>
        <v>0</v>
      </c>
      <c r="T21" s="73">
        <f t="shared" si="4"/>
        <v>0</v>
      </c>
      <c r="U21" s="74">
        <f t="shared" si="5"/>
        <v>0</v>
      </c>
      <c r="V21" s="74">
        <f t="shared" si="6"/>
        <v>0</v>
      </c>
      <c r="W21" s="72" t="e">
        <f t="shared" si="0"/>
        <v>#DIV/0!</v>
      </c>
      <c r="X21" s="72" t="e">
        <f t="shared" si="0"/>
        <v>#DIV/0!</v>
      </c>
      <c r="Y21" s="72" t="e">
        <f t="shared" si="0"/>
        <v>#DIV/0!</v>
      </c>
      <c r="Z21" s="19" t="s">
        <v>208</v>
      </c>
    </row>
    <row r="22" spans="1:26" s="10" customFormat="1">
      <c r="A22" s="20">
        <v>15</v>
      </c>
      <c r="B22" s="26" t="s">
        <v>207</v>
      </c>
      <c r="C22" s="67">
        <v>2</v>
      </c>
      <c r="D22" s="57"/>
      <c r="E22" s="57"/>
      <c r="F22" s="81">
        <v>10.3</v>
      </c>
      <c r="G22" s="71">
        <v>10.3</v>
      </c>
      <c r="H22" s="15">
        <v>0</v>
      </c>
      <c r="I22" s="9" t="s">
        <v>500</v>
      </c>
      <c r="J22" s="36"/>
      <c r="K22" s="17"/>
      <c r="L22" s="9" t="s">
        <v>500</v>
      </c>
      <c r="M22" s="36"/>
      <c r="N22" s="17"/>
      <c r="O22" s="9" t="s">
        <v>500</v>
      </c>
      <c r="P22" s="9"/>
      <c r="Q22" s="73">
        <f t="shared" si="1"/>
        <v>0</v>
      </c>
      <c r="R22" s="74">
        <f t="shared" si="2"/>
        <v>0</v>
      </c>
      <c r="S22" s="74">
        <f t="shared" si="3"/>
        <v>0</v>
      </c>
      <c r="T22" s="73">
        <f t="shared" si="4"/>
        <v>0</v>
      </c>
      <c r="U22" s="74">
        <f t="shared" si="5"/>
        <v>0</v>
      </c>
      <c r="V22" s="74">
        <f t="shared" si="6"/>
        <v>0</v>
      </c>
      <c r="W22" s="72" t="e">
        <f t="shared" si="0"/>
        <v>#DIV/0!</v>
      </c>
      <c r="X22" s="72" t="e">
        <f t="shared" si="0"/>
        <v>#DIV/0!</v>
      </c>
      <c r="Y22" s="72" t="e">
        <f t="shared" si="0"/>
        <v>#DIV/0!</v>
      </c>
      <c r="Z22" s="19" t="s">
        <v>210</v>
      </c>
    </row>
    <row r="23" spans="1:26" s="10" customFormat="1">
      <c r="A23" s="20">
        <v>16</v>
      </c>
      <c r="B23" s="26" t="s">
        <v>209</v>
      </c>
      <c r="C23" s="67">
        <v>10</v>
      </c>
      <c r="D23" s="42"/>
      <c r="E23" s="42"/>
      <c r="F23" s="81">
        <v>0.156</v>
      </c>
      <c r="G23" s="71">
        <v>0.156</v>
      </c>
      <c r="H23" s="15">
        <v>0</v>
      </c>
      <c r="I23" s="9" t="s">
        <v>500</v>
      </c>
      <c r="J23" s="36"/>
      <c r="K23" s="18"/>
      <c r="L23" s="9" t="s">
        <v>500</v>
      </c>
      <c r="M23" s="36"/>
      <c r="N23" s="18"/>
      <c r="O23" s="9" t="s">
        <v>500</v>
      </c>
      <c r="P23" s="9"/>
      <c r="Q23" s="73">
        <f t="shared" si="1"/>
        <v>0</v>
      </c>
      <c r="R23" s="74">
        <f t="shared" si="2"/>
        <v>0</v>
      </c>
      <c r="S23" s="74">
        <f t="shared" si="3"/>
        <v>0</v>
      </c>
      <c r="T23" s="73">
        <f t="shared" si="4"/>
        <v>0</v>
      </c>
      <c r="U23" s="74">
        <f t="shared" si="5"/>
        <v>0</v>
      </c>
      <c r="V23" s="74">
        <f t="shared" si="6"/>
        <v>0</v>
      </c>
      <c r="W23" s="72" t="e">
        <f t="shared" si="0"/>
        <v>#DIV/0!</v>
      </c>
      <c r="X23" s="72" t="e">
        <f t="shared" si="0"/>
        <v>#DIV/0!</v>
      </c>
      <c r="Y23" s="72" t="e">
        <f t="shared" si="0"/>
        <v>#DIV/0!</v>
      </c>
      <c r="Z23" s="19" t="s">
        <v>210</v>
      </c>
    </row>
    <row r="24" spans="1:26" s="10" customFormat="1">
      <c r="A24" s="20">
        <v>17</v>
      </c>
      <c r="B24" s="26" t="s">
        <v>207</v>
      </c>
      <c r="C24" s="67">
        <v>1</v>
      </c>
      <c r="D24" s="57"/>
      <c r="E24" s="57"/>
      <c r="F24" s="81">
        <v>10.3</v>
      </c>
      <c r="G24" s="71">
        <v>10.3</v>
      </c>
      <c r="H24" s="15">
        <v>0</v>
      </c>
      <c r="I24" s="9" t="s">
        <v>500</v>
      </c>
      <c r="J24" s="36"/>
      <c r="K24" s="17"/>
      <c r="L24" s="9" t="s">
        <v>500</v>
      </c>
      <c r="M24" s="36"/>
      <c r="N24" s="17"/>
      <c r="O24" s="9" t="s">
        <v>500</v>
      </c>
      <c r="P24" s="9"/>
      <c r="Q24" s="73">
        <f t="shared" si="1"/>
        <v>0</v>
      </c>
      <c r="R24" s="74">
        <f t="shared" si="2"/>
        <v>0</v>
      </c>
      <c r="S24" s="74">
        <f t="shared" si="3"/>
        <v>0</v>
      </c>
      <c r="T24" s="73">
        <f t="shared" si="4"/>
        <v>0</v>
      </c>
      <c r="U24" s="74">
        <f t="shared" si="5"/>
        <v>0</v>
      </c>
      <c r="V24" s="74">
        <f t="shared" si="6"/>
        <v>0</v>
      </c>
      <c r="W24" s="72" t="e">
        <f t="shared" si="0"/>
        <v>#DIV/0!</v>
      </c>
      <c r="X24" s="72" t="e">
        <f t="shared" si="0"/>
        <v>#DIV/0!</v>
      </c>
      <c r="Y24" s="72" t="e">
        <f t="shared" si="0"/>
        <v>#DIV/0!</v>
      </c>
      <c r="Z24" s="19" t="s">
        <v>208</v>
      </c>
    </row>
    <row r="25" spans="1:26" s="10" customFormat="1">
      <c r="A25" s="20">
        <v>18</v>
      </c>
      <c r="B25" s="26" t="s">
        <v>209</v>
      </c>
      <c r="C25" s="67">
        <v>2</v>
      </c>
      <c r="D25" s="57"/>
      <c r="E25" s="57"/>
      <c r="F25" s="81">
        <v>9.7000000000000003E-2</v>
      </c>
      <c r="G25" s="71">
        <v>9.7000000000000003E-2</v>
      </c>
      <c r="H25" s="15">
        <v>0</v>
      </c>
      <c r="I25" s="9" t="s">
        <v>500</v>
      </c>
      <c r="J25" s="36"/>
      <c r="K25" s="17"/>
      <c r="L25" s="9" t="s">
        <v>500</v>
      </c>
      <c r="M25" s="36"/>
      <c r="N25" s="17"/>
      <c r="O25" s="9" t="s">
        <v>500</v>
      </c>
      <c r="P25" s="9"/>
      <c r="Q25" s="73">
        <f t="shared" si="1"/>
        <v>0</v>
      </c>
      <c r="R25" s="74">
        <f t="shared" si="2"/>
        <v>0</v>
      </c>
      <c r="S25" s="74">
        <f t="shared" si="3"/>
        <v>0</v>
      </c>
      <c r="T25" s="73">
        <f t="shared" si="4"/>
        <v>0</v>
      </c>
      <c r="U25" s="74">
        <f t="shared" si="5"/>
        <v>0</v>
      </c>
      <c r="V25" s="74">
        <f t="shared" si="6"/>
        <v>0</v>
      </c>
      <c r="W25" s="72" t="e">
        <f t="shared" si="0"/>
        <v>#DIV/0!</v>
      </c>
      <c r="X25" s="72" t="e">
        <f t="shared" si="0"/>
        <v>#DIV/0!</v>
      </c>
      <c r="Y25" s="72" t="e">
        <f t="shared" si="0"/>
        <v>#DIV/0!</v>
      </c>
      <c r="Z25" s="19" t="s">
        <v>208</v>
      </c>
    </row>
    <row r="26" spans="1:26" s="10" customFormat="1">
      <c r="A26" s="20">
        <v>19</v>
      </c>
      <c r="B26" s="26" t="s">
        <v>207</v>
      </c>
      <c r="C26" s="67">
        <v>2</v>
      </c>
      <c r="D26" s="57"/>
      <c r="E26" s="57"/>
      <c r="F26" s="81">
        <v>10.3</v>
      </c>
      <c r="G26" s="71">
        <v>10.3</v>
      </c>
      <c r="H26" s="15">
        <v>0</v>
      </c>
      <c r="I26" s="9" t="s">
        <v>500</v>
      </c>
      <c r="J26" s="36"/>
      <c r="K26" s="17"/>
      <c r="L26" s="9" t="s">
        <v>500</v>
      </c>
      <c r="M26" s="36"/>
      <c r="N26" s="17"/>
      <c r="O26" s="9" t="s">
        <v>500</v>
      </c>
      <c r="P26" s="9"/>
      <c r="Q26" s="73">
        <f t="shared" si="1"/>
        <v>0</v>
      </c>
      <c r="R26" s="74">
        <f t="shared" si="2"/>
        <v>0</v>
      </c>
      <c r="S26" s="74">
        <f t="shared" si="3"/>
        <v>0</v>
      </c>
      <c r="T26" s="73">
        <f t="shared" si="4"/>
        <v>0</v>
      </c>
      <c r="U26" s="74">
        <f t="shared" si="5"/>
        <v>0</v>
      </c>
      <c r="V26" s="74">
        <f t="shared" si="6"/>
        <v>0</v>
      </c>
      <c r="W26" s="72" t="e">
        <f t="shared" si="0"/>
        <v>#DIV/0!</v>
      </c>
      <c r="X26" s="72" t="e">
        <f t="shared" si="0"/>
        <v>#DIV/0!</v>
      </c>
      <c r="Y26" s="72" t="e">
        <f t="shared" si="0"/>
        <v>#DIV/0!</v>
      </c>
      <c r="Z26" s="19" t="s">
        <v>210</v>
      </c>
    </row>
    <row r="27" spans="1:26" s="10" customFormat="1">
      <c r="A27" s="20">
        <v>20</v>
      </c>
      <c r="B27" s="26" t="s">
        <v>209</v>
      </c>
      <c r="C27" s="67">
        <v>14</v>
      </c>
      <c r="D27" s="57"/>
      <c r="E27" s="57"/>
      <c r="F27" s="81">
        <v>9.7000000000000003E-2</v>
      </c>
      <c r="G27" s="71">
        <v>9.7000000000000003E-2</v>
      </c>
      <c r="H27" s="15">
        <v>0</v>
      </c>
      <c r="I27" s="9" t="s">
        <v>500</v>
      </c>
      <c r="J27" s="36"/>
      <c r="K27" s="17"/>
      <c r="L27" s="9" t="s">
        <v>500</v>
      </c>
      <c r="M27" s="36"/>
      <c r="N27" s="17"/>
      <c r="O27" s="9" t="s">
        <v>500</v>
      </c>
      <c r="P27" s="9"/>
      <c r="Q27" s="73">
        <f t="shared" si="1"/>
        <v>0</v>
      </c>
      <c r="R27" s="74">
        <f t="shared" si="2"/>
        <v>0</v>
      </c>
      <c r="S27" s="74">
        <f t="shared" si="3"/>
        <v>0</v>
      </c>
      <c r="T27" s="73">
        <f t="shared" si="4"/>
        <v>0</v>
      </c>
      <c r="U27" s="74">
        <f t="shared" si="5"/>
        <v>0</v>
      </c>
      <c r="V27" s="74">
        <f t="shared" si="6"/>
        <v>0</v>
      </c>
      <c r="W27" s="72" t="e">
        <f t="shared" si="0"/>
        <v>#DIV/0!</v>
      </c>
      <c r="X27" s="72" t="e">
        <f t="shared" si="0"/>
        <v>#DIV/0!</v>
      </c>
      <c r="Y27" s="72" t="e">
        <f t="shared" si="0"/>
        <v>#DIV/0!</v>
      </c>
      <c r="Z27" s="19" t="s">
        <v>210</v>
      </c>
    </row>
    <row r="28" spans="1:26" s="10" customFormat="1">
      <c r="A28" s="23" t="s">
        <v>18</v>
      </c>
      <c r="B28" s="31" t="s">
        <v>211</v>
      </c>
      <c r="C28" s="68"/>
      <c r="D28" s="57"/>
      <c r="E28" s="57"/>
      <c r="F28" s="82"/>
      <c r="G28" s="71"/>
      <c r="H28" s="15"/>
      <c r="I28" s="9" t="s">
        <v>500</v>
      </c>
      <c r="J28" s="36"/>
      <c r="K28" s="17"/>
      <c r="L28" s="9" t="s">
        <v>500</v>
      </c>
      <c r="M28" s="36"/>
      <c r="N28" s="17"/>
      <c r="O28" s="9" t="s">
        <v>500</v>
      </c>
      <c r="P28" s="9"/>
      <c r="Q28" s="73">
        <f t="shared" si="1"/>
        <v>0</v>
      </c>
      <c r="R28" s="74">
        <f t="shared" si="2"/>
        <v>0</v>
      </c>
      <c r="S28" s="74">
        <f t="shared" si="3"/>
        <v>0</v>
      </c>
      <c r="T28" s="73">
        <f t="shared" si="4"/>
        <v>0</v>
      </c>
      <c r="U28" s="74">
        <f t="shared" si="5"/>
        <v>0</v>
      </c>
      <c r="V28" s="74">
        <f t="shared" si="6"/>
        <v>0</v>
      </c>
      <c r="W28" s="72" t="e">
        <f t="shared" si="0"/>
        <v>#DIV/0!</v>
      </c>
      <c r="X28" s="72" t="e">
        <f t="shared" si="0"/>
        <v>#DIV/0!</v>
      </c>
      <c r="Y28" s="72" t="e">
        <f t="shared" si="0"/>
        <v>#DIV/0!</v>
      </c>
      <c r="Z28" s="60"/>
    </row>
    <row r="29" spans="1:26" s="10" customFormat="1">
      <c r="A29" s="20">
        <v>5</v>
      </c>
      <c r="B29" s="26" t="s">
        <v>212</v>
      </c>
      <c r="C29" s="67">
        <v>1</v>
      </c>
      <c r="D29" s="57"/>
      <c r="E29" s="57"/>
      <c r="F29" s="81">
        <v>52.7</v>
      </c>
      <c r="G29" s="71">
        <v>52.7</v>
      </c>
      <c r="H29" s="15"/>
      <c r="I29" s="9" t="s">
        <v>500</v>
      </c>
      <c r="J29" s="36"/>
      <c r="K29" s="17"/>
      <c r="L29" s="9" t="s">
        <v>500</v>
      </c>
      <c r="M29" s="36"/>
      <c r="N29" s="17"/>
      <c r="O29" s="9" t="s">
        <v>500</v>
      </c>
      <c r="P29" s="9"/>
      <c r="Q29" s="73">
        <f t="shared" si="1"/>
        <v>0</v>
      </c>
      <c r="R29" s="74">
        <f t="shared" si="2"/>
        <v>0</v>
      </c>
      <c r="S29" s="74">
        <f t="shared" si="3"/>
        <v>0</v>
      </c>
      <c r="T29" s="73">
        <f t="shared" si="4"/>
        <v>0</v>
      </c>
      <c r="U29" s="74">
        <f t="shared" si="5"/>
        <v>0</v>
      </c>
      <c r="V29" s="74">
        <f t="shared" si="6"/>
        <v>0</v>
      </c>
      <c r="W29" s="72" t="e">
        <f t="shared" si="0"/>
        <v>#DIV/0!</v>
      </c>
      <c r="X29" s="72" t="e">
        <f t="shared" si="0"/>
        <v>#DIV/0!</v>
      </c>
      <c r="Y29" s="72" t="e">
        <f t="shared" si="0"/>
        <v>#DIV/0!</v>
      </c>
      <c r="Z29" s="19" t="s">
        <v>213</v>
      </c>
    </row>
    <row r="30" spans="1:26" s="10" customFormat="1">
      <c r="A30" s="20">
        <v>6</v>
      </c>
      <c r="B30" s="26" t="s">
        <v>209</v>
      </c>
      <c r="C30" s="67">
        <v>2</v>
      </c>
      <c r="D30" s="57"/>
      <c r="E30" s="57"/>
      <c r="F30" s="81">
        <v>0.14399999999999999</v>
      </c>
      <c r="G30" s="71">
        <v>0.14399999999999999</v>
      </c>
      <c r="H30" s="15"/>
      <c r="I30" s="9" t="s">
        <v>500</v>
      </c>
      <c r="J30" s="36"/>
      <c r="K30" s="17"/>
      <c r="L30" s="9" t="s">
        <v>500</v>
      </c>
      <c r="M30" s="36"/>
      <c r="N30" s="17"/>
      <c r="O30" s="9" t="s">
        <v>500</v>
      </c>
      <c r="P30" s="9"/>
      <c r="Q30" s="73">
        <f t="shared" si="1"/>
        <v>0</v>
      </c>
      <c r="R30" s="74">
        <f t="shared" si="2"/>
        <v>0</v>
      </c>
      <c r="S30" s="74">
        <f t="shared" si="3"/>
        <v>0</v>
      </c>
      <c r="T30" s="73">
        <f t="shared" si="4"/>
        <v>0</v>
      </c>
      <c r="U30" s="74">
        <f t="shared" si="5"/>
        <v>0</v>
      </c>
      <c r="V30" s="74">
        <f t="shared" si="6"/>
        <v>0</v>
      </c>
      <c r="W30" s="72" t="e">
        <f t="shared" si="0"/>
        <v>#DIV/0!</v>
      </c>
      <c r="X30" s="72" t="e">
        <f t="shared" si="0"/>
        <v>#DIV/0!</v>
      </c>
      <c r="Y30" s="72" t="e">
        <f t="shared" si="0"/>
        <v>#DIV/0!</v>
      </c>
      <c r="Z30" s="19" t="s">
        <v>210</v>
      </c>
    </row>
    <row r="31" spans="1:26" s="10" customFormat="1">
      <c r="A31" s="23" t="s">
        <v>24</v>
      </c>
      <c r="B31" s="31" t="s">
        <v>214</v>
      </c>
      <c r="C31" s="69"/>
      <c r="D31" s="57"/>
      <c r="E31" s="57"/>
      <c r="F31" s="83"/>
      <c r="G31" s="71"/>
      <c r="H31" s="15"/>
      <c r="I31" s="9" t="s">
        <v>500</v>
      </c>
      <c r="J31" s="36"/>
      <c r="K31" s="17"/>
      <c r="L31" s="9" t="s">
        <v>500</v>
      </c>
      <c r="M31" s="36"/>
      <c r="N31" s="17"/>
      <c r="O31" s="9" t="s">
        <v>500</v>
      </c>
      <c r="P31" s="9"/>
      <c r="Q31" s="73">
        <f t="shared" si="1"/>
        <v>0</v>
      </c>
      <c r="R31" s="74">
        <f t="shared" si="2"/>
        <v>0</v>
      </c>
      <c r="S31" s="74">
        <f t="shared" si="3"/>
        <v>0</v>
      </c>
      <c r="T31" s="73">
        <f t="shared" si="4"/>
        <v>0</v>
      </c>
      <c r="U31" s="74">
        <f t="shared" si="5"/>
        <v>0</v>
      </c>
      <c r="V31" s="74">
        <f t="shared" si="6"/>
        <v>0</v>
      </c>
      <c r="W31" s="72" t="e">
        <f t="shared" si="0"/>
        <v>#DIV/0!</v>
      </c>
      <c r="X31" s="72" t="e">
        <f t="shared" si="0"/>
        <v>#DIV/0!</v>
      </c>
      <c r="Y31" s="72" t="e">
        <f t="shared" si="0"/>
        <v>#DIV/0!</v>
      </c>
      <c r="Z31" s="24"/>
    </row>
    <row r="32" spans="1:26" s="10" customFormat="1">
      <c r="A32" s="20">
        <v>1</v>
      </c>
      <c r="B32" s="26" t="s">
        <v>215</v>
      </c>
      <c r="C32" s="67">
        <v>12</v>
      </c>
      <c r="D32" s="42">
        <v>12</v>
      </c>
      <c r="E32" s="42">
        <v>12</v>
      </c>
      <c r="F32" s="81">
        <v>13.98</v>
      </c>
      <c r="G32" s="71">
        <v>13.98</v>
      </c>
      <c r="H32" s="15">
        <v>8</v>
      </c>
      <c r="I32" s="9" t="s">
        <v>500</v>
      </c>
      <c r="J32" s="36"/>
      <c r="K32" s="15">
        <v>8</v>
      </c>
      <c r="L32" s="9" t="s">
        <v>500</v>
      </c>
      <c r="M32" s="36"/>
      <c r="N32" s="15">
        <v>8</v>
      </c>
      <c r="O32" s="9" t="s">
        <v>500</v>
      </c>
      <c r="P32" s="9"/>
      <c r="Q32" s="73">
        <f t="shared" si="1"/>
        <v>0</v>
      </c>
      <c r="R32" s="74">
        <f t="shared" si="2"/>
        <v>0</v>
      </c>
      <c r="S32" s="74">
        <f t="shared" si="3"/>
        <v>0</v>
      </c>
      <c r="T32" s="73">
        <f t="shared" si="4"/>
        <v>0</v>
      </c>
      <c r="U32" s="74">
        <f t="shared" si="5"/>
        <v>0</v>
      </c>
      <c r="V32" s="74">
        <f t="shared" si="6"/>
        <v>0</v>
      </c>
      <c r="W32" s="72" t="e">
        <f t="shared" si="0"/>
        <v>#DIV/0!</v>
      </c>
      <c r="X32" s="72" t="e">
        <f t="shared" si="0"/>
        <v>#DIV/0!</v>
      </c>
      <c r="Y32" s="72" t="e">
        <f t="shared" si="0"/>
        <v>#DIV/0!</v>
      </c>
      <c r="Z32" s="19" t="s">
        <v>210</v>
      </c>
    </row>
    <row r="33" spans="1:26" s="10" customFormat="1">
      <c r="A33" s="20">
        <v>2</v>
      </c>
      <c r="B33" s="26" t="s">
        <v>209</v>
      </c>
      <c r="C33" s="67">
        <v>15</v>
      </c>
      <c r="D33" s="57">
        <v>20</v>
      </c>
      <c r="E33" s="57">
        <v>20</v>
      </c>
      <c r="F33" s="81">
        <v>0.156</v>
      </c>
      <c r="G33" s="71">
        <v>0.156</v>
      </c>
      <c r="H33" s="15">
        <v>8</v>
      </c>
      <c r="I33" s="9" t="s">
        <v>500</v>
      </c>
      <c r="J33" s="36"/>
      <c r="K33" s="15">
        <v>8</v>
      </c>
      <c r="L33" s="9" t="s">
        <v>500</v>
      </c>
      <c r="M33" s="36"/>
      <c r="N33" s="15">
        <v>8</v>
      </c>
      <c r="O33" s="9" t="s">
        <v>500</v>
      </c>
      <c r="P33" s="9"/>
      <c r="Q33" s="73">
        <f t="shared" si="1"/>
        <v>0</v>
      </c>
      <c r="R33" s="74">
        <f t="shared" si="2"/>
        <v>0</v>
      </c>
      <c r="S33" s="74">
        <f t="shared" si="3"/>
        <v>0</v>
      </c>
      <c r="T33" s="73">
        <f t="shared" si="4"/>
        <v>0</v>
      </c>
      <c r="U33" s="74">
        <f t="shared" si="5"/>
        <v>0</v>
      </c>
      <c r="V33" s="74">
        <f t="shared" si="6"/>
        <v>0</v>
      </c>
      <c r="W33" s="72" t="e">
        <f t="shared" si="0"/>
        <v>#DIV/0!</v>
      </c>
      <c r="X33" s="72" t="e">
        <f t="shared" si="0"/>
        <v>#DIV/0!</v>
      </c>
      <c r="Y33" s="72" t="e">
        <f t="shared" si="0"/>
        <v>#DIV/0!</v>
      </c>
      <c r="Z33" s="19" t="s">
        <v>210</v>
      </c>
    </row>
    <row r="34" spans="1:26" s="10" customFormat="1">
      <c r="A34" s="20">
        <v>3</v>
      </c>
      <c r="B34" s="26" t="s">
        <v>215</v>
      </c>
      <c r="C34" s="67">
        <v>4</v>
      </c>
      <c r="D34" s="57">
        <v>4</v>
      </c>
      <c r="E34" s="57">
        <v>4</v>
      </c>
      <c r="F34" s="81">
        <v>13.98</v>
      </c>
      <c r="G34" s="71">
        <v>13.98</v>
      </c>
      <c r="H34" s="15">
        <v>8</v>
      </c>
      <c r="I34" s="9" t="s">
        <v>500</v>
      </c>
      <c r="J34" s="36"/>
      <c r="K34" s="15">
        <v>8</v>
      </c>
      <c r="L34" s="9" t="s">
        <v>500</v>
      </c>
      <c r="M34" s="36"/>
      <c r="N34" s="15">
        <v>8</v>
      </c>
      <c r="O34" s="9" t="s">
        <v>500</v>
      </c>
      <c r="P34" s="9"/>
      <c r="Q34" s="73">
        <f t="shared" si="1"/>
        <v>0</v>
      </c>
      <c r="R34" s="74">
        <f t="shared" si="2"/>
        <v>0</v>
      </c>
      <c r="S34" s="74">
        <f t="shared" si="3"/>
        <v>0</v>
      </c>
      <c r="T34" s="73">
        <f t="shared" si="4"/>
        <v>0</v>
      </c>
      <c r="U34" s="74">
        <f t="shared" si="5"/>
        <v>0</v>
      </c>
      <c r="V34" s="74">
        <f t="shared" si="6"/>
        <v>0</v>
      </c>
      <c r="W34" s="72" t="e">
        <f t="shared" si="0"/>
        <v>#DIV/0!</v>
      </c>
      <c r="X34" s="72" t="e">
        <f t="shared" si="0"/>
        <v>#DIV/0!</v>
      </c>
      <c r="Y34" s="72" t="e">
        <f t="shared" si="0"/>
        <v>#DIV/0!</v>
      </c>
      <c r="Z34" s="19" t="s">
        <v>208</v>
      </c>
    </row>
    <row r="35" spans="1:26" s="10" customFormat="1">
      <c r="A35" s="20">
        <v>4</v>
      </c>
      <c r="B35" s="26" t="s">
        <v>209</v>
      </c>
      <c r="C35" s="67">
        <v>4</v>
      </c>
      <c r="D35" s="57">
        <v>4</v>
      </c>
      <c r="E35" s="57">
        <v>4</v>
      </c>
      <c r="F35" s="81">
        <v>0.156</v>
      </c>
      <c r="G35" s="71">
        <v>0.156</v>
      </c>
      <c r="H35" s="15">
        <v>8</v>
      </c>
      <c r="I35" s="9" t="s">
        <v>500</v>
      </c>
      <c r="J35" s="36"/>
      <c r="K35" s="15">
        <v>8</v>
      </c>
      <c r="L35" s="9" t="s">
        <v>500</v>
      </c>
      <c r="M35" s="36"/>
      <c r="N35" s="15">
        <v>8</v>
      </c>
      <c r="O35" s="9" t="s">
        <v>500</v>
      </c>
      <c r="P35" s="9"/>
      <c r="Q35" s="73">
        <f t="shared" si="1"/>
        <v>0</v>
      </c>
      <c r="R35" s="74">
        <f t="shared" si="2"/>
        <v>0</v>
      </c>
      <c r="S35" s="74">
        <f t="shared" si="3"/>
        <v>0</v>
      </c>
      <c r="T35" s="73">
        <f t="shared" si="4"/>
        <v>0</v>
      </c>
      <c r="U35" s="74">
        <f t="shared" si="5"/>
        <v>0</v>
      </c>
      <c r="V35" s="74">
        <f t="shared" si="6"/>
        <v>0</v>
      </c>
      <c r="W35" s="72" t="e">
        <f t="shared" si="0"/>
        <v>#DIV/0!</v>
      </c>
      <c r="X35" s="72" t="e">
        <f t="shared" si="0"/>
        <v>#DIV/0!</v>
      </c>
      <c r="Y35" s="72" t="e">
        <f t="shared" si="0"/>
        <v>#DIV/0!</v>
      </c>
      <c r="Z35" s="19" t="s">
        <v>208</v>
      </c>
    </row>
    <row r="36" spans="1:26" s="10" customFormat="1">
      <c r="A36" s="20">
        <v>5</v>
      </c>
      <c r="B36" s="26" t="s">
        <v>290</v>
      </c>
      <c r="C36" s="67">
        <v>1</v>
      </c>
      <c r="D36" s="57">
        <v>2</v>
      </c>
      <c r="E36" s="57">
        <v>2</v>
      </c>
      <c r="F36" s="81">
        <v>5.2</v>
      </c>
      <c r="G36" s="71">
        <v>5.2</v>
      </c>
      <c r="H36" s="15">
        <v>8</v>
      </c>
      <c r="I36" s="9" t="s">
        <v>500</v>
      </c>
      <c r="J36" s="36"/>
      <c r="K36" s="15">
        <v>8</v>
      </c>
      <c r="L36" s="9" t="s">
        <v>500</v>
      </c>
      <c r="M36" s="36"/>
      <c r="N36" s="15">
        <v>8</v>
      </c>
      <c r="O36" s="9" t="s">
        <v>500</v>
      </c>
      <c r="P36" s="9"/>
      <c r="Q36" s="73">
        <f t="shared" si="1"/>
        <v>0</v>
      </c>
      <c r="R36" s="74">
        <f t="shared" si="2"/>
        <v>0</v>
      </c>
      <c r="S36" s="74">
        <f t="shared" si="3"/>
        <v>0</v>
      </c>
      <c r="T36" s="73">
        <f t="shared" si="4"/>
        <v>0</v>
      </c>
      <c r="U36" s="74">
        <f t="shared" si="5"/>
        <v>0</v>
      </c>
      <c r="V36" s="74">
        <f t="shared" si="6"/>
        <v>0</v>
      </c>
      <c r="W36" s="72" t="e">
        <f t="shared" si="0"/>
        <v>#DIV/0!</v>
      </c>
      <c r="X36" s="72" t="e">
        <f t="shared" si="0"/>
        <v>#DIV/0!</v>
      </c>
      <c r="Y36" s="72" t="e">
        <f t="shared" si="0"/>
        <v>#DIV/0!</v>
      </c>
      <c r="Z36" s="19" t="s">
        <v>208</v>
      </c>
    </row>
    <row r="37" spans="1:26" s="10" customFormat="1">
      <c r="A37" s="20">
        <v>6</v>
      </c>
      <c r="B37" s="26" t="s">
        <v>291</v>
      </c>
      <c r="C37" s="67">
        <v>1</v>
      </c>
      <c r="D37" s="57"/>
      <c r="E37" s="57"/>
      <c r="F37" s="81"/>
      <c r="G37" s="71"/>
      <c r="H37" s="15"/>
      <c r="I37" s="9" t="s">
        <v>500</v>
      </c>
      <c r="J37" s="36"/>
      <c r="K37" s="15"/>
      <c r="L37" s="9" t="s">
        <v>500</v>
      </c>
      <c r="M37" s="36"/>
      <c r="N37" s="15"/>
      <c r="O37" s="9" t="s">
        <v>500</v>
      </c>
      <c r="P37" s="9"/>
      <c r="Q37" s="73">
        <f t="shared" si="1"/>
        <v>0</v>
      </c>
      <c r="R37" s="74">
        <f t="shared" si="2"/>
        <v>0</v>
      </c>
      <c r="S37" s="74">
        <f t="shared" si="3"/>
        <v>0</v>
      </c>
      <c r="T37" s="73">
        <f t="shared" si="4"/>
        <v>0</v>
      </c>
      <c r="U37" s="74">
        <f t="shared" si="5"/>
        <v>0</v>
      </c>
      <c r="V37" s="74">
        <f t="shared" si="6"/>
        <v>0</v>
      </c>
      <c r="W37" s="72" t="e">
        <f t="shared" si="0"/>
        <v>#DIV/0!</v>
      </c>
      <c r="X37" s="72" t="e">
        <f t="shared" si="0"/>
        <v>#DIV/0!</v>
      </c>
      <c r="Y37" s="72" t="e">
        <f t="shared" si="0"/>
        <v>#DIV/0!</v>
      </c>
      <c r="Z37" s="19"/>
    </row>
    <row r="38" spans="1:26" s="10" customFormat="1">
      <c r="A38" s="23" t="s">
        <v>30</v>
      </c>
      <c r="B38" s="50" t="s">
        <v>216</v>
      </c>
      <c r="C38" s="67"/>
      <c r="D38" s="57"/>
      <c r="E38" s="57"/>
      <c r="F38" s="81"/>
      <c r="G38" s="71"/>
      <c r="H38" s="15"/>
      <c r="I38" s="9" t="s">
        <v>500</v>
      </c>
      <c r="J38" s="36"/>
      <c r="K38" s="17"/>
      <c r="L38" s="9" t="s">
        <v>500</v>
      </c>
      <c r="M38" s="36"/>
      <c r="N38" s="17"/>
      <c r="O38" s="9" t="s">
        <v>500</v>
      </c>
      <c r="P38" s="9"/>
      <c r="Q38" s="73">
        <f t="shared" si="1"/>
        <v>0</v>
      </c>
      <c r="R38" s="74">
        <f t="shared" si="2"/>
        <v>0</v>
      </c>
      <c r="S38" s="74">
        <f t="shared" si="3"/>
        <v>0</v>
      </c>
      <c r="T38" s="73">
        <f t="shared" si="4"/>
        <v>0</v>
      </c>
      <c r="U38" s="74">
        <f t="shared" si="5"/>
        <v>0</v>
      </c>
      <c r="V38" s="74">
        <f t="shared" si="6"/>
        <v>0</v>
      </c>
      <c r="W38" s="72" t="e">
        <f t="shared" si="0"/>
        <v>#DIV/0!</v>
      </c>
      <c r="X38" s="72" t="e">
        <f t="shared" si="0"/>
        <v>#DIV/0!</v>
      </c>
      <c r="Y38" s="72" t="e">
        <f t="shared" si="0"/>
        <v>#DIV/0!</v>
      </c>
      <c r="Z38" s="29"/>
    </row>
    <row r="39" spans="1:26" s="10" customFormat="1">
      <c r="A39" s="20">
        <v>1</v>
      </c>
      <c r="B39" s="26" t="s">
        <v>217</v>
      </c>
      <c r="C39" s="67">
        <v>2</v>
      </c>
      <c r="D39" s="58">
        <v>1</v>
      </c>
      <c r="E39" s="58">
        <v>1</v>
      </c>
      <c r="F39" s="81">
        <v>11.3</v>
      </c>
      <c r="G39" s="71">
        <v>11.3</v>
      </c>
      <c r="H39" s="15"/>
      <c r="I39" s="9" t="s">
        <v>500</v>
      </c>
      <c r="J39" s="36"/>
      <c r="K39" s="65"/>
      <c r="L39" s="9" t="s">
        <v>500</v>
      </c>
      <c r="M39" s="36"/>
      <c r="N39" s="65"/>
      <c r="O39" s="9" t="s">
        <v>500</v>
      </c>
      <c r="P39" s="9"/>
      <c r="Q39" s="73">
        <f t="shared" si="1"/>
        <v>0</v>
      </c>
      <c r="R39" s="74">
        <f t="shared" si="2"/>
        <v>0</v>
      </c>
      <c r="S39" s="74">
        <f t="shared" si="3"/>
        <v>0</v>
      </c>
      <c r="T39" s="73">
        <f t="shared" si="4"/>
        <v>0</v>
      </c>
      <c r="U39" s="74">
        <f t="shared" si="5"/>
        <v>0</v>
      </c>
      <c r="V39" s="74">
        <f t="shared" si="6"/>
        <v>0</v>
      </c>
      <c r="W39" s="72" t="e">
        <f t="shared" si="0"/>
        <v>#DIV/0!</v>
      </c>
      <c r="X39" s="72" t="e">
        <f t="shared" si="0"/>
        <v>#DIV/0!</v>
      </c>
      <c r="Y39" s="72" t="e">
        <f t="shared" si="0"/>
        <v>#DIV/0!</v>
      </c>
      <c r="Z39" s="19" t="s">
        <v>210</v>
      </c>
    </row>
    <row r="40" spans="1:26" s="10" customFormat="1">
      <c r="A40" s="20">
        <v>2</v>
      </c>
      <c r="B40" s="26" t="s">
        <v>209</v>
      </c>
      <c r="C40" s="67">
        <v>10</v>
      </c>
      <c r="D40" s="57">
        <v>5</v>
      </c>
      <c r="E40" s="57">
        <v>5</v>
      </c>
      <c r="F40" s="81">
        <v>0.156</v>
      </c>
      <c r="G40" s="71">
        <v>0.156</v>
      </c>
      <c r="H40" s="15"/>
      <c r="I40" s="9" t="s">
        <v>500</v>
      </c>
      <c r="J40" s="36"/>
      <c r="K40" s="17"/>
      <c r="L40" s="9" t="s">
        <v>500</v>
      </c>
      <c r="M40" s="36"/>
      <c r="N40" s="17"/>
      <c r="O40" s="9" t="s">
        <v>500</v>
      </c>
      <c r="P40" s="9"/>
      <c r="Q40" s="73">
        <f t="shared" si="1"/>
        <v>0</v>
      </c>
      <c r="R40" s="74">
        <f t="shared" si="2"/>
        <v>0</v>
      </c>
      <c r="S40" s="74">
        <f t="shared" si="3"/>
        <v>0</v>
      </c>
      <c r="T40" s="73">
        <f t="shared" si="4"/>
        <v>0</v>
      </c>
      <c r="U40" s="74">
        <f t="shared" si="5"/>
        <v>0</v>
      </c>
      <c r="V40" s="74">
        <f t="shared" si="6"/>
        <v>0</v>
      </c>
      <c r="W40" s="72" t="e">
        <f t="shared" si="0"/>
        <v>#DIV/0!</v>
      </c>
      <c r="X40" s="72" t="e">
        <f t="shared" si="0"/>
        <v>#DIV/0!</v>
      </c>
      <c r="Y40" s="72" t="e">
        <f t="shared" si="0"/>
        <v>#DIV/0!</v>
      </c>
      <c r="Z40" s="19" t="s">
        <v>210</v>
      </c>
    </row>
    <row r="41" spans="1:26" s="10" customFormat="1">
      <c r="A41" s="20">
        <v>3</v>
      </c>
      <c r="B41" s="26" t="s">
        <v>217</v>
      </c>
      <c r="C41" s="67">
        <v>1</v>
      </c>
      <c r="D41" s="57"/>
      <c r="E41" s="57"/>
      <c r="F41" s="81">
        <v>11.3</v>
      </c>
      <c r="G41" s="71">
        <v>11.3</v>
      </c>
      <c r="H41" s="15">
        <v>8</v>
      </c>
      <c r="I41" s="9" t="s">
        <v>500</v>
      </c>
      <c r="J41" s="36"/>
      <c r="K41" s="17"/>
      <c r="L41" s="9" t="s">
        <v>500</v>
      </c>
      <c r="M41" s="36"/>
      <c r="N41" s="17"/>
      <c r="O41" s="9" t="s">
        <v>500</v>
      </c>
      <c r="P41" s="9"/>
      <c r="Q41" s="73">
        <f t="shared" si="1"/>
        <v>0</v>
      </c>
      <c r="R41" s="74">
        <f t="shared" si="2"/>
        <v>0</v>
      </c>
      <c r="S41" s="74">
        <f t="shared" si="3"/>
        <v>0</v>
      </c>
      <c r="T41" s="73">
        <f t="shared" si="4"/>
        <v>0</v>
      </c>
      <c r="U41" s="74">
        <f t="shared" si="5"/>
        <v>0</v>
      </c>
      <c r="V41" s="74">
        <f t="shared" si="6"/>
        <v>0</v>
      </c>
      <c r="W41" s="72" t="e">
        <f t="shared" si="0"/>
        <v>#DIV/0!</v>
      </c>
      <c r="X41" s="72" t="e">
        <f t="shared" si="0"/>
        <v>#DIV/0!</v>
      </c>
      <c r="Y41" s="72" t="e">
        <f t="shared" si="0"/>
        <v>#DIV/0!</v>
      </c>
      <c r="Z41" s="19" t="s">
        <v>208</v>
      </c>
    </row>
    <row r="42" spans="1:26" s="10" customFormat="1">
      <c r="A42" s="20">
        <v>4</v>
      </c>
      <c r="B42" s="26" t="s">
        <v>209</v>
      </c>
      <c r="C42" s="67">
        <v>2</v>
      </c>
      <c r="D42" s="57"/>
      <c r="E42" s="57"/>
      <c r="F42" s="81">
        <v>0.156</v>
      </c>
      <c r="G42" s="71">
        <v>0.156</v>
      </c>
      <c r="H42" s="15">
        <v>8</v>
      </c>
      <c r="I42" s="9" t="s">
        <v>500</v>
      </c>
      <c r="J42" s="36"/>
      <c r="K42" s="17"/>
      <c r="L42" s="9" t="s">
        <v>500</v>
      </c>
      <c r="M42" s="36"/>
      <c r="N42" s="17"/>
      <c r="O42" s="9" t="s">
        <v>500</v>
      </c>
      <c r="P42" s="9"/>
      <c r="Q42" s="73">
        <f t="shared" si="1"/>
        <v>0</v>
      </c>
      <c r="R42" s="74">
        <f t="shared" si="2"/>
        <v>0</v>
      </c>
      <c r="S42" s="74">
        <f t="shared" si="3"/>
        <v>0</v>
      </c>
      <c r="T42" s="73">
        <f t="shared" si="4"/>
        <v>0</v>
      </c>
      <c r="U42" s="74">
        <f t="shared" si="5"/>
        <v>0</v>
      </c>
      <c r="V42" s="74">
        <f t="shared" si="6"/>
        <v>0</v>
      </c>
      <c r="W42" s="72" t="e">
        <f t="shared" si="0"/>
        <v>#DIV/0!</v>
      </c>
      <c r="X42" s="72" t="e">
        <f t="shared" si="0"/>
        <v>#DIV/0!</v>
      </c>
      <c r="Y42" s="72" t="e">
        <f t="shared" si="0"/>
        <v>#DIV/0!</v>
      </c>
      <c r="Z42" s="19" t="s">
        <v>208</v>
      </c>
    </row>
    <row r="43" spans="1:26" s="10" customFormat="1">
      <c r="A43" s="23" t="s">
        <v>39</v>
      </c>
      <c r="B43" s="33" t="s">
        <v>218</v>
      </c>
      <c r="C43" s="69"/>
      <c r="D43" s="57"/>
      <c r="E43" s="57"/>
      <c r="F43" s="83"/>
      <c r="G43" s="71"/>
      <c r="H43" s="15"/>
      <c r="I43" s="9" t="s">
        <v>500</v>
      </c>
      <c r="J43" s="36"/>
      <c r="K43" s="17"/>
      <c r="L43" s="9" t="s">
        <v>500</v>
      </c>
      <c r="M43" s="36"/>
      <c r="N43" s="17"/>
      <c r="O43" s="9" t="s">
        <v>500</v>
      </c>
      <c r="P43" s="9"/>
      <c r="Q43" s="73">
        <f t="shared" si="1"/>
        <v>0</v>
      </c>
      <c r="R43" s="74">
        <f t="shared" si="2"/>
        <v>0</v>
      </c>
      <c r="S43" s="74">
        <f t="shared" si="3"/>
        <v>0</v>
      </c>
      <c r="T43" s="73">
        <f t="shared" si="4"/>
        <v>0</v>
      </c>
      <c r="U43" s="74">
        <f t="shared" si="5"/>
        <v>0</v>
      </c>
      <c r="V43" s="74">
        <f t="shared" si="6"/>
        <v>0</v>
      </c>
      <c r="W43" s="72" t="e">
        <f t="shared" si="0"/>
        <v>#DIV/0!</v>
      </c>
      <c r="X43" s="72" t="e">
        <f t="shared" si="0"/>
        <v>#DIV/0!</v>
      </c>
      <c r="Y43" s="72" t="e">
        <f t="shared" si="0"/>
        <v>#DIV/0!</v>
      </c>
      <c r="Z43" s="24"/>
    </row>
    <row r="44" spans="1:26" s="10" customFormat="1">
      <c r="A44" s="20">
        <v>1</v>
      </c>
      <c r="B44" s="26" t="s">
        <v>212</v>
      </c>
      <c r="C44" s="67">
        <v>2</v>
      </c>
      <c r="D44" s="57">
        <v>1</v>
      </c>
      <c r="E44" s="57">
        <v>1</v>
      </c>
      <c r="F44" s="81">
        <v>52.7</v>
      </c>
      <c r="G44" s="71">
        <v>52.7</v>
      </c>
      <c r="H44" s="15"/>
      <c r="I44" s="9" t="s">
        <v>500</v>
      </c>
      <c r="J44" s="36"/>
      <c r="K44" s="17">
        <v>8</v>
      </c>
      <c r="L44" s="9" t="s">
        <v>500</v>
      </c>
      <c r="M44" s="36"/>
      <c r="N44" s="17">
        <v>8</v>
      </c>
      <c r="O44" s="9" t="s">
        <v>500</v>
      </c>
      <c r="P44" s="9"/>
      <c r="Q44" s="73">
        <f t="shared" si="1"/>
        <v>0</v>
      </c>
      <c r="R44" s="74">
        <f t="shared" si="2"/>
        <v>0</v>
      </c>
      <c r="S44" s="74">
        <f t="shared" si="3"/>
        <v>0</v>
      </c>
      <c r="T44" s="73">
        <f t="shared" si="4"/>
        <v>0</v>
      </c>
      <c r="U44" s="74">
        <f t="shared" si="5"/>
        <v>0</v>
      </c>
      <c r="V44" s="74">
        <f t="shared" si="6"/>
        <v>0</v>
      </c>
      <c r="W44" s="72" t="e">
        <f t="shared" ref="W44:Y46" si="7">T44/Q44</f>
        <v>#DIV/0!</v>
      </c>
      <c r="X44" s="72" t="e">
        <f t="shared" si="7"/>
        <v>#DIV/0!</v>
      </c>
      <c r="Y44" s="72" t="e">
        <f t="shared" si="7"/>
        <v>#DIV/0!</v>
      </c>
      <c r="Z44" s="19" t="s">
        <v>208</v>
      </c>
    </row>
    <row r="45" spans="1:26" s="10" customFormat="1">
      <c r="A45" s="20">
        <v>2</v>
      </c>
      <c r="B45" s="26" t="s">
        <v>209</v>
      </c>
      <c r="C45" s="67">
        <v>2</v>
      </c>
      <c r="D45" s="57">
        <v>2</v>
      </c>
      <c r="E45" s="57">
        <v>2</v>
      </c>
      <c r="F45" s="81">
        <v>0.14399999999999999</v>
      </c>
      <c r="G45" s="71">
        <v>0.14399999999999999</v>
      </c>
      <c r="H45" s="15"/>
      <c r="I45" s="9" t="s">
        <v>500</v>
      </c>
      <c r="J45" s="36"/>
      <c r="K45" s="17">
        <v>8</v>
      </c>
      <c r="L45" s="9" t="s">
        <v>500</v>
      </c>
      <c r="M45" s="36"/>
      <c r="N45" s="17">
        <v>8</v>
      </c>
      <c r="O45" s="9" t="s">
        <v>500</v>
      </c>
      <c r="P45" s="9"/>
      <c r="Q45" s="73">
        <f t="shared" si="1"/>
        <v>0</v>
      </c>
      <c r="R45" s="74">
        <f t="shared" si="2"/>
        <v>0</v>
      </c>
      <c r="S45" s="74">
        <f t="shared" si="3"/>
        <v>0</v>
      </c>
      <c r="T45" s="73">
        <f t="shared" si="4"/>
        <v>0</v>
      </c>
      <c r="U45" s="74">
        <f t="shared" si="5"/>
        <v>0</v>
      </c>
      <c r="V45" s="74">
        <f t="shared" si="6"/>
        <v>0</v>
      </c>
      <c r="W45" s="72" t="e">
        <f t="shared" si="7"/>
        <v>#DIV/0!</v>
      </c>
      <c r="X45" s="72" t="e">
        <f t="shared" si="7"/>
        <v>#DIV/0!</v>
      </c>
      <c r="Y45" s="72" t="e">
        <f t="shared" si="7"/>
        <v>#DIV/0!</v>
      </c>
      <c r="Z45" s="19" t="s">
        <v>208</v>
      </c>
    </row>
    <row r="46" spans="1:26" s="10" customFormat="1">
      <c r="A46" s="20">
        <v>3</v>
      </c>
      <c r="B46" s="26" t="s">
        <v>219</v>
      </c>
      <c r="C46" s="67">
        <v>6</v>
      </c>
      <c r="D46" s="57">
        <v>6</v>
      </c>
      <c r="E46" s="57">
        <v>6</v>
      </c>
      <c r="F46" s="81">
        <v>4.12</v>
      </c>
      <c r="G46" s="71">
        <v>4.12</v>
      </c>
      <c r="H46" s="15"/>
      <c r="I46" s="9" t="s">
        <v>500</v>
      </c>
      <c r="J46" s="36"/>
      <c r="K46" s="17">
        <v>8</v>
      </c>
      <c r="L46" s="9" t="s">
        <v>500</v>
      </c>
      <c r="M46" s="36"/>
      <c r="N46" s="17">
        <v>8</v>
      </c>
      <c r="O46" s="9" t="s">
        <v>500</v>
      </c>
      <c r="P46" s="9"/>
      <c r="Q46" s="73">
        <f t="shared" si="1"/>
        <v>0</v>
      </c>
      <c r="R46" s="74">
        <f t="shared" si="2"/>
        <v>0</v>
      </c>
      <c r="S46" s="74">
        <f t="shared" si="3"/>
        <v>0</v>
      </c>
      <c r="T46" s="73">
        <f t="shared" si="4"/>
        <v>0</v>
      </c>
      <c r="U46" s="74">
        <f t="shared" si="5"/>
        <v>0</v>
      </c>
      <c r="V46" s="74">
        <f t="shared" si="6"/>
        <v>0</v>
      </c>
      <c r="W46" s="72" t="e">
        <f t="shared" si="7"/>
        <v>#DIV/0!</v>
      </c>
      <c r="X46" s="72" t="e">
        <f t="shared" si="7"/>
        <v>#DIV/0!</v>
      </c>
      <c r="Y46" s="72" t="e">
        <f t="shared" si="7"/>
        <v>#DIV/0!</v>
      </c>
      <c r="Z46" s="19" t="s">
        <v>208</v>
      </c>
    </row>
    <row r="47" spans="1:26" s="10" customFormat="1">
      <c r="A47" s="20">
        <v>4</v>
      </c>
      <c r="B47" s="26" t="s">
        <v>220</v>
      </c>
      <c r="C47" s="67">
        <v>4</v>
      </c>
      <c r="D47" s="58"/>
      <c r="E47" s="58"/>
      <c r="F47" s="81">
        <v>3.67</v>
      </c>
      <c r="G47" s="71">
        <v>3.67</v>
      </c>
      <c r="H47" s="15"/>
      <c r="I47" s="9" t="s">
        <v>500</v>
      </c>
      <c r="J47" s="36"/>
      <c r="K47" s="65"/>
      <c r="L47" s="9" t="s">
        <v>500</v>
      </c>
      <c r="M47" s="36"/>
      <c r="N47" s="65"/>
      <c r="O47" s="9" t="s">
        <v>500</v>
      </c>
      <c r="P47" s="9"/>
      <c r="Q47" s="73">
        <f t="shared" si="1"/>
        <v>0</v>
      </c>
      <c r="R47" s="74">
        <f t="shared" si="2"/>
        <v>0</v>
      </c>
      <c r="S47" s="74">
        <f t="shared" si="3"/>
        <v>0</v>
      </c>
      <c r="T47" s="73">
        <f t="shared" si="4"/>
        <v>0</v>
      </c>
      <c r="U47" s="74">
        <f t="shared" si="5"/>
        <v>0</v>
      </c>
      <c r="V47" s="74">
        <f t="shared" si="6"/>
        <v>0</v>
      </c>
      <c r="W47" s="72" t="e">
        <f t="shared" ref="W47:W52" si="8">T47/Q47</f>
        <v>#DIV/0!</v>
      </c>
      <c r="X47" s="72" t="e">
        <f t="shared" ref="X47:X52" si="9">U47/R47</f>
        <v>#DIV/0!</v>
      </c>
      <c r="Y47" s="72" t="e">
        <f t="shared" ref="Y47:Y52" si="10">V47/S47</f>
        <v>#DIV/0!</v>
      </c>
      <c r="Z47" s="19" t="s">
        <v>210</v>
      </c>
    </row>
    <row r="48" spans="1:26" s="10" customFormat="1">
      <c r="A48" s="61" t="s">
        <v>44</v>
      </c>
      <c r="B48" s="31" t="s">
        <v>221</v>
      </c>
      <c r="C48" s="69"/>
      <c r="D48" s="57"/>
      <c r="E48" s="57"/>
      <c r="F48" s="83"/>
      <c r="G48" s="71"/>
      <c r="H48" s="15"/>
      <c r="I48" s="9" t="s">
        <v>500</v>
      </c>
      <c r="J48" s="36"/>
      <c r="K48" s="17"/>
      <c r="L48" s="9" t="s">
        <v>500</v>
      </c>
      <c r="M48" s="36"/>
      <c r="N48" s="17"/>
      <c r="O48" s="9" t="s">
        <v>500</v>
      </c>
      <c r="P48" s="9"/>
      <c r="Q48" s="73">
        <f>C48*F48*H48*J48</f>
        <v>0</v>
      </c>
      <c r="R48" s="74">
        <f>D48*F48*K48*M48</f>
        <v>0</v>
      </c>
      <c r="S48" s="74">
        <f>E48*F48*N48*P48</f>
        <v>0</v>
      </c>
      <c r="T48" s="73">
        <f>C48*G48*H48*J48</f>
        <v>0</v>
      </c>
      <c r="U48" s="74">
        <f>D48*G48*K48*M48</f>
        <v>0</v>
      </c>
      <c r="V48" s="74">
        <f>E48*G48*N48*P48</f>
        <v>0</v>
      </c>
      <c r="W48" s="72" t="e">
        <f t="shared" si="8"/>
        <v>#DIV/0!</v>
      </c>
      <c r="X48" s="72" t="e">
        <f t="shared" si="9"/>
        <v>#DIV/0!</v>
      </c>
      <c r="Y48" s="72" t="e">
        <f t="shared" si="10"/>
        <v>#DIV/0!</v>
      </c>
      <c r="Z48" s="24"/>
    </row>
    <row r="49" spans="1:26" s="10" customFormat="1">
      <c r="A49" s="20">
        <v>1</v>
      </c>
      <c r="B49" s="26" t="s">
        <v>217</v>
      </c>
      <c r="C49" s="67">
        <v>2</v>
      </c>
      <c r="D49" s="57"/>
      <c r="E49" s="57"/>
      <c r="F49" s="81">
        <v>11.3</v>
      </c>
      <c r="G49" s="71">
        <v>11.3</v>
      </c>
      <c r="H49" s="15"/>
      <c r="I49" s="9" t="s">
        <v>500</v>
      </c>
      <c r="J49" s="36"/>
      <c r="K49" s="17"/>
      <c r="L49" s="9" t="s">
        <v>500</v>
      </c>
      <c r="M49" s="36"/>
      <c r="N49" s="17"/>
      <c r="O49" s="9" t="s">
        <v>500</v>
      </c>
      <c r="P49" s="9"/>
      <c r="Q49" s="73">
        <f>C49*F49*H49*J49</f>
        <v>0</v>
      </c>
      <c r="R49" s="74">
        <f>D49*F49*K49*M49</f>
        <v>0</v>
      </c>
      <c r="S49" s="74">
        <f>E49*F49*N49*P49</f>
        <v>0</v>
      </c>
      <c r="T49" s="73">
        <f>C49*G49*H49*J49</f>
        <v>0</v>
      </c>
      <c r="U49" s="74">
        <f>D49*G49*K49*M49</f>
        <v>0</v>
      </c>
      <c r="V49" s="74">
        <f>E49*G49*N49*P49</f>
        <v>0</v>
      </c>
      <c r="W49" s="72" t="e">
        <f t="shared" si="8"/>
        <v>#DIV/0!</v>
      </c>
      <c r="X49" s="72" t="e">
        <f t="shared" si="9"/>
        <v>#DIV/0!</v>
      </c>
      <c r="Y49" s="72" t="e">
        <f t="shared" si="10"/>
        <v>#DIV/0!</v>
      </c>
      <c r="Z49" s="19" t="s">
        <v>210</v>
      </c>
    </row>
    <row r="50" spans="1:26" s="10" customFormat="1">
      <c r="A50" s="20">
        <v>2</v>
      </c>
      <c r="B50" s="26" t="s">
        <v>209</v>
      </c>
      <c r="C50" s="67">
        <v>6</v>
      </c>
      <c r="D50" s="57"/>
      <c r="E50" s="57"/>
      <c r="F50" s="81">
        <v>0.156</v>
      </c>
      <c r="G50" s="71">
        <v>0.156</v>
      </c>
      <c r="H50" s="15"/>
      <c r="I50" s="9" t="s">
        <v>500</v>
      </c>
      <c r="J50" s="36"/>
      <c r="K50" s="17"/>
      <c r="L50" s="9" t="s">
        <v>500</v>
      </c>
      <c r="M50" s="36"/>
      <c r="N50" s="17"/>
      <c r="O50" s="9" t="s">
        <v>500</v>
      </c>
      <c r="P50" s="9"/>
      <c r="Q50" s="73">
        <f>C50*F50*H50*J50</f>
        <v>0</v>
      </c>
      <c r="R50" s="74">
        <f>D50*F50*K50*M50</f>
        <v>0</v>
      </c>
      <c r="S50" s="74">
        <f>E50*F50*N50*P50</f>
        <v>0</v>
      </c>
      <c r="T50" s="73">
        <f>C50*G50*H50*J50</f>
        <v>0</v>
      </c>
      <c r="U50" s="74">
        <f>D50*G50*K50*M50</f>
        <v>0</v>
      </c>
      <c r="V50" s="74">
        <f>E50*G50*N50*P50</f>
        <v>0</v>
      </c>
      <c r="W50" s="72" t="e">
        <f t="shared" si="8"/>
        <v>#DIV/0!</v>
      </c>
      <c r="X50" s="72" t="e">
        <f t="shared" si="9"/>
        <v>#DIV/0!</v>
      </c>
      <c r="Y50" s="72" t="e">
        <f t="shared" si="10"/>
        <v>#DIV/0!</v>
      </c>
      <c r="Z50" s="19" t="s">
        <v>210</v>
      </c>
    </row>
    <row r="51" spans="1:26" s="10" customFormat="1">
      <c r="A51" s="61" t="s">
        <v>47</v>
      </c>
      <c r="B51" s="31" t="s">
        <v>288</v>
      </c>
      <c r="C51" s="69"/>
      <c r="D51" s="57"/>
      <c r="E51" s="57"/>
      <c r="F51" s="83"/>
      <c r="G51" s="71"/>
      <c r="H51" s="15"/>
      <c r="I51" s="9" t="s">
        <v>500</v>
      </c>
      <c r="J51" s="36"/>
      <c r="K51" s="17"/>
      <c r="L51" s="9" t="s">
        <v>500</v>
      </c>
      <c r="M51" s="36"/>
      <c r="N51" s="17"/>
      <c r="O51" s="9" t="s">
        <v>500</v>
      </c>
      <c r="P51" s="9"/>
      <c r="Q51" s="73">
        <f>C51*F51*H51*J51</f>
        <v>0</v>
      </c>
      <c r="R51" s="74">
        <f>D51*F51*K51*M51</f>
        <v>0</v>
      </c>
      <c r="S51" s="74">
        <f>E51*F51*N51*P51</f>
        <v>0</v>
      </c>
      <c r="T51" s="73">
        <f>C51*G51*H51*J51</f>
        <v>0</v>
      </c>
      <c r="U51" s="74">
        <f>D51*G51*K51*M51</f>
        <v>0</v>
      </c>
      <c r="V51" s="74">
        <f>E51*G51*N51*P51</f>
        <v>0</v>
      </c>
      <c r="W51" s="72" t="e">
        <f t="shared" si="8"/>
        <v>#DIV/0!</v>
      </c>
      <c r="X51" s="72" t="e">
        <f t="shared" si="9"/>
        <v>#DIV/0!</v>
      </c>
      <c r="Y51" s="72" t="e">
        <f t="shared" si="10"/>
        <v>#DIV/0!</v>
      </c>
      <c r="Z51" s="24"/>
    </row>
    <row r="52" spans="1:26" s="10" customFormat="1">
      <c r="A52" s="20">
        <v>1</v>
      </c>
      <c r="B52" s="30" t="s">
        <v>289</v>
      </c>
      <c r="C52" s="70">
        <v>2</v>
      </c>
      <c r="D52" s="57">
        <v>2</v>
      </c>
      <c r="E52" s="57">
        <v>2</v>
      </c>
      <c r="F52" s="81">
        <v>4.12</v>
      </c>
      <c r="G52" s="71">
        <v>4.12</v>
      </c>
      <c r="H52" s="15">
        <v>6</v>
      </c>
      <c r="I52" s="9" t="s">
        <v>500</v>
      </c>
      <c r="J52" s="36"/>
      <c r="K52" s="17">
        <v>6</v>
      </c>
      <c r="L52" s="9" t="s">
        <v>500</v>
      </c>
      <c r="M52" s="36"/>
      <c r="N52" s="17">
        <v>6</v>
      </c>
      <c r="O52" s="9" t="s">
        <v>500</v>
      </c>
      <c r="P52" s="9"/>
      <c r="Q52" s="73">
        <f>C52*F52*H52*J52</f>
        <v>0</v>
      </c>
      <c r="R52" s="74">
        <f>D52*F52*K52*M52</f>
        <v>0</v>
      </c>
      <c r="S52" s="74">
        <f>E52*F52*N52*P52</f>
        <v>0</v>
      </c>
      <c r="T52" s="73">
        <f>C52*G52*H52*J52</f>
        <v>0</v>
      </c>
      <c r="U52" s="74">
        <f>D52*G52*K52*M52</f>
        <v>0</v>
      </c>
      <c r="V52" s="74">
        <f>E52*G52*N52*P52</f>
        <v>0</v>
      </c>
      <c r="W52" s="72" t="e">
        <f t="shared" si="8"/>
        <v>#DIV/0!</v>
      </c>
      <c r="X52" s="72" t="e">
        <f t="shared" si="9"/>
        <v>#DIV/0!</v>
      </c>
      <c r="Y52" s="72" t="e">
        <f t="shared" si="10"/>
        <v>#DIV/0!</v>
      </c>
      <c r="Z52" s="19" t="s">
        <v>208</v>
      </c>
    </row>
    <row r="53" spans="1:26" s="2" customFormat="1" ht="24.75" customHeight="1">
      <c r="A53" s="6"/>
      <c r="B53" s="755" t="s">
        <v>7</v>
      </c>
      <c r="C53" s="756"/>
      <c r="D53" s="756"/>
      <c r="E53" s="756"/>
      <c r="F53" s="756"/>
      <c r="G53" s="756"/>
      <c r="H53" s="756"/>
      <c r="I53" s="756"/>
      <c r="J53" s="756"/>
      <c r="K53" s="756"/>
      <c r="L53" s="756"/>
      <c r="M53" s="756"/>
      <c r="N53" s="756"/>
      <c r="O53" s="756"/>
      <c r="P53" s="756"/>
      <c r="Q53" s="85"/>
      <c r="R53" s="85"/>
      <c r="S53" s="85"/>
      <c r="T53" s="85"/>
      <c r="U53" s="85"/>
      <c r="V53" s="85"/>
      <c r="W53" s="85"/>
      <c r="X53" s="85"/>
      <c r="Y53" s="85"/>
      <c r="Z53" s="62"/>
    </row>
  </sheetData>
  <mergeCells count="14">
    <mergeCell ref="K4:M4"/>
    <mergeCell ref="N4:P4"/>
    <mergeCell ref="A1:Z1"/>
    <mergeCell ref="B53:P53"/>
    <mergeCell ref="A3:A4"/>
    <mergeCell ref="B3:B4"/>
    <mergeCell ref="F3:F4"/>
    <mergeCell ref="C3:E3"/>
    <mergeCell ref="Q3:S3"/>
    <mergeCell ref="G3:G4"/>
    <mergeCell ref="H3:P3"/>
    <mergeCell ref="H4:J4"/>
    <mergeCell ref="T3:V3"/>
    <mergeCell ref="W3:Y3"/>
  </mergeCells>
  <pageMargins left="0.92" right="0.7" top="0.75" bottom="0.75" header="0.3" footer="0.3"/>
  <pageSetup paperSize="9" scale="6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9"/>
  <sheetViews>
    <sheetView showZeros="0" topLeftCell="C1" zoomScale="70" zoomScaleNormal="70" workbookViewId="0">
      <pane ySplit="4" topLeftCell="A5" activePane="bottomLeft" state="frozen"/>
      <selection pane="bottomLeft" activeCell="Q1" sqref="Q1:Y1048576"/>
    </sheetView>
  </sheetViews>
  <sheetFormatPr defaultColWidth="8.85546875" defaultRowHeight="15"/>
  <cols>
    <col min="1" max="1" width="9" style="53" customWidth="1"/>
    <col min="2" max="2" width="37.5703125" style="39" customWidth="1"/>
    <col min="3" max="3" width="10.42578125" style="39" customWidth="1"/>
    <col min="4" max="4" width="11.42578125" style="39" bestFit="1" customWidth="1"/>
    <col min="5" max="5" width="10.42578125" style="39" customWidth="1"/>
    <col min="6" max="7" width="15.42578125" style="39" customWidth="1"/>
    <col min="8" max="8" width="11.42578125" style="53" customWidth="1"/>
    <col min="9" max="10" width="20.85546875" style="53" customWidth="1"/>
    <col min="11" max="15" width="20.85546875" style="39" customWidth="1"/>
    <col min="16" max="16" width="12.85546875" style="39" customWidth="1"/>
    <col min="17" max="17" width="13.7109375" style="1" bestFit="1" customWidth="1"/>
    <col min="18" max="19" width="13.7109375" style="39" bestFit="1" customWidth="1"/>
    <col min="20" max="20" width="13.7109375" style="1" bestFit="1" customWidth="1"/>
    <col min="21" max="22" width="13.7109375" style="39" bestFit="1" customWidth="1"/>
    <col min="23" max="23" width="13.7109375" style="1" bestFit="1" customWidth="1"/>
    <col min="24" max="25" width="13.7109375" style="39" bestFit="1" customWidth="1"/>
    <col min="26" max="16384" width="8.85546875" style="39"/>
  </cols>
  <sheetData>
    <row r="1" spans="1:25" s="10" customFormat="1" ht="14.25">
      <c r="A1" s="52" t="s">
        <v>0</v>
      </c>
      <c r="B1" s="38"/>
      <c r="C1" s="38"/>
      <c r="D1" s="38"/>
      <c r="E1" s="38"/>
      <c r="F1" s="38"/>
      <c r="G1" s="38"/>
      <c r="H1" s="52"/>
      <c r="I1" s="52"/>
      <c r="J1" s="52"/>
      <c r="K1" s="38"/>
      <c r="L1" s="38"/>
      <c r="M1" s="38"/>
      <c r="N1" s="38"/>
      <c r="O1" s="38"/>
      <c r="P1" s="38"/>
      <c r="Q1" s="4"/>
      <c r="R1" s="38"/>
      <c r="S1" s="38"/>
      <c r="T1" s="4"/>
      <c r="U1" s="38"/>
      <c r="V1" s="38"/>
      <c r="W1" s="4"/>
      <c r="X1" s="38"/>
      <c r="Y1" s="38"/>
    </row>
    <row r="3" spans="1:25" ht="35.25" customHeight="1">
      <c r="A3" s="757" t="s">
        <v>1</v>
      </c>
      <c r="B3" s="757" t="s">
        <v>2</v>
      </c>
      <c r="C3" s="759" t="s">
        <v>3</v>
      </c>
      <c r="D3" s="759"/>
      <c r="E3" s="760"/>
      <c r="F3" s="757" t="s">
        <v>8</v>
      </c>
      <c r="G3" s="761" t="s">
        <v>497</v>
      </c>
      <c r="H3" s="762" t="s">
        <v>499</v>
      </c>
      <c r="I3" s="759"/>
      <c r="J3" s="759"/>
      <c r="K3" s="759"/>
      <c r="L3" s="759"/>
      <c r="M3" s="759"/>
      <c r="N3" s="759"/>
      <c r="O3" s="759"/>
      <c r="P3" s="760"/>
      <c r="Q3" s="761" t="s">
        <v>501</v>
      </c>
      <c r="R3" s="761"/>
      <c r="S3" s="761"/>
      <c r="T3" s="761" t="s">
        <v>502</v>
      </c>
      <c r="U3" s="761"/>
      <c r="V3" s="761"/>
      <c r="W3" s="761" t="s">
        <v>503</v>
      </c>
      <c r="X3" s="761"/>
      <c r="Y3" s="761"/>
    </row>
    <row r="4" spans="1:25" ht="49.5" customHeight="1">
      <c r="A4" s="758"/>
      <c r="B4" s="758"/>
      <c r="C4" s="48" t="s">
        <v>484</v>
      </c>
      <c r="D4" s="48" t="s">
        <v>485</v>
      </c>
      <c r="E4" s="48" t="s">
        <v>486</v>
      </c>
      <c r="F4" s="758"/>
      <c r="G4" s="761"/>
      <c r="H4" s="750" t="s">
        <v>484</v>
      </c>
      <c r="I4" s="751"/>
      <c r="J4" s="752"/>
      <c r="K4" s="750" t="s">
        <v>485</v>
      </c>
      <c r="L4" s="751"/>
      <c r="M4" s="752"/>
      <c r="N4" s="753" t="s">
        <v>486</v>
      </c>
      <c r="O4" s="753"/>
      <c r="P4" s="753"/>
      <c r="Q4" s="40" t="s">
        <v>484</v>
      </c>
      <c r="R4" s="40" t="s">
        <v>485</v>
      </c>
      <c r="S4" s="40" t="s">
        <v>486</v>
      </c>
      <c r="T4" s="40" t="s">
        <v>484</v>
      </c>
      <c r="U4" s="40" t="s">
        <v>485</v>
      </c>
      <c r="V4" s="40" t="s">
        <v>486</v>
      </c>
      <c r="W4" s="40" t="s">
        <v>484</v>
      </c>
      <c r="X4" s="40" t="s">
        <v>485</v>
      </c>
      <c r="Y4" s="40" t="s">
        <v>486</v>
      </c>
    </row>
    <row r="5" spans="1:25" ht="69.75" customHeight="1">
      <c r="A5" s="49"/>
      <c r="B5" s="49"/>
      <c r="C5" s="48"/>
      <c r="D5" s="48"/>
      <c r="E5" s="48"/>
      <c r="F5" s="49"/>
      <c r="G5" s="48"/>
      <c r="H5" s="48" t="s">
        <v>498</v>
      </c>
      <c r="I5" s="48" t="s">
        <v>496</v>
      </c>
      <c r="J5" s="48" t="s">
        <v>5</v>
      </c>
      <c r="K5" s="48" t="s">
        <v>498</v>
      </c>
      <c r="L5" s="48" t="s">
        <v>496</v>
      </c>
      <c r="M5" s="48" t="s">
        <v>5</v>
      </c>
      <c r="N5" s="48" t="s">
        <v>498</v>
      </c>
      <c r="O5" s="48" t="s">
        <v>496</v>
      </c>
      <c r="P5" s="48" t="s">
        <v>5</v>
      </c>
      <c r="Q5" s="40"/>
      <c r="R5" s="8"/>
      <c r="S5" s="8"/>
      <c r="T5" s="40"/>
      <c r="U5" s="8"/>
      <c r="V5" s="8"/>
      <c r="W5" s="40"/>
      <c r="X5" s="8"/>
      <c r="Y5" s="8"/>
    </row>
    <row r="6" spans="1:25" s="10" customFormat="1" ht="15.75">
      <c r="A6" s="13">
        <v>1</v>
      </c>
      <c r="B6" s="13">
        <v>2</v>
      </c>
      <c r="C6" s="22"/>
      <c r="D6" s="22"/>
      <c r="E6" s="22"/>
      <c r="F6" s="13">
        <v>5</v>
      </c>
      <c r="G6" s="13"/>
      <c r="H6" s="13"/>
      <c r="I6" s="22"/>
      <c r="J6" s="22"/>
      <c r="K6" s="22"/>
      <c r="L6" s="22"/>
      <c r="M6" s="22"/>
      <c r="N6" s="22"/>
      <c r="O6" s="22"/>
      <c r="P6" s="22"/>
      <c r="Q6" s="5"/>
      <c r="R6" s="22"/>
      <c r="S6" s="22"/>
      <c r="T6" s="5"/>
      <c r="U6" s="22"/>
      <c r="V6" s="22"/>
      <c r="W6" s="5"/>
      <c r="X6" s="22"/>
      <c r="Y6" s="22"/>
    </row>
    <row r="7" spans="1:25" s="10" customFormat="1">
      <c r="A7" s="23" t="s">
        <v>6</v>
      </c>
      <c r="B7" s="25" t="s">
        <v>222</v>
      </c>
      <c r="C7" s="29"/>
      <c r="D7" s="18"/>
      <c r="E7" s="18"/>
      <c r="F7" s="71"/>
      <c r="G7" s="71"/>
      <c r="H7" s="12"/>
      <c r="I7" s="54"/>
      <c r="J7" s="54"/>
      <c r="K7" s="18"/>
      <c r="L7" s="18"/>
      <c r="M7" s="18"/>
      <c r="N7" s="18"/>
      <c r="O7" s="54"/>
      <c r="P7" s="54"/>
      <c r="Q7" s="18"/>
      <c r="R7" s="18"/>
      <c r="S7" s="18"/>
      <c r="T7" s="18"/>
      <c r="U7" s="18"/>
      <c r="V7" s="18"/>
      <c r="W7" s="18"/>
      <c r="X7" s="18"/>
      <c r="Y7" s="18"/>
    </row>
    <row r="8" spans="1:25" s="10" customFormat="1">
      <c r="A8" s="20">
        <v>1</v>
      </c>
      <c r="B8" s="7" t="s">
        <v>401</v>
      </c>
      <c r="C8" s="29">
        <v>1</v>
      </c>
      <c r="D8" s="17">
        <v>1</v>
      </c>
      <c r="E8" s="17">
        <v>1</v>
      </c>
      <c r="F8" s="71">
        <v>4.12</v>
      </c>
      <c r="G8" s="71"/>
      <c r="H8" s="20">
        <v>10</v>
      </c>
      <c r="I8" s="9" t="s">
        <v>500</v>
      </c>
      <c r="J8" s="15"/>
      <c r="K8" s="17">
        <v>24</v>
      </c>
      <c r="L8" s="9" t="s">
        <v>500</v>
      </c>
      <c r="M8" s="17"/>
      <c r="N8" s="17">
        <v>24</v>
      </c>
      <c r="O8" s="9" t="s">
        <v>500</v>
      </c>
      <c r="P8" s="17"/>
      <c r="Q8" s="73">
        <f>C8*F8*H8*J8</f>
        <v>0</v>
      </c>
      <c r="R8" s="74">
        <f>D8*F8*K8*M8</f>
        <v>0</v>
      </c>
      <c r="S8" s="74">
        <f>E8*F8*N8*P8</f>
        <v>0</v>
      </c>
      <c r="T8" s="73">
        <f>C8*G8*H8*J8</f>
        <v>0</v>
      </c>
      <c r="U8" s="74">
        <f>D8*G8*K8*M8</f>
        <v>0</v>
      </c>
      <c r="V8" s="74">
        <f>E8*G8*N8*P8</f>
        <v>0</v>
      </c>
      <c r="W8" s="72" t="e">
        <f t="shared" ref="W8:Y43" si="0">T8/Q8</f>
        <v>#DIV/0!</v>
      </c>
      <c r="X8" s="72" t="e">
        <f t="shared" si="0"/>
        <v>#DIV/0!</v>
      </c>
      <c r="Y8" s="72" t="e">
        <f t="shared" si="0"/>
        <v>#DIV/0!</v>
      </c>
    </row>
    <row r="9" spans="1:25" s="10" customFormat="1">
      <c r="A9" s="23" t="s">
        <v>18</v>
      </c>
      <c r="B9" s="25" t="s">
        <v>221</v>
      </c>
      <c r="C9" s="29"/>
      <c r="D9" s="17"/>
      <c r="E9" s="17"/>
      <c r="F9" s="71"/>
      <c r="G9" s="71"/>
      <c r="H9" s="20"/>
      <c r="I9" s="9" t="s">
        <v>500</v>
      </c>
      <c r="J9" s="15"/>
      <c r="K9" s="17"/>
      <c r="L9" s="9" t="s">
        <v>500</v>
      </c>
      <c r="M9" s="17"/>
      <c r="N9" s="17"/>
      <c r="O9" s="9" t="s">
        <v>500</v>
      </c>
      <c r="P9" s="17"/>
      <c r="Q9" s="73">
        <f t="shared" ref="Q9:Q48" si="1">C9*F9*H9*J9</f>
        <v>0</v>
      </c>
      <c r="R9" s="74">
        <f t="shared" ref="R9:R48" si="2">D9*F9*K9*M9</f>
        <v>0</v>
      </c>
      <c r="S9" s="74">
        <f t="shared" ref="S9:S48" si="3">E9*F9*N9*P9</f>
        <v>0</v>
      </c>
      <c r="T9" s="73">
        <f t="shared" ref="T9:T48" si="4">C9*G9*H9*J9</f>
        <v>0</v>
      </c>
      <c r="U9" s="74">
        <f t="shared" ref="U9:U48" si="5">D9*G9*K9*M9</f>
        <v>0</v>
      </c>
      <c r="V9" s="74">
        <f t="shared" ref="V9:V48" si="6">E9*G9*N9*P9</f>
        <v>0</v>
      </c>
      <c r="W9" s="72" t="e">
        <f t="shared" si="0"/>
        <v>#DIV/0!</v>
      </c>
      <c r="X9" s="72" t="e">
        <f t="shared" si="0"/>
        <v>#DIV/0!</v>
      </c>
      <c r="Y9" s="72" t="e">
        <f t="shared" si="0"/>
        <v>#DIV/0!</v>
      </c>
    </row>
    <row r="10" spans="1:25" s="10" customFormat="1">
      <c r="A10" s="20">
        <v>1</v>
      </c>
      <c r="B10" s="7" t="s">
        <v>401</v>
      </c>
      <c r="C10" s="29">
        <v>1</v>
      </c>
      <c r="D10" s="17">
        <v>1</v>
      </c>
      <c r="E10" s="17">
        <v>1</v>
      </c>
      <c r="F10" s="71">
        <v>4.12</v>
      </c>
      <c r="G10" s="71"/>
      <c r="H10" s="20">
        <v>10</v>
      </c>
      <c r="I10" s="9" t="s">
        <v>500</v>
      </c>
      <c r="J10" s="15"/>
      <c r="K10" s="17">
        <v>24</v>
      </c>
      <c r="L10" s="9" t="s">
        <v>500</v>
      </c>
      <c r="M10" s="17"/>
      <c r="N10" s="17">
        <v>24</v>
      </c>
      <c r="O10" s="9" t="s">
        <v>500</v>
      </c>
      <c r="P10" s="17"/>
      <c r="Q10" s="73">
        <f t="shared" si="1"/>
        <v>0</v>
      </c>
      <c r="R10" s="74">
        <f t="shared" si="2"/>
        <v>0</v>
      </c>
      <c r="S10" s="74">
        <f t="shared" si="3"/>
        <v>0</v>
      </c>
      <c r="T10" s="73">
        <f t="shared" si="4"/>
        <v>0</v>
      </c>
      <c r="U10" s="74">
        <f t="shared" si="5"/>
        <v>0</v>
      </c>
      <c r="V10" s="74">
        <f t="shared" si="6"/>
        <v>0</v>
      </c>
      <c r="W10" s="72" t="e">
        <f t="shared" si="0"/>
        <v>#DIV/0!</v>
      </c>
      <c r="X10" s="72" t="e">
        <f t="shared" si="0"/>
        <v>#DIV/0!</v>
      </c>
      <c r="Y10" s="72" t="e">
        <f t="shared" si="0"/>
        <v>#DIV/0!</v>
      </c>
    </row>
    <row r="11" spans="1:25" s="10" customFormat="1">
      <c r="A11" s="23" t="s">
        <v>24</v>
      </c>
      <c r="B11" s="25" t="s">
        <v>214</v>
      </c>
      <c r="C11" s="29"/>
      <c r="D11" s="17"/>
      <c r="E11" s="17"/>
      <c r="F11" s="71"/>
      <c r="G11" s="71"/>
      <c r="H11" s="20"/>
      <c r="I11" s="9" t="s">
        <v>500</v>
      </c>
      <c r="J11" s="15"/>
      <c r="K11" s="17"/>
      <c r="L11" s="9" t="s">
        <v>500</v>
      </c>
      <c r="M11" s="17"/>
      <c r="N11" s="17"/>
      <c r="O11" s="9" t="s">
        <v>500</v>
      </c>
      <c r="P11" s="17"/>
      <c r="Q11" s="73">
        <f t="shared" si="1"/>
        <v>0</v>
      </c>
      <c r="R11" s="74">
        <f t="shared" si="2"/>
        <v>0</v>
      </c>
      <c r="S11" s="74">
        <f t="shared" si="3"/>
        <v>0</v>
      </c>
      <c r="T11" s="73">
        <f t="shared" si="4"/>
        <v>0</v>
      </c>
      <c r="U11" s="74">
        <f t="shared" si="5"/>
        <v>0</v>
      </c>
      <c r="V11" s="74">
        <f t="shared" si="6"/>
        <v>0</v>
      </c>
      <c r="W11" s="72" t="e">
        <f t="shared" si="0"/>
        <v>#DIV/0!</v>
      </c>
      <c r="X11" s="72" t="e">
        <f t="shared" si="0"/>
        <v>#DIV/0!</v>
      </c>
      <c r="Y11" s="72" t="e">
        <f t="shared" si="0"/>
        <v>#DIV/0!</v>
      </c>
    </row>
    <row r="12" spans="1:25" s="10" customFormat="1">
      <c r="A12" s="20">
        <v>1</v>
      </c>
      <c r="B12" s="7" t="s">
        <v>402</v>
      </c>
      <c r="C12" s="29">
        <v>1</v>
      </c>
      <c r="D12" s="17">
        <v>1</v>
      </c>
      <c r="E12" s="17">
        <v>1</v>
      </c>
      <c r="F12" s="71">
        <v>0.72</v>
      </c>
      <c r="G12" s="71"/>
      <c r="H12" s="20">
        <v>10</v>
      </c>
      <c r="I12" s="9" t="s">
        <v>500</v>
      </c>
      <c r="J12" s="15"/>
      <c r="K12" s="17">
        <v>10</v>
      </c>
      <c r="L12" s="9" t="s">
        <v>500</v>
      </c>
      <c r="M12" s="17"/>
      <c r="N12" s="17">
        <v>10</v>
      </c>
      <c r="O12" s="9" t="s">
        <v>500</v>
      </c>
      <c r="P12" s="17"/>
      <c r="Q12" s="73">
        <f t="shared" si="1"/>
        <v>0</v>
      </c>
      <c r="R12" s="74">
        <f t="shared" si="2"/>
        <v>0</v>
      </c>
      <c r="S12" s="74">
        <f t="shared" si="3"/>
        <v>0</v>
      </c>
      <c r="T12" s="73">
        <f t="shared" si="4"/>
        <v>0</v>
      </c>
      <c r="U12" s="74">
        <f t="shared" si="5"/>
        <v>0</v>
      </c>
      <c r="V12" s="74">
        <f t="shared" si="6"/>
        <v>0</v>
      </c>
      <c r="W12" s="72" t="e">
        <f t="shared" si="0"/>
        <v>#DIV/0!</v>
      </c>
      <c r="X12" s="72" t="e">
        <f t="shared" si="0"/>
        <v>#DIV/0!</v>
      </c>
      <c r="Y12" s="72" t="e">
        <f t="shared" si="0"/>
        <v>#DIV/0!</v>
      </c>
    </row>
    <row r="13" spans="1:25" s="10" customFormat="1">
      <c r="A13" s="20">
        <v>2</v>
      </c>
      <c r="B13" s="7" t="s">
        <v>402</v>
      </c>
      <c r="C13" s="29">
        <v>1</v>
      </c>
      <c r="D13" s="17">
        <v>1</v>
      </c>
      <c r="E13" s="17">
        <v>1</v>
      </c>
      <c r="F13" s="71">
        <v>0.72</v>
      </c>
      <c r="G13" s="71"/>
      <c r="H13" s="20">
        <v>10</v>
      </c>
      <c r="I13" s="9" t="s">
        <v>500</v>
      </c>
      <c r="J13" s="15"/>
      <c r="K13" s="17">
        <v>10</v>
      </c>
      <c r="L13" s="9" t="s">
        <v>500</v>
      </c>
      <c r="M13" s="17"/>
      <c r="N13" s="17">
        <v>10</v>
      </c>
      <c r="O13" s="9" t="s">
        <v>500</v>
      </c>
      <c r="P13" s="17"/>
      <c r="Q13" s="73">
        <f t="shared" si="1"/>
        <v>0</v>
      </c>
      <c r="R13" s="74">
        <f t="shared" si="2"/>
        <v>0</v>
      </c>
      <c r="S13" s="74">
        <f t="shared" si="3"/>
        <v>0</v>
      </c>
      <c r="T13" s="73">
        <f t="shared" si="4"/>
        <v>0</v>
      </c>
      <c r="U13" s="74">
        <f t="shared" si="5"/>
        <v>0</v>
      </c>
      <c r="V13" s="74">
        <f t="shared" si="6"/>
        <v>0</v>
      </c>
      <c r="W13" s="72" t="e">
        <f t="shared" si="0"/>
        <v>#DIV/0!</v>
      </c>
      <c r="X13" s="72" t="e">
        <f t="shared" si="0"/>
        <v>#DIV/0!</v>
      </c>
      <c r="Y13" s="72" t="e">
        <f t="shared" si="0"/>
        <v>#DIV/0!</v>
      </c>
    </row>
    <row r="14" spans="1:25" s="10" customFormat="1">
      <c r="A14" s="20">
        <v>3</v>
      </c>
      <c r="B14" s="7" t="s">
        <v>403</v>
      </c>
      <c r="C14" s="29">
        <v>1</v>
      </c>
      <c r="D14" s="17">
        <v>1</v>
      </c>
      <c r="E14" s="17">
        <v>1</v>
      </c>
      <c r="F14" s="71">
        <v>1.65</v>
      </c>
      <c r="G14" s="71"/>
      <c r="H14" s="20">
        <v>10</v>
      </c>
      <c r="I14" s="9" t="s">
        <v>500</v>
      </c>
      <c r="J14" s="15"/>
      <c r="K14" s="17">
        <v>10</v>
      </c>
      <c r="L14" s="9" t="s">
        <v>500</v>
      </c>
      <c r="M14" s="17"/>
      <c r="N14" s="17">
        <v>10</v>
      </c>
      <c r="O14" s="9" t="s">
        <v>500</v>
      </c>
      <c r="P14" s="17"/>
      <c r="Q14" s="73">
        <f t="shared" si="1"/>
        <v>0</v>
      </c>
      <c r="R14" s="74">
        <f t="shared" si="2"/>
        <v>0</v>
      </c>
      <c r="S14" s="74">
        <f t="shared" si="3"/>
        <v>0</v>
      </c>
      <c r="T14" s="73">
        <f t="shared" si="4"/>
        <v>0</v>
      </c>
      <c r="U14" s="74">
        <f t="shared" si="5"/>
        <v>0</v>
      </c>
      <c r="V14" s="74">
        <f t="shared" si="6"/>
        <v>0</v>
      </c>
      <c r="W14" s="72" t="e">
        <f t="shared" si="0"/>
        <v>#DIV/0!</v>
      </c>
      <c r="X14" s="72" t="e">
        <f t="shared" si="0"/>
        <v>#DIV/0!</v>
      </c>
      <c r="Y14" s="72" t="e">
        <f t="shared" si="0"/>
        <v>#DIV/0!</v>
      </c>
    </row>
    <row r="15" spans="1:25" s="10" customFormat="1">
      <c r="A15" s="20">
        <v>4</v>
      </c>
      <c r="B15" s="7" t="s">
        <v>403</v>
      </c>
      <c r="C15" s="29">
        <v>1</v>
      </c>
      <c r="D15" s="17">
        <v>1</v>
      </c>
      <c r="E15" s="17">
        <v>1</v>
      </c>
      <c r="F15" s="71">
        <v>1.65</v>
      </c>
      <c r="G15" s="71"/>
      <c r="H15" s="20">
        <v>10</v>
      </c>
      <c r="I15" s="9" t="s">
        <v>500</v>
      </c>
      <c r="J15" s="15"/>
      <c r="K15" s="17">
        <v>10</v>
      </c>
      <c r="L15" s="9" t="s">
        <v>500</v>
      </c>
      <c r="M15" s="17"/>
      <c r="N15" s="17">
        <v>10</v>
      </c>
      <c r="O15" s="9" t="s">
        <v>500</v>
      </c>
      <c r="P15" s="17"/>
      <c r="Q15" s="73">
        <f t="shared" si="1"/>
        <v>0</v>
      </c>
      <c r="R15" s="74">
        <f t="shared" si="2"/>
        <v>0</v>
      </c>
      <c r="S15" s="74">
        <f t="shared" si="3"/>
        <v>0</v>
      </c>
      <c r="T15" s="73">
        <f t="shared" si="4"/>
        <v>0</v>
      </c>
      <c r="U15" s="74">
        <f t="shared" si="5"/>
        <v>0</v>
      </c>
      <c r="V15" s="74">
        <f t="shared" si="6"/>
        <v>0</v>
      </c>
      <c r="W15" s="72" t="e">
        <f t="shared" si="0"/>
        <v>#DIV/0!</v>
      </c>
      <c r="X15" s="72" t="e">
        <f t="shared" si="0"/>
        <v>#DIV/0!</v>
      </c>
      <c r="Y15" s="72" t="e">
        <f t="shared" si="0"/>
        <v>#DIV/0!</v>
      </c>
    </row>
    <row r="16" spans="1:25" s="10" customFormat="1">
      <c r="A16" s="23" t="s">
        <v>30</v>
      </c>
      <c r="B16" s="25" t="s">
        <v>223</v>
      </c>
      <c r="C16" s="29">
        <v>1</v>
      </c>
      <c r="D16" s="17">
        <v>1</v>
      </c>
      <c r="E16" s="17">
        <v>1</v>
      </c>
      <c r="F16" s="71">
        <v>4.12</v>
      </c>
      <c r="G16" s="71"/>
      <c r="H16" s="20">
        <v>10</v>
      </c>
      <c r="I16" s="9" t="s">
        <v>500</v>
      </c>
      <c r="J16" s="15"/>
      <c r="K16" s="17">
        <v>10</v>
      </c>
      <c r="L16" s="9" t="s">
        <v>500</v>
      </c>
      <c r="M16" s="17"/>
      <c r="N16" s="17">
        <v>10</v>
      </c>
      <c r="O16" s="9" t="s">
        <v>500</v>
      </c>
      <c r="P16" s="17"/>
      <c r="Q16" s="73">
        <f t="shared" si="1"/>
        <v>0</v>
      </c>
      <c r="R16" s="74">
        <f t="shared" si="2"/>
        <v>0</v>
      </c>
      <c r="S16" s="74">
        <f t="shared" si="3"/>
        <v>0</v>
      </c>
      <c r="T16" s="73">
        <f t="shared" si="4"/>
        <v>0</v>
      </c>
      <c r="U16" s="74">
        <f t="shared" si="5"/>
        <v>0</v>
      </c>
      <c r="V16" s="74">
        <f t="shared" si="6"/>
        <v>0</v>
      </c>
      <c r="W16" s="72" t="e">
        <f t="shared" si="0"/>
        <v>#DIV/0!</v>
      </c>
      <c r="X16" s="72" t="e">
        <f t="shared" si="0"/>
        <v>#DIV/0!</v>
      </c>
      <c r="Y16" s="72" t="e">
        <f t="shared" si="0"/>
        <v>#DIV/0!</v>
      </c>
    </row>
    <row r="17" spans="1:25" s="10" customFormat="1">
      <c r="A17" s="23" t="s">
        <v>39</v>
      </c>
      <c r="B17" s="25" t="s">
        <v>211</v>
      </c>
      <c r="C17" s="29"/>
      <c r="D17" s="17"/>
      <c r="E17" s="17"/>
      <c r="F17" s="71"/>
      <c r="G17" s="71"/>
      <c r="H17" s="20"/>
      <c r="I17" s="9" t="s">
        <v>500</v>
      </c>
      <c r="J17" s="15"/>
      <c r="K17" s="17"/>
      <c r="L17" s="9" t="s">
        <v>500</v>
      </c>
      <c r="M17" s="17"/>
      <c r="N17" s="17"/>
      <c r="O17" s="9" t="s">
        <v>500</v>
      </c>
      <c r="P17" s="17"/>
      <c r="Q17" s="73">
        <f t="shared" si="1"/>
        <v>0</v>
      </c>
      <c r="R17" s="74">
        <f t="shared" si="2"/>
        <v>0</v>
      </c>
      <c r="S17" s="74">
        <f t="shared" si="3"/>
        <v>0</v>
      </c>
      <c r="T17" s="73">
        <f t="shared" si="4"/>
        <v>0</v>
      </c>
      <c r="U17" s="74">
        <f t="shared" si="5"/>
        <v>0</v>
      </c>
      <c r="V17" s="74">
        <f t="shared" si="6"/>
        <v>0</v>
      </c>
      <c r="W17" s="72" t="e">
        <f t="shared" si="0"/>
        <v>#DIV/0!</v>
      </c>
      <c r="X17" s="72" t="e">
        <f t="shared" si="0"/>
        <v>#DIV/0!</v>
      </c>
      <c r="Y17" s="72" t="e">
        <f t="shared" si="0"/>
        <v>#DIV/0!</v>
      </c>
    </row>
    <row r="18" spans="1:25" s="10" customFormat="1">
      <c r="A18" s="20">
        <v>1</v>
      </c>
      <c r="B18" s="7" t="s">
        <v>224</v>
      </c>
      <c r="C18" s="29">
        <v>1</v>
      </c>
      <c r="D18" s="17">
        <v>1</v>
      </c>
      <c r="E18" s="17">
        <v>1</v>
      </c>
      <c r="F18" s="71">
        <v>1.65</v>
      </c>
      <c r="G18" s="71"/>
      <c r="H18" s="20">
        <v>10</v>
      </c>
      <c r="I18" s="9" t="s">
        <v>500</v>
      </c>
      <c r="J18" s="15"/>
      <c r="K18" s="17">
        <v>24</v>
      </c>
      <c r="L18" s="9" t="s">
        <v>500</v>
      </c>
      <c r="M18" s="17"/>
      <c r="N18" s="17">
        <v>24</v>
      </c>
      <c r="O18" s="9" t="s">
        <v>500</v>
      </c>
      <c r="P18" s="17"/>
      <c r="Q18" s="73">
        <f t="shared" si="1"/>
        <v>0</v>
      </c>
      <c r="R18" s="74">
        <f t="shared" si="2"/>
        <v>0</v>
      </c>
      <c r="S18" s="74">
        <f t="shared" si="3"/>
        <v>0</v>
      </c>
      <c r="T18" s="73">
        <f t="shared" si="4"/>
        <v>0</v>
      </c>
      <c r="U18" s="74">
        <f t="shared" si="5"/>
        <v>0</v>
      </c>
      <c r="V18" s="74">
        <f t="shared" si="6"/>
        <v>0</v>
      </c>
      <c r="W18" s="72" t="e">
        <f t="shared" si="0"/>
        <v>#DIV/0!</v>
      </c>
      <c r="X18" s="72" t="e">
        <f t="shared" si="0"/>
        <v>#DIV/0!</v>
      </c>
      <c r="Y18" s="72" t="e">
        <f t="shared" si="0"/>
        <v>#DIV/0!</v>
      </c>
    </row>
    <row r="19" spans="1:25" s="10" customFormat="1">
      <c r="A19" s="20">
        <v>2</v>
      </c>
      <c r="B19" s="7" t="s">
        <v>224</v>
      </c>
      <c r="C19" s="29">
        <v>1</v>
      </c>
      <c r="D19" s="17">
        <v>1</v>
      </c>
      <c r="E19" s="17">
        <v>1</v>
      </c>
      <c r="F19" s="71">
        <v>1.65</v>
      </c>
      <c r="G19" s="71"/>
      <c r="H19" s="20">
        <v>10</v>
      </c>
      <c r="I19" s="9" t="s">
        <v>500</v>
      </c>
      <c r="J19" s="15"/>
      <c r="K19" s="17">
        <v>24</v>
      </c>
      <c r="L19" s="9" t="s">
        <v>500</v>
      </c>
      <c r="M19" s="17"/>
      <c r="N19" s="17">
        <v>24</v>
      </c>
      <c r="O19" s="9" t="s">
        <v>500</v>
      </c>
      <c r="P19" s="17"/>
      <c r="Q19" s="73">
        <f t="shared" si="1"/>
        <v>0</v>
      </c>
      <c r="R19" s="74">
        <f t="shared" si="2"/>
        <v>0</v>
      </c>
      <c r="S19" s="74">
        <f t="shared" si="3"/>
        <v>0</v>
      </c>
      <c r="T19" s="73">
        <f t="shared" si="4"/>
        <v>0</v>
      </c>
      <c r="U19" s="74">
        <f t="shared" si="5"/>
        <v>0</v>
      </c>
      <c r="V19" s="74">
        <f t="shared" si="6"/>
        <v>0</v>
      </c>
      <c r="W19" s="72" t="e">
        <f t="shared" si="0"/>
        <v>#DIV/0!</v>
      </c>
      <c r="X19" s="72" t="e">
        <f t="shared" si="0"/>
        <v>#DIV/0!</v>
      </c>
      <c r="Y19" s="72" t="e">
        <f t="shared" si="0"/>
        <v>#DIV/0!</v>
      </c>
    </row>
    <row r="20" spans="1:25" s="10" customFormat="1">
      <c r="A20" s="20">
        <v>3</v>
      </c>
      <c r="B20" s="7" t="s">
        <v>225</v>
      </c>
      <c r="C20" s="29"/>
      <c r="D20" s="17">
        <v>1</v>
      </c>
      <c r="E20" s="17">
        <v>1</v>
      </c>
      <c r="F20" s="71">
        <v>4.12</v>
      </c>
      <c r="G20" s="71"/>
      <c r="H20" s="20"/>
      <c r="I20" s="9" t="s">
        <v>500</v>
      </c>
      <c r="J20" s="15"/>
      <c r="K20" s="17">
        <v>24</v>
      </c>
      <c r="L20" s="9" t="s">
        <v>500</v>
      </c>
      <c r="M20" s="17"/>
      <c r="N20" s="17">
        <v>24</v>
      </c>
      <c r="O20" s="9" t="s">
        <v>500</v>
      </c>
      <c r="P20" s="17"/>
      <c r="Q20" s="73">
        <f t="shared" si="1"/>
        <v>0</v>
      </c>
      <c r="R20" s="74">
        <f t="shared" si="2"/>
        <v>0</v>
      </c>
      <c r="S20" s="74">
        <f t="shared" si="3"/>
        <v>0</v>
      </c>
      <c r="T20" s="73">
        <f t="shared" si="4"/>
        <v>0</v>
      </c>
      <c r="U20" s="74">
        <f t="shared" si="5"/>
        <v>0</v>
      </c>
      <c r="V20" s="74">
        <f t="shared" si="6"/>
        <v>0</v>
      </c>
      <c r="W20" s="72" t="e">
        <f t="shared" si="0"/>
        <v>#DIV/0!</v>
      </c>
      <c r="X20" s="72" t="e">
        <f t="shared" si="0"/>
        <v>#DIV/0!</v>
      </c>
      <c r="Y20" s="72" t="e">
        <f t="shared" si="0"/>
        <v>#DIV/0!</v>
      </c>
    </row>
    <row r="21" spans="1:25" s="10" customFormat="1">
      <c r="A21" s="20">
        <v>4</v>
      </c>
      <c r="B21" s="7" t="s">
        <v>404</v>
      </c>
      <c r="C21" s="29"/>
      <c r="D21" s="17">
        <v>1</v>
      </c>
      <c r="E21" s="17">
        <v>1</v>
      </c>
      <c r="F21" s="71">
        <v>4.12</v>
      </c>
      <c r="G21" s="71"/>
      <c r="H21" s="20"/>
      <c r="I21" s="9" t="s">
        <v>500</v>
      </c>
      <c r="J21" s="15"/>
      <c r="K21" s="17">
        <v>24</v>
      </c>
      <c r="L21" s="9" t="s">
        <v>500</v>
      </c>
      <c r="M21" s="17"/>
      <c r="N21" s="17">
        <v>24</v>
      </c>
      <c r="O21" s="9" t="s">
        <v>500</v>
      </c>
      <c r="P21" s="17"/>
      <c r="Q21" s="73">
        <f t="shared" si="1"/>
        <v>0</v>
      </c>
      <c r="R21" s="74">
        <f t="shared" si="2"/>
        <v>0</v>
      </c>
      <c r="S21" s="74">
        <f t="shared" si="3"/>
        <v>0</v>
      </c>
      <c r="T21" s="73">
        <f t="shared" si="4"/>
        <v>0</v>
      </c>
      <c r="U21" s="74">
        <f t="shared" si="5"/>
        <v>0</v>
      </c>
      <c r="V21" s="74">
        <f t="shared" si="6"/>
        <v>0</v>
      </c>
      <c r="W21" s="72" t="e">
        <f t="shared" si="0"/>
        <v>#DIV/0!</v>
      </c>
      <c r="X21" s="72" t="e">
        <f t="shared" si="0"/>
        <v>#DIV/0!</v>
      </c>
      <c r="Y21" s="72" t="e">
        <f t="shared" si="0"/>
        <v>#DIV/0!</v>
      </c>
    </row>
    <row r="22" spans="1:25" s="10" customFormat="1">
      <c r="A22" s="20">
        <v>5</v>
      </c>
      <c r="B22" s="7" t="s">
        <v>404</v>
      </c>
      <c r="C22" s="29"/>
      <c r="D22" s="17">
        <v>1</v>
      </c>
      <c r="E22" s="17">
        <v>1</v>
      </c>
      <c r="F22" s="71">
        <v>4.12</v>
      </c>
      <c r="G22" s="71"/>
      <c r="H22" s="20"/>
      <c r="I22" s="9" t="s">
        <v>500</v>
      </c>
      <c r="J22" s="15"/>
      <c r="K22" s="17">
        <v>24</v>
      </c>
      <c r="L22" s="9" t="s">
        <v>500</v>
      </c>
      <c r="M22" s="17"/>
      <c r="N22" s="17">
        <v>24</v>
      </c>
      <c r="O22" s="9" t="s">
        <v>500</v>
      </c>
      <c r="P22" s="17"/>
      <c r="Q22" s="73">
        <f t="shared" si="1"/>
        <v>0</v>
      </c>
      <c r="R22" s="74">
        <f t="shared" si="2"/>
        <v>0</v>
      </c>
      <c r="S22" s="74">
        <f t="shared" si="3"/>
        <v>0</v>
      </c>
      <c r="T22" s="73">
        <f t="shared" si="4"/>
        <v>0</v>
      </c>
      <c r="U22" s="74">
        <f t="shared" si="5"/>
        <v>0</v>
      </c>
      <c r="V22" s="74">
        <f t="shared" si="6"/>
        <v>0</v>
      </c>
      <c r="W22" s="72" t="e">
        <f t="shared" si="0"/>
        <v>#DIV/0!</v>
      </c>
      <c r="X22" s="72" t="e">
        <f t="shared" si="0"/>
        <v>#DIV/0!</v>
      </c>
      <c r="Y22" s="72" t="e">
        <f t="shared" si="0"/>
        <v>#DIV/0!</v>
      </c>
    </row>
    <row r="23" spans="1:25" s="10" customFormat="1">
      <c r="A23" s="23" t="s">
        <v>44</v>
      </c>
      <c r="B23" s="25" t="s">
        <v>226</v>
      </c>
      <c r="C23" s="29"/>
      <c r="D23" s="18"/>
      <c r="E23" s="18"/>
      <c r="F23" s="71"/>
      <c r="G23" s="71"/>
      <c r="H23" s="20"/>
      <c r="I23" s="9" t="s">
        <v>500</v>
      </c>
      <c r="J23" s="15"/>
      <c r="K23" s="18"/>
      <c r="L23" s="9" t="s">
        <v>500</v>
      </c>
      <c r="M23" s="18"/>
      <c r="N23" s="18"/>
      <c r="O23" s="9" t="s">
        <v>500</v>
      </c>
      <c r="P23" s="18"/>
      <c r="Q23" s="73">
        <f t="shared" si="1"/>
        <v>0</v>
      </c>
      <c r="R23" s="74">
        <f t="shared" si="2"/>
        <v>0</v>
      </c>
      <c r="S23" s="74">
        <f t="shared" si="3"/>
        <v>0</v>
      </c>
      <c r="T23" s="73">
        <f t="shared" si="4"/>
        <v>0</v>
      </c>
      <c r="U23" s="74">
        <f t="shared" si="5"/>
        <v>0</v>
      </c>
      <c r="V23" s="74">
        <f t="shared" si="6"/>
        <v>0</v>
      </c>
      <c r="W23" s="72" t="e">
        <f t="shared" si="0"/>
        <v>#DIV/0!</v>
      </c>
      <c r="X23" s="72" t="e">
        <f t="shared" si="0"/>
        <v>#DIV/0!</v>
      </c>
      <c r="Y23" s="72" t="e">
        <f t="shared" si="0"/>
        <v>#DIV/0!</v>
      </c>
    </row>
    <row r="24" spans="1:25" s="10" customFormat="1">
      <c r="A24" s="20">
        <v>1</v>
      </c>
      <c r="B24" s="7" t="s">
        <v>225</v>
      </c>
      <c r="C24" s="29">
        <v>1</v>
      </c>
      <c r="D24" s="17">
        <v>1</v>
      </c>
      <c r="E24" s="17">
        <v>1</v>
      </c>
      <c r="F24" s="71">
        <v>4.12</v>
      </c>
      <c r="G24" s="71"/>
      <c r="H24" s="20">
        <v>10</v>
      </c>
      <c r="I24" s="9" t="s">
        <v>500</v>
      </c>
      <c r="J24" s="15"/>
      <c r="K24" s="17">
        <v>24</v>
      </c>
      <c r="L24" s="9" t="s">
        <v>500</v>
      </c>
      <c r="M24" s="17"/>
      <c r="N24" s="17">
        <v>24</v>
      </c>
      <c r="O24" s="9" t="s">
        <v>500</v>
      </c>
      <c r="P24" s="17"/>
      <c r="Q24" s="73">
        <f t="shared" si="1"/>
        <v>0</v>
      </c>
      <c r="R24" s="74">
        <f t="shared" si="2"/>
        <v>0</v>
      </c>
      <c r="S24" s="74">
        <f t="shared" si="3"/>
        <v>0</v>
      </c>
      <c r="T24" s="73">
        <f t="shared" si="4"/>
        <v>0</v>
      </c>
      <c r="U24" s="74">
        <f t="shared" si="5"/>
        <v>0</v>
      </c>
      <c r="V24" s="74">
        <f t="shared" si="6"/>
        <v>0</v>
      </c>
      <c r="W24" s="72" t="e">
        <f t="shared" si="0"/>
        <v>#DIV/0!</v>
      </c>
      <c r="X24" s="72" t="e">
        <f t="shared" si="0"/>
        <v>#DIV/0!</v>
      </c>
      <c r="Y24" s="72" t="e">
        <f t="shared" si="0"/>
        <v>#DIV/0!</v>
      </c>
    </row>
    <row r="25" spans="1:25" s="10" customFormat="1">
      <c r="A25" s="20">
        <v>2</v>
      </c>
      <c r="B25" s="7" t="s">
        <v>405</v>
      </c>
      <c r="C25" s="29">
        <v>1</v>
      </c>
      <c r="D25" s="17">
        <v>1</v>
      </c>
      <c r="E25" s="17">
        <v>1</v>
      </c>
      <c r="F25" s="71">
        <v>0.72</v>
      </c>
      <c r="G25" s="71"/>
      <c r="H25" s="37">
        <v>10</v>
      </c>
      <c r="I25" s="9" t="s">
        <v>500</v>
      </c>
      <c r="J25" s="15"/>
      <c r="K25" s="17">
        <v>24</v>
      </c>
      <c r="L25" s="9" t="s">
        <v>500</v>
      </c>
      <c r="M25" s="17"/>
      <c r="N25" s="17">
        <v>24</v>
      </c>
      <c r="O25" s="9" t="s">
        <v>500</v>
      </c>
      <c r="P25" s="17"/>
      <c r="Q25" s="73">
        <f t="shared" si="1"/>
        <v>0</v>
      </c>
      <c r="R25" s="74">
        <f t="shared" si="2"/>
        <v>0</v>
      </c>
      <c r="S25" s="74">
        <f t="shared" si="3"/>
        <v>0</v>
      </c>
      <c r="T25" s="73">
        <f t="shared" si="4"/>
        <v>0</v>
      </c>
      <c r="U25" s="74">
        <f t="shared" si="5"/>
        <v>0</v>
      </c>
      <c r="V25" s="74">
        <f t="shared" si="6"/>
        <v>0</v>
      </c>
      <c r="W25" s="72" t="e">
        <f t="shared" si="0"/>
        <v>#DIV/0!</v>
      </c>
      <c r="X25" s="72" t="e">
        <f t="shared" si="0"/>
        <v>#DIV/0!</v>
      </c>
      <c r="Y25" s="72" t="e">
        <f t="shared" si="0"/>
        <v>#DIV/0!</v>
      </c>
    </row>
    <row r="26" spans="1:25" s="10" customFormat="1">
      <c r="A26" s="23" t="s">
        <v>47</v>
      </c>
      <c r="B26" s="25" t="s">
        <v>216</v>
      </c>
      <c r="C26" s="29"/>
      <c r="D26" s="17"/>
      <c r="E26" s="17"/>
      <c r="F26" s="71"/>
      <c r="G26" s="71"/>
      <c r="H26" s="71"/>
      <c r="I26" s="9" t="s">
        <v>500</v>
      </c>
      <c r="J26" s="71"/>
      <c r="K26" s="17"/>
      <c r="L26" s="9" t="s">
        <v>500</v>
      </c>
      <c r="M26" s="17"/>
      <c r="N26" s="17"/>
      <c r="O26" s="9" t="s">
        <v>500</v>
      </c>
      <c r="P26" s="17"/>
      <c r="Q26" s="73">
        <f t="shared" si="1"/>
        <v>0</v>
      </c>
      <c r="R26" s="74">
        <f t="shared" si="2"/>
        <v>0</v>
      </c>
      <c r="S26" s="74">
        <f t="shared" si="3"/>
        <v>0</v>
      </c>
      <c r="T26" s="73">
        <f t="shared" si="4"/>
        <v>0</v>
      </c>
      <c r="U26" s="74">
        <f t="shared" si="5"/>
        <v>0</v>
      </c>
      <c r="V26" s="74">
        <f t="shared" si="6"/>
        <v>0</v>
      </c>
      <c r="W26" s="72" t="e">
        <f t="shared" si="0"/>
        <v>#DIV/0!</v>
      </c>
      <c r="X26" s="72" t="e">
        <f t="shared" si="0"/>
        <v>#DIV/0!</v>
      </c>
      <c r="Y26" s="72" t="e">
        <f t="shared" si="0"/>
        <v>#DIV/0!</v>
      </c>
    </row>
    <row r="27" spans="1:25" s="10" customFormat="1">
      <c r="A27" s="20">
        <v>1</v>
      </c>
      <c r="B27" s="7" t="s">
        <v>225</v>
      </c>
      <c r="C27" s="29">
        <v>1</v>
      </c>
      <c r="D27" s="17">
        <v>1</v>
      </c>
      <c r="E27" s="17">
        <v>1</v>
      </c>
      <c r="F27" s="71">
        <v>4.12</v>
      </c>
      <c r="G27" s="71"/>
      <c r="H27" s="20">
        <v>10</v>
      </c>
      <c r="I27" s="9" t="s">
        <v>500</v>
      </c>
      <c r="J27" s="15"/>
      <c r="K27" s="17">
        <v>24</v>
      </c>
      <c r="L27" s="9" t="s">
        <v>500</v>
      </c>
      <c r="M27" s="17"/>
      <c r="N27" s="17">
        <v>24</v>
      </c>
      <c r="O27" s="9" t="s">
        <v>500</v>
      </c>
      <c r="P27" s="17"/>
      <c r="Q27" s="73">
        <f t="shared" si="1"/>
        <v>0</v>
      </c>
      <c r="R27" s="74">
        <f t="shared" si="2"/>
        <v>0</v>
      </c>
      <c r="S27" s="74">
        <f t="shared" si="3"/>
        <v>0</v>
      </c>
      <c r="T27" s="73">
        <f t="shared" si="4"/>
        <v>0</v>
      </c>
      <c r="U27" s="74">
        <f t="shared" si="5"/>
        <v>0</v>
      </c>
      <c r="V27" s="74">
        <f t="shared" si="6"/>
        <v>0</v>
      </c>
      <c r="W27" s="72" t="e">
        <f t="shared" si="0"/>
        <v>#DIV/0!</v>
      </c>
      <c r="X27" s="72" t="e">
        <f t="shared" si="0"/>
        <v>#DIV/0!</v>
      </c>
      <c r="Y27" s="72" t="e">
        <f t="shared" si="0"/>
        <v>#DIV/0!</v>
      </c>
    </row>
    <row r="28" spans="1:25" s="10" customFormat="1">
      <c r="A28" s="20">
        <v>2</v>
      </c>
      <c r="B28" s="7" t="s">
        <v>405</v>
      </c>
      <c r="C28" s="29">
        <v>1</v>
      </c>
      <c r="D28" s="17">
        <v>1</v>
      </c>
      <c r="E28" s="17">
        <v>1</v>
      </c>
      <c r="F28" s="71">
        <v>0.72</v>
      </c>
      <c r="G28" s="71"/>
      <c r="H28" s="37">
        <v>10</v>
      </c>
      <c r="I28" s="9" t="s">
        <v>500</v>
      </c>
      <c r="J28" s="15"/>
      <c r="K28" s="17">
        <v>24</v>
      </c>
      <c r="L28" s="9" t="s">
        <v>500</v>
      </c>
      <c r="M28" s="17"/>
      <c r="N28" s="17">
        <v>24</v>
      </c>
      <c r="O28" s="9" t="s">
        <v>500</v>
      </c>
      <c r="P28" s="17"/>
      <c r="Q28" s="73">
        <f t="shared" si="1"/>
        <v>0</v>
      </c>
      <c r="R28" s="74">
        <f t="shared" si="2"/>
        <v>0</v>
      </c>
      <c r="S28" s="74">
        <f t="shared" si="3"/>
        <v>0</v>
      </c>
      <c r="T28" s="73">
        <f t="shared" si="4"/>
        <v>0</v>
      </c>
      <c r="U28" s="74">
        <f t="shared" si="5"/>
        <v>0</v>
      </c>
      <c r="V28" s="74">
        <f t="shared" si="6"/>
        <v>0</v>
      </c>
      <c r="W28" s="72" t="e">
        <f t="shared" si="0"/>
        <v>#DIV/0!</v>
      </c>
      <c r="X28" s="72" t="e">
        <f t="shared" si="0"/>
        <v>#DIV/0!</v>
      </c>
      <c r="Y28" s="72" t="e">
        <f t="shared" si="0"/>
        <v>#DIV/0!</v>
      </c>
    </row>
    <row r="29" spans="1:25" s="10" customFormat="1">
      <c r="A29" s="23" t="s">
        <v>49</v>
      </c>
      <c r="B29" s="25" t="s">
        <v>227</v>
      </c>
      <c r="C29" s="29"/>
      <c r="D29" s="17"/>
      <c r="E29" s="17"/>
      <c r="F29" s="71"/>
      <c r="G29" s="71"/>
      <c r="H29" s="20"/>
      <c r="I29" s="9" t="s">
        <v>500</v>
      </c>
      <c r="J29" s="15"/>
      <c r="K29" s="17"/>
      <c r="L29" s="17"/>
      <c r="M29" s="17"/>
      <c r="N29" s="17"/>
      <c r="O29" s="17"/>
      <c r="P29" s="17"/>
      <c r="Q29" s="73">
        <f t="shared" si="1"/>
        <v>0</v>
      </c>
      <c r="R29" s="74">
        <f t="shared" si="2"/>
        <v>0</v>
      </c>
      <c r="S29" s="74">
        <f t="shared" si="3"/>
        <v>0</v>
      </c>
      <c r="T29" s="73">
        <f t="shared" si="4"/>
        <v>0</v>
      </c>
      <c r="U29" s="74">
        <f t="shared" si="5"/>
        <v>0</v>
      </c>
      <c r="V29" s="74">
        <f t="shared" si="6"/>
        <v>0</v>
      </c>
      <c r="W29" s="72" t="e">
        <f t="shared" si="0"/>
        <v>#DIV/0!</v>
      </c>
      <c r="X29" s="72" t="e">
        <f t="shared" si="0"/>
        <v>#DIV/0!</v>
      </c>
      <c r="Y29" s="72" t="e">
        <f t="shared" si="0"/>
        <v>#DIV/0!</v>
      </c>
    </row>
    <row r="30" spans="1:25" s="10" customFormat="1">
      <c r="A30" s="20">
        <v>1</v>
      </c>
      <c r="B30" s="7" t="s">
        <v>225</v>
      </c>
      <c r="C30" s="29">
        <v>1</v>
      </c>
      <c r="D30" s="17">
        <v>1</v>
      </c>
      <c r="E30" s="17">
        <v>1</v>
      </c>
      <c r="F30" s="71">
        <v>4.12</v>
      </c>
      <c r="G30" s="71"/>
      <c r="H30" s="20">
        <v>10</v>
      </c>
      <c r="I30" s="9" t="s">
        <v>500</v>
      </c>
      <c r="J30" s="15"/>
      <c r="K30" s="17">
        <v>24</v>
      </c>
      <c r="L30" s="17"/>
      <c r="M30" s="17"/>
      <c r="N30" s="17">
        <v>24</v>
      </c>
      <c r="O30" s="17"/>
      <c r="P30" s="17"/>
      <c r="Q30" s="73">
        <f t="shared" si="1"/>
        <v>0</v>
      </c>
      <c r="R30" s="74">
        <f t="shared" si="2"/>
        <v>0</v>
      </c>
      <c r="S30" s="74">
        <f t="shared" si="3"/>
        <v>0</v>
      </c>
      <c r="T30" s="73">
        <f t="shared" si="4"/>
        <v>0</v>
      </c>
      <c r="U30" s="74">
        <f t="shared" si="5"/>
        <v>0</v>
      </c>
      <c r="V30" s="74">
        <f t="shared" si="6"/>
        <v>0</v>
      </c>
      <c r="W30" s="72" t="e">
        <f t="shared" si="0"/>
        <v>#DIV/0!</v>
      </c>
      <c r="X30" s="72" t="e">
        <f t="shared" si="0"/>
        <v>#DIV/0!</v>
      </c>
      <c r="Y30" s="72" t="e">
        <f t="shared" si="0"/>
        <v>#DIV/0!</v>
      </c>
    </row>
    <row r="31" spans="1:25" s="10" customFormat="1">
      <c r="A31" s="20">
        <v>1</v>
      </c>
      <c r="B31" s="7" t="s">
        <v>406</v>
      </c>
      <c r="C31" s="29">
        <v>1</v>
      </c>
      <c r="D31" s="17">
        <v>1</v>
      </c>
      <c r="E31" s="17">
        <v>1</v>
      </c>
      <c r="F31" s="71">
        <v>0.82</v>
      </c>
      <c r="G31" s="71"/>
      <c r="H31" s="20">
        <v>10</v>
      </c>
      <c r="I31" s="15"/>
      <c r="J31" s="15"/>
      <c r="K31" s="17">
        <v>24</v>
      </c>
      <c r="L31" s="17"/>
      <c r="M31" s="17"/>
      <c r="N31" s="17">
        <v>24</v>
      </c>
      <c r="O31" s="17"/>
      <c r="P31" s="17"/>
      <c r="Q31" s="73">
        <f t="shared" si="1"/>
        <v>0</v>
      </c>
      <c r="R31" s="74">
        <f t="shared" si="2"/>
        <v>0</v>
      </c>
      <c r="S31" s="74">
        <f t="shared" si="3"/>
        <v>0</v>
      </c>
      <c r="T31" s="73">
        <f t="shared" si="4"/>
        <v>0</v>
      </c>
      <c r="U31" s="74">
        <f t="shared" si="5"/>
        <v>0</v>
      </c>
      <c r="V31" s="74">
        <f t="shared" si="6"/>
        <v>0</v>
      </c>
      <c r="W31" s="72" t="e">
        <f t="shared" si="0"/>
        <v>#DIV/0!</v>
      </c>
      <c r="X31" s="72" t="e">
        <f t="shared" si="0"/>
        <v>#DIV/0!</v>
      </c>
      <c r="Y31" s="72" t="e">
        <f t="shared" si="0"/>
        <v>#DIV/0!</v>
      </c>
    </row>
    <row r="32" spans="1:25" s="10" customFormat="1">
      <c r="A32" s="23" t="s">
        <v>407</v>
      </c>
      <c r="B32" s="25" t="s">
        <v>218</v>
      </c>
      <c r="C32" s="29"/>
      <c r="D32" s="18"/>
      <c r="E32" s="18"/>
      <c r="F32" s="71"/>
      <c r="G32" s="71"/>
      <c r="H32" s="20"/>
      <c r="I32" s="15"/>
      <c r="J32" s="15"/>
      <c r="K32" s="18"/>
      <c r="L32" s="18"/>
      <c r="M32" s="18"/>
      <c r="N32" s="18"/>
      <c r="O32" s="18"/>
      <c r="P32" s="18"/>
      <c r="Q32" s="73">
        <f t="shared" si="1"/>
        <v>0</v>
      </c>
      <c r="R32" s="74">
        <f t="shared" si="2"/>
        <v>0</v>
      </c>
      <c r="S32" s="74">
        <f t="shared" si="3"/>
        <v>0</v>
      </c>
      <c r="T32" s="73">
        <f t="shared" si="4"/>
        <v>0</v>
      </c>
      <c r="U32" s="74">
        <f t="shared" si="5"/>
        <v>0</v>
      </c>
      <c r="V32" s="74">
        <f t="shared" si="6"/>
        <v>0</v>
      </c>
      <c r="W32" s="72" t="e">
        <f t="shared" si="0"/>
        <v>#DIV/0!</v>
      </c>
      <c r="X32" s="72" t="e">
        <f t="shared" si="0"/>
        <v>#DIV/0!</v>
      </c>
      <c r="Y32" s="72" t="e">
        <f t="shared" si="0"/>
        <v>#DIV/0!</v>
      </c>
    </row>
    <row r="33" spans="1:25" s="10" customFormat="1">
      <c r="A33" s="20">
        <v>1</v>
      </c>
      <c r="B33" s="7" t="s">
        <v>224</v>
      </c>
      <c r="C33" s="29">
        <v>1</v>
      </c>
      <c r="D33" s="17">
        <v>1</v>
      </c>
      <c r="E33" s="17">
        <v>1</v>
      </c>
      <c r="F33" s="71">
        <v>1.65</v>
      </c>
      <c r="G33" s="71"/>
      <c r="H33" s="9">
        <v>10</v>
      </c>
      <c r="I33" s="17"/>
      <c r="J33" s="17"/>
      <c r="K33" s="17">
        <v>10</v>
      </c>
      <c r="L33" s="17"/>
      <c r="M33" s="17"/>
      <c r="N33" s="17">
        <v>10</v>
      </c>
      <c r="O33" s="17"/>
      <c r="P33" s="17"/>
      <c r="Q33" s="73">
        <f t="shared" si="1"/>
        <v>0</v>
      </c>
      <c r="R33" s="74">
        <f t="shared" si="2"/>
        <v>0</v>
      </c>
      <c r="S33" s="74">
        <f t="shared" si="3"/>
        <v>0</v>
      </c>
      <c r="T33" s="73">
        <f t="shared" si="4"/>
        <v>0</v>
      </c>
      <c r="U33" s="74">
        <f t="shared" si="5"/>
        <v>0</v>
      </c>
      <c r="V33" s="74">
        <f t="shared" si="6"/>
        <v>0</v>
      </c>
      <c r="W33" s="72" t="e">
        <f t="shared" si="0"/>
        <v>#DIV/0!</v>
      </c>
      <c r="X33" s="72" t="e">
        <f t="shared" si="0"/>
        <v>#DIV/0!</v>
      </c>
      <c r="Y33" s="72" t="e">
        <f t="shared" si="0"/>
        <v>#DIV/0!</v>
      </c>
    </row>
    <row r="34" spans="1:25" s="10" customFormat="1">
      <c r="A34" s="20">
        <v>2</v>
      </c>
      <c r="B34" s="7" t="s">
        <v>225</v>
      </c>
      <c r="C34" s="29">
        <v>1</v>
      </c>
      <c r="D34" s="17">
        <v>1</v>
      </c>
      <c r="E34" s="17">
        <v>1</v>
      </c>
      <c r="F34" s="71">
        <v>4.12</v>
      </c>
      <c r="G34" s="71"/>
      <c r="H34" s="9">
        <v>10</v>
      </c>
      <c r="I34" s="17"/>
      <c r="J34" s="17"/>
      <c r="K34" s="17">
        <v>10</v>
      </c>
      <c r="L34" s="17"/>
      <c r="M34" s="17"/>
      <c r="N34" s="17">
        <v>10</v>
      </c>
      <c r="O34" s="17"/>
      <c r="P34" s="17"/>
      <c r="Q34" s="73">
        <f t="shared" si="1"/>
        <v>0</v>
      </c>
      <c r="R34" s="74">
        <f t="shared" si="2"/>
        <v>0</v>
      </c>
      <c r="S34" s="74">
        <f t="shared" si="3"/>
        <v>0</v>
      </c>
      <c r="T34" s="73">
        <f t="shared" si="4"/>
        <v>0</v>
      </c>
      <c r="U34" s="74">
        <f t="shared" si="5"/>
        <v>0</v>
      </c>
      <c r="V34" s="74">
        <f t="shared" si="6"/>
        <v>0</v>
      </c>
      <c r="W34" s="72" t="e">
        <f t="shared" si="0"/>
        <v>#DIV/0!</v>
      </c>
      <c r="X34" s="72" t="e">
        <f t="shared" si="0"/>
        <v>#DIV/0!</v>
      </c>
      <c r="Y34" s="72" t="e">
        <f t="shared" si="0"/>
        <v>#DIV/0!</v>
      </c>
    </row>
    <row r="35" spans="1:25" s="10" customFormat="1">
      <c r="A35" s="20">
        <v>3</v>
      </c>
      <c r="B35" s="7" t="s">
        <v>225</v>
      </c>
      <c r="C35" s="29">
        <v>1</v>
      </c>
      <c r="D35" s="17">
        <v>1</v>
      </c>
      <c r="E35" s="17">
        <v>1</v>
      </c>
      <c r="F35" s="71">
        <v>4.12</v>
      </c>
      <c r="G35" s="71"/>
      <c r="H35" s="9">
        <v>10</v>
      </c>
      <c r="I35" s="17"/>
      <c r="J35" s="17"/>
      <c r="K35" s="17">
        <v>10</v>
      </c>
      <c r="L35" s="17"/>
      <c r="M35" s="17"/>
      <c r="N35" s="17">
        <v>10</v>
      </c>
      <c r="O35" s="17"/>
      <c r="P35" s="17"/>
      <c r="Q35" s="73">
        <f t="shared" si="1"/>
        <v>0</v>
      </c>
      <c r="R35" s="74">
        <f t="shared" si="2"/>
        <v>0</v>
      </c>
      <c r="S35" s="74">
        <f t="shared" si="3"/>
        <v>0</v>
      </c>
      <c r="T35" s="73">
        <f t="shared" si="4"/>
        <v>0</v>
      </c>
      <c r="U35" s="74">
        <f t="shared" si="5"/>
        <v>0</v>
      </c>
      <c r="V35" s="74">
        <f t="shared" si="6"/>
        <v>0</v>
      </c>
      <c r="W35" s="72" t="e">
        <f t="shared" si="0"/>
        <v>#DIV/0!</v>
      </c>
      <c r="X35" s="72" t="e">
        <f t="shared" si="0"/>
        <v>#DIV/0!</v>
      </c>
      <c r="Y35" s="72" t="e">
        <f t="shared" si="0"/>
        <v>#DIV/0!</v>
      </c>
    </row>
    <row r="36" spans="1:25" s="10" customFormat="1">
      <c r="A36" s="20">
        <v>4</v>
      </c>
      <c r="B36" s="7" t="s">
        <v>225</v>
      </c>
      <c r="C36" s="29">
        <v>1</v>
      </c>
      <c r="D36" s="17">
        <v>1</v>
      </c>
      <c r="E36" s="17">
        <v>1</v>
      </c>
      <c r="F36" s="71">
        <v>4.12</v>
      </c>
      <c r="G36" s="71"/>
      <c r="H36" s="9">
        <v>10</v>
      </c>
      <c r="I36" s="17"/>
      <c r="J36" s="17"/>
      <c r="K36" s="17">
        <v>10</v>
      </c>
      <c r="L36" s="17"/>
      <c r="M36" s="17"/>
      <c r="N36" s="17">
        <v>10</v>
      </c>
      <c r="O36" s="17"/>
      <c r="P36" s="17"/>
      <c r="Q36" s="73">
        <f t="shared" si="1"/>
        <v>0</v>
      </c>
      <c r="R36" s="74">
        <f t="shared" si="2"/>
        <v>0</v>
      </c>
      <c r="S36" s="74">
        <f t="shared" si="3"/>
        <v>0</v>
      </c>
      <c r="T36" s="73">
        <f t="shared" si="4"/>
        <v>0</v>
      </c>
      <c r="U36" s="74">
        <f t="shared" si="5"/>
        <v>0</v>
      </c>
      <c r="V36" s="74">
        <f t="shared" si="6"/>
        <v>0</v>
      </c>
      <c r="W36" s="72" t="e">
        <f t="shared" si="0"/>
        <v>#DIV/0!</v>
      </c>
      <c r="X36" s="72" t="e">
        <f t="shared" si="0"/>
        <v>#DIV/0!</v>
      </c>
      <c r="Y36" s="72" t="e">
        <f t="shared" si="0"/>
        <v>#DIV/0!</v>
      </c>
    </row>
    <row r="37" spans="1:25" s="10" customFormat="1">
      <c r="A37" s="20">
        <v>5</v>
      </c>
      <c r="B37" s="7" t="s">
        <v>225</v>
      </c>
      <c r="C37" s="29">
        <v>1</v>
      </c>
      <c r="D37" s="17">
        <v>1</v>
      </c>
      <c r="E37" s="17">
        <v>1</v>
      </c>
      <c r="F37" s="71">
        <v>4.12</v>
      </c>
      <c r="G37" s="71"/>
      <c r="H37" s="9">
        <v>10</v>
      </c>
      <c r="I37" s="17"/>
      <c r="J37" s="17"/>
      <c r="K37" s="17">
        <v>24</v>
      </c>
      <c r="L37" s="17"/>
      <c r="M37" s="17"/>
      <c r="N37" s="17">
        <v>24</v>
      </c>
      <c r="O37" s="17"/>
      <c r="P37" s="17"/>
      <c r="Q37" s="73">
        <f t="shared" si="1"/>
        <v>0</v>
      </c>
      <c r="R37" s="74">
        <f t="shared" si="2"/>
        <v>0</v>
      </c>
      <c r="S37" s="74">
        <f t="shared" si="3"/>
        <v>0</v>
      </c>
      <c r="T37" s="73">
        <f t="shared" si="4"/>
        <v>0</v>
      </c>
      <c r="U37" s="74">
        <f t="shared" si="5"/>
        <v>0</v>
      </c>
      <c r="V37" s="74">
        <f t="shared" si="6"/>
        <v>0</v>
      </c>
      <c r="W37" s="72" t="e">
        <f t="shared" si="0"/>
        <v>#DIV/0!</v>
      </c>
      <c r="X37" s="72" t="e">
        <f t="shared" si="0"/>
        <v>#DIV/0!</v>
      </c>
      <c r="Y37" s="72" t="e">
        <f t="shared" si="0"/>
        <v>#DIV/0!</v>
      </c>
    </row>
    <row r="38" spans="1:25" s="10" customFormat="1" ht="20.45" customHeight="1">
      <c r="A38" s="20">
        <v>6</v>
      </c>
      <c r="B38" s="7" t="s">
        <v>225</v>
      </c>
      <c r="C38" s="29">
        <v>1</v>
      </c>
      <c r="D38" s="17">
        <v>1</v>
      </c>
      <c r="E38" s="17">
        <v>1</v>
      </c>
      <c r="F38" s="71">
        <v>4.12</v>
      </c>
      <c r="G38" s="71"/>
      <c r="H38" s="9">
        <v>10</v>
      </c>
      <c r="I38" s="17"/>
      <c r="J38" s="17"/>
      <c r="K38" s="17">
        <v>24</v>
      </c>
      <c r="L38" s="17"/>
      <c r="M38" s="17"/>
      <c r="N38" s="17">
        <v>24</v>
      </c>
      <c r="O38" s="17"/>
      <c r="P38" s="17"/>
      <c r="Q38" s="73">
        <f t="shared" si="1"/>
        <v>0</v>
      </c>
      <c r="R38" s="74">
        <f t="shared" si="2"/>
        <v>0</v>
      </c>
      <c r="S38" s="74">
        <f t="shared" si="3"/>
        <v>0</v>
      </c>
      <c r="T38" s="73">
        <f t="shared" si="4"/>
        <v>0</v>
      </c>
      <c r="U38" s="74">
        <f t="shared" si="5"/>
        <v>0</v>
      </c>
      <c r="V38" s="74">
        <f t="shared" si="6"/>
        <v>0</v>
      </c>
      <c r="W38" s="72" t="e">
        <f t="shared" si="0"/>
        <v>#DIV/0!</v>
      </c>
      <c r="X38" s="72" t="e">
        <f t="shared" si="0"/>
        <v>#DIV/0!</v>
      </c>
      <c r="Y38" s="72" t="e">
        <f t="shared" si="0"/>
        <v>#DIV/0!</v>
      </c>
    </row>
    <row r="39" spans="1:25" s="10" customFormat="1">
      <c r="A39" s="23" t="s">
        <v>408</v>
      </c>
      <c r="B39" s="25" t="s">
        <v>228</v>
      </c>
      <c r="C39" s="29"/>
      <c r="D39" s="51"/>
      <c r="E39" s="51"/>
      <c r="F39" s="71"/>
      <c r="G39" s="71"/>
      <c r="H39" s="9"/>
      <c r="I39" s="17"/>
      <c r="J39" s="17"/>
      <c r="K39" s="51"/>
      <c r="L39" s="51"/>
      <c r="M39" s="51"/>
      <c r="N39" s="51"/>
      <c r="O39" s="51"/>
      <c r="P39" s="51"/>
      <c r="Q39" s="73">
        <f t="shared" si="1"/>
        <v>0</v>
      </c>
      <c r="R39" s="74">
        <f t="shared" si="2"/>
        <v>0</v>
      </c>
      <c r="S39" s="74">
        <f t="shared" si="3"/>
        <v>0</v>
      </c>
      <c r="T39" s="73">
        <f t="shared" si="4"/>
        <v>0</v>
      </c>
      <c r="U39" s="74">
        <f t="shared" si="5"/>
        <v>0</v>
      </c>
      <c r="V39" s="74">
        <f t="shared" si="6"/>
        <v>0</v>
      </c>
      <c r="W39" s="72" t="e">
        <f t="shared" si="0"/>
        <v>#DIV/0!</v>
      </c>
      <c r="X39" s="72" t="e">
        <f t="shared" si="0"/>
        <v>#DIV/0!</v>
      </c>
      <c r="Y39" s="72" t="e">
        <f t="shared" si="0"/>
        <v>#DIV/0!</v>
      </c>
    </row>
    <row r="40" spans="1:25" s="10" customFormat="1">
      <c r="A40" s="20">
        <v>1</v>
      </c>
      <c r="B40" s="7" t="s">
        <v>225</v>
      </c>
      <c r="C40" s="29">
        <v>1</v>
      </c>
      <c r="D40" s="17">
        <v>1</v>
      </c>
      <c r="E40" s="17">
        <v>1</v>
      </c>
      <c r="F40" s="71">
        <v>4.12</v>
      </c>
      <c r="G40" s="71"/>
      <c r="H40" s="9">
        <v>10</v>
      </c>
      <c r="I40" s="17"/>
      <c r="J40" s="17"/>
      <c r="K40" s="17">
        <v>10</v>
      </c>
      <c r="L40" s="17"/>
      <c r="M40" s="17"/>
      <c r="N40" s="17">
        <v>10</v>
      </c>
      <c r="O40" s="17"/>
      <c r="P40" s="17"/>
      <c r="Q40" s="73">
        <f t="shared" si="1"/>
        <v>0</v>
      </c>
      <c r="R40" s="74">
        <f t="shared" si="2"/>
        <v>0</v>
      </c>
      <c r="S40" s="74">
        <f t="shared" si="3"/>
        <v>0</v>
      </c>
      <c r="T40" s="73">
        <f t="shared" si="4"/>
        <v>0</v>
      </c>
      <c r="U40" s="74">
        <f t="shared" si="5"/>
        <v>0</v>
      </c>
      <c r="V40" s="74">
        <f t="shared" si="6"/>
        <v>0</v>
      </c>
      <c r="W40" s="72" t="e">
        <f t="shared" si="0"/>
        <v>#DIV/0!</v>
      </c>
      <c r="X40" s="72" t="e">
        <f t="shared" si="0"/>
        <v>#DIV/0!</v>
      </c>
      <c r="Y40" s="72" t="e">
        <f t="shared" si="0"/>
        <v>#DIV/0!</v>
      </c>
    </row>
    <row r="41" spans="1:25" s="10" customFormat="1">
      <c r="A41" s="23" t="s">
        <v>409</v>
      </c>
      <c r="B41" s="25" t="s">
        <v>410</v>
      </c>
      <c r="C41" s="29"/>
      <c r="D41" s="17"/>
      <c r="E41" s="17"/>
      <c r="F41" s="71"/>
      <c r="G41" s="71"/>
      <c r="H41" s="9"/>
      <c r="I41" s="17"/>
      <c r="J41" s="17"/>
      <c r="K41" s="17"/>
      <c r="L41" s="17"/>
      <c r="M41" s="17"/>
      <c r="N41" s="17"/>
      <c r="O41" s="17"/>
      <c r="P41" s="17"/>
      <c r="Q41" s="73">
        <f t="shared" si="1"/>
        <v>0</v>
      </c>
      <c r="R41" s="74">
        <f t="shared" si="2"/>
        <v>0</v>
      </c>
      <c r="S41" s="74">
        <f t="shared" si="3"/>
        <v>0</v>
      </c>
      <c r="T41" s="73">
        <f t="shared" si="4"/>
        <v>0</v>
      </c>
      <c r="U41" s="74">
        <f t="shared" si="5"/>
        <v>0</v>
      </c>
      <c r="V41" s="74">
        <f t="shared" si="6"/>
        <v>0</v>
      </c>
      <c r="W41" s="72" t="e">
        <f t="shared" si="0"/>
        <v>#DIV/0!</v>
      </c>
      <c r="X41" s="72" t="e">
        <f t="shared" si="0"/>
        <v>#DIV/0!</v>
      </c>
      <c r="Y41" s="72" t="e">
        <f t="shared" si="0"/>
        <v>#DIV/0!</v>
      </c>
    </row>
    <row r="42" spans="1:25" s="10" customFormat="1">
      <c r="A42" s="20">
        <v>1</v>
      </c>
      <c r="B42" s="7" t="s">
        <v>225</v>
      </c>
      <c r="C42" s="29">
        <v>1</v>
      </c>
      <c r="D42" s="17">
        <v>1</v>
      </c>
      <c r="E42" s="17">
        <v>1</v>
      </c>
      <c r="F42" s="71">
        <v>4.12</v>
      </c>
      <c r="G42" s="71"/>
      <c r="H42" s="9">
        <v>10</v>
      </c>
      <c r="I42" s="17"/>
      <c r="J42" s="17"/>
      <c r="K42" s="17">
        <v>10</v>
      </c>
      <c r="L42" s="17"/>
      <c r="M42" s="17"/>
      <c r="N42" s="17">
        <v>10</v>
      </c>
      <c r="O42" s="17"/>
      <c r="P42" s="17"/>
      <c r="Q42" s="73">
        <f t="shared" si="1"/>
        <v>0</v>
      </c>
      <c r="R42" s="74">
        <f t="shared" si="2"/>
        <v>0</v>
      </c>
      <c r="S42" s="74">
        <f t="shared" si="3"/>
        <v>0</v>
      </c>
      <c r="T42" s="73">
        <f t="shared" si="4"/>
        <v>0</v>
      </c>
      <c r="U42" s="74">
        <f t="shared" si="5"/>
        <v>0</v>
      </c>
      <c r="V42" s="74">
        <f t="shared" si="6"/>
        <v>0</v>
      </c>
      <c r="W42" s="72" t="e">
        <f t="shared" si="0"/>
        <v>#DIV/0!</v>
      </c>
      <c r="X42" s="72" t="e">
        <f t="shared" si="0"/>
        <v>#DIV/0!</v>
      </c>
      <c r="Y42" s="72" t="e">
        <f t="shared" si="0"/>
        <v>#DIV/0!</v>
      </c>
    </row>
    <row r="43" spans="1:25" s="10" customFormat="1">
      <c r="A43" s="23" t="s">
        <v>411</v>
      </c>
      <c r="B43" s="25" t="s">
        <v>412</v>
      </c>
      <c r="C43" s="29"/>
      <c r="D43" s="17"/>
      <c r="E43" s="17"/>
      <c r="F43" s="71"/>
      <c r="G43" s="71"/>
      <c r="H43" s="9"/>
      <c r="I43" s="17"/>
      <c r="J43" s="17"/>
      <c r="K43" s="17"/>
      <c r="L43" s="17"/>
      <c r="M43" s="17"/>
      <c r="N43" s="17"/>
      <c r="O43" s="17"/>
      <c r="P43" s="17"/>
      <c r="Q43" s="73">
        <f t="shared" si="1"/>
        <v>0</v>
      </c>
      <c r="R43" s="74">
        <f t="shared" si="2"/>
        <v>0</v>
      </c>
      <c r="S43" s="74">
        <f t="shared" si="3"/>
        <v>0</v>
      </c>
      <c r="T43" s="73">
        <f t="shared" si="4"/>
        <v>0</v>
      </c>
      <c r="U43" s="74">
        <f t="shared" si="5"/>
        <v>0</v>
      </c>
      <c r="V43" s="74">
        <f t="shared" si="6"/>
        <v>0</v>
      </c>
      <c r="W43" s="72" t="e">
        <f t="shared" si="0"/>
        <v>#DIV/0!</v>
      </c>
      <c r="X43" s="72" t="e">
        <f t="shared" si="0"/>
        <v>#DIV/0!</v>
      </c>
      <c r="Y43" s="72" t="e">
        <f t="shared" si="0"/>
        <v>#DIV/0!</v>
      </c>
    </row>
    <row r="44" spans="1:25" s="10" customFormat="1" ht="13.15" customHeight="1">
      <c r="A44" s="20">
        <v>1</v>
      </c>
      <c r="B44" s="7" t="s">
        <v>405</v>
      </c>
      <c r="C44" s="29">
        <v>1</v>
      </c>
      <c r="D44" s="17">
        <v>1</v>
      </c>
      <c r="E44" s="17">
        <v>1</v>
      </c>
      <c r="F44" s="71">
        <v>0.72</v>
      </c>
      <c r="G44" s="71"/>
      <c r="H44" s="37">
        <v>10</v>
      </c>
      <c r="I44" s="15"/>
      <c r="J44" s="15"/>
      <c r="K44" s="17">
        <v>10</v>
      </c>
      <c r="L44" s="17"/>
      <c r="M44" s="17"/>
      <c r="N44" s="17">
        <v>10</v>
      </c>
      <c r="O44" s="17"/>
      <c r="P44" s="17"/>
      <c r="Q44" s="73">
        <f t="shared" si="1"/>
        <v>0</v>
      </c>
      <c r="R44" s="74">
        <f t="shared" si="2"/>
        <v>0</v>
      </c>
      <c r="S44" s="74">
        <f t="shared" si="3"/>
        <v>0</v>
      </c>
      <c r="T44" s="73">
        <f t="shared" si="4"/>
        <v>0</v>
      </c>
      <c r="U44" s="74">
        <f t="shared" si="5"/>
        <v>0</v>
      </c>
      <c r="V44" s="74">
        <f t="shared" si="6"/>
        <v>0</v>
      </c>
      <c r="W44" s="72" t="e">
        <f t="shared" ref="W44:Y49" si="7">T44/Q44</f>
        <v>#DIV/0!</v>
      </c>
      <c r="X44" s="72" t="e">
        <f t="shared" si="7"/>
        <v>#DIV/0!</v>
      </c>
      <c r="Y44" s="72" t="e">
        <f t="shared" si="7"/>
        <v>#DIV/0!</v>
      </c>
    </row>
    <row r="45" spans="1:25" s="10" customFormat="1">
      <c r="A45" s="23" t="s">
        <v>413</v>
      </c>
      <c r="B45" s="25" t="s">
        <v>414</v>
      </c>
      <c r="C45" s="29"/>
      <c r="D45" s="17"/>
      <c r="E45" s="17"/>
      <c r="F45" s="71"/>
      <c r="G45" s="71"/>
      <c r="H45" s="9"/>
      <c r="I45" s="17"/>
      <c r="J45" s="17"/>
      <c r="K45" s="17"/>
      <c r="L45" s="17"/>
      <c r="M45" s="17"/>
      <c r="N45" s="17"/>
      <c r="O45" s="17"/>
      <c r="P45" s="17"/>
      <c r="Q45" s="73">
        <f t="shared" si="1"/>
        <v>0</v>
      </c>
      <c r="R45" s="74">
        <f t="shared" si="2"/>
        <v>0</v>
      </c>
      <c r="S45" s="74">
        <f t="shared" si="3"/>
        <v>0</v>
      </c>
      <c r="T45" s="73">
        <f t="shared" si="4"/>
        <v>0</v>
      </c>
      <c r="U45" s="74">
        <f t="shared" si="5"/>
        <v>0</v>
      </c>
      <c r="V45" s="74">
        <f t="shared" si="6"/>
        <v>0</v>
      </c>
      <c r="W45" s="72" t="e">
        <f t="shared" si="7"/>
        <v>#DIV/0!</v>
      </c>
      <c r="X45" s="72" t="e">
        <f t="shared" si="7"/>
        <v>#DIV/0!</v>
      </c>
      <c r="Y45" s="72" t="e">
        <f t="shared" si="7"/>
        <v>#DIV/0!</v>
      </c>
    </row>
    <row r="46" spans="1:25" s="10" customFormat="1">
      <c r="A46" s="20">
        <v>1</v>
      </c>
      <c r="B46" s="7" t="s">
        <v>406</v>
      </c>
      <c r="C46" s="29">
        <v>1</v>
      </c>
      <c r="D46" s="17">
        <v>1</v>
      </c>
      <c r="E46" s="17">
        <v>1</v>
      </c>
      <c r="F46" s="71">
        <v>0.82</v>
      </c>
      <c r="G46" s="71"/>
      <c r="H46" s="20">
        <v>10</v>
      </c>
      <c r="I46" s="15"/>
      <c r="J46" s="15"/>
      <c r="K46" s="17">
        <v>10</v>
      </c>
      <c r="L46" s="17"/>
      <c r="M46" s="17"/>
      <c r="N46" s="17">
        <v>10</v>
      </c>
      <c r="O46" s="17"/>
      <c r="P46" s="17"/>
      <c r="Q46" s="73">
        <f t="shared" si="1"/>
        <v>0</v>
      </c>
      <c r="R46" s="74">
        <f t="shared" si="2"/>
        <v>0</v>
      </c>
      <c r="S46" s="74">
        <f t="shared" si="3"/>
        <v>0</v>
      </c>
      <c r="T46" s="73">
        <f t="shared" si="4"/>
        <v>0</v>
      </c>
      <c r="U46" s="74">
        <f t="shared" si="5"/>
        <v>0</v>
      </c>
      <c r="V46" s="74">
        <f t="shared" si="6"/>
        <v>0</v>
      </c>
      <c r="W46" s="72" t="e">
        <f t="shared" si="7"/>
        <v>#DIV/0!</v>
      </c>
      <c r="X46" s="72" t="e">
        <f t="shared" si="7"/>
        <v>#DIV/0!</v>
      </c>
      <c r="Y46" s="72" t="e">
        <f t="shared" si="7"/>
        <v>#DIV/0!</v>
      </c>
    </row>
    <row r="47" spans="1:25" s="10" customFormat="1">
      <c r="A47" s="23" t="s">
        <v>415</v>
      </c>
      <c r="B47" s="25" t="s">
        <v>229</v>
      </c>
      <c r="C47" s="29"/>
      <c r="D47" s="51"/>
      <c r="E47" s="51"/>
      <c r="F47" s="71"/>
      <c r="G47" s="71"/>
      <c r="H47" s="9"/>
      <c r="I47" s="17"/>
      <c r="J47" s="17"/>
      <c r="K47" s="51"/>
      <c r="L47" s="51"/>
      <c r="M47" s="51"/>
      <c r="N47" s="51"/>
      <c r="O47" s="51"/>
      <c r="P47" s="51"/>
      <c r="Q47" s="73">
        <f t="shared" si="1"/>
        <v>0</v>
      </c>
      <c r="R47" s="74">
        <f t="shared" si="2"/>
        <v>0</v>
      </c>
      <c r="S47" s="74">
        <f t="shared" si="3"/>
        <v>0</v>
      </c>
      <c r="T47" s="73">
        <f t="shared" si="4"/>
        <v>0</v>
      </c>
      <c r="U47" s="74">
        <f t="shared" si="5"/>
        <v>0</v>
      </c>
      <c r="V47" s="74">
        <f t="shared" si="6"/>
        <v>0</v>
      </c>
      <c r="W47" s="72" t="e">
        <f t="shared" si="7"/>
        <v>#DIV/0!</v>
      </c>
      <c r="X47" s="72" t="e">
        <f t="shared" si="7"/>
        <v>#DIV/0!</v>
      </c>
      <c r="Y47" s="72" t="e">
        <f t="shared" si="7"/>
        <v>#DIV/0!</v>
      </c>
    </row>
    <row r="48" spans="1:25" s="10" customFormat="1">
      <c r="A48" s="20"/>
      <c r="B48" s="7" t="s">
        <v>405</v>
      </c>
      <c r="C48" s="29">
        <v>1</v>
      </c>
      <c r="D48" s="17">
        <v>1</v>
      </c>
      <c r="E48" s="17">
        <v>1</v>
      </c>
      <c r="F48" s="71">
        <v>0.72</v>
      </c>
      <c r="G48" s="71"/>
      <c r="H48" s="37">
        <v>10</v>
      </c>
      <c r="I48" s="15"/>
      <c r="J48" s="15"/>
      <c r="K48" s="17">
        <v>10</v>
      </c>
      <c r="L48" s="17"/>
      <c r="M48" s="17"/>
      <c r="N48" s="17">
        <v>10</v>
      </c>
      <c r="O48" s="17"/>
      <c r="P48" s="17"/>
      <c r="Q48" s="73">
        <f t="shared" si="1"/>
        <v>0</v>
      </c>
      <c r="R48" s="74">
        <f t="shared" si="2"/>
        <v>0</v>
      </c>
      <c r="S48" s="74">
        <f t="shared" si="3"/>
        <v>0</v>
      </c>
      <c r="T48" s="73">
        <f t="shared" si="4"/>
        <v>0</v>
      </c>
      <c r="U48" s="74">
        <f t="shared" si="5"/>
        <v>0</v>
      </c>
      <c r="V48" s="74">
        <f t="shared" si="6"/>
        <v>0</v>
      </c>
      <c r="W48" s="72" t="e">
        <f t="shared" si="7"/>
        <v>#DIV/0!</v>
      </c>
      <c r="X48" s="72" t="e">
        <f t="shared" si="7"/>
        <v>#DIV/0!</v>
      </c>
      <c r="Y48" s="72" t="e">
        <f t="shared" si="7"/>
        <v>#DIV/0!</v>
      </c>
    </row>
    <row r="49" spans="1:25" s="10" customFormat="1" ht="24.75" customHeight="1">
      <c r="A49" s="15"/>
      <c r="B49" s="763" t="s">
        <v>7</v>
      </c>
      <c r="C49" s="764"/>
      <c r="D49" s="764"/>
      <c r="E49" s="764"/>
      <c r="F49" s="764"/>
      <c r="G49" s="764"/>
      <c r="H49" s="764"/>
      <c r="I49" s="764"/>
      <c r="J49" s="764"/>
      <c r="K49" s="764"/>
      <c r="L49" s="764"/>
      <c r="M49" s="764"/>
      <c r="N49" s="764"/>
      <c r="O49" s="764"/>
      <c r="P49" s="764"/>
      <c r="Q49" s="75">
        <f t="shared" ref="Q49:V49" si="8">SUM(Q8:Q48)</f>
        <v>0</v>
      </c>
      <c r="R49" s="75">
        <f t="shared" si="8"/>
        <v>0</v>
      </c>
      <c r="S49" s="75">
        <f t="shared" si="8"/>
        <v>0</v>
      </c>
      <c r="T49" s="75">
        <f t="shared" si="8"/>
        <v>0</v>
      </c>
      <c r="U49" s="75">
        <f t="shared" si="8"/>
        <v>0</v>
      </c>
      <c r="V49" s="75">
        <f t="shared" si="8"/>
        <v>0</v>
      </c>
      <c r="W49" s="76" t="e">
        <f t="shared" si="7"/>
        <v>#DIV/0!</v>
      </c>
      <c r="X49" s="76" t="e">
        <f t="shared" si="7"/>
        <v>#DIV/0!</v>
      </c>
      <c r="Y49" s="76" t="e">
        <f t="shared" si="7"/>
        <v>#DIV/0!</v>
      </c>
    </row>
  </sheetData>
  <mergeCells count="13">
    <mergeCell ref="T3:V3"/>
    <mergeCell ref="W3:Y3"/>
    <mergeCell ref="Q3:S3"/>
    <mergeCell ref="C3:E3"/>
    <mergeCell ref="B49:P49"/>
    <mergeCell ref="A3:A4"/>
    <mergeCell ref="B3:B4"/>
    <mergeCell ref="F3:F4"/>
    <mergeCell ref="G3:G4"/>
    <mergeCell ref="H3:P3"/>
    <mergeCell ref="H4:J4"/>
    <mergeCell ref="K4:M4"/>
    <mergeCell ref="N4:P4"/>
  </mergeCells>
  <pageMargins left="0.92" right="0.7" top="0.75" bottom="0.75" header="0.3" footer="0.3"/>
  <pageSetup paperSize="9" scale="6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74"/>
  <sheetViews>
    <sheetView showZeros="0" zoomScale="70" zoomScaleNormal="70" workbookViewId="0">
      <pane ySplit="4" topLeftCell="A32" activePane="bottomLeft" state="frozen"/>
      <selection pane="bottomLeft" activeCell="B74" sqref="B74:Y74"/>
    </sheetView>
  </sheetViews>
  <sheetFormatPr defaultColWidth="8.85546875" defaultRowHeight="15"/>
  <cols>
    <col min="1" max="1" width="9.140625" style="53" customWidth="1"/>
    <col min="2" max="2" width="37.5703125" style="39" customWidth="1"/>
    <col min="3" max="3" width="10.42578125" style="39" customWidth="1"/>
    <col min="4" max="4" width="11.42578125" style="39" bestFit="1" customWidth="1"/>
    <col min="5" max="5" width="10.42578125" style="39" customWidth="1"/>
    <col min="6" max="7" width="15.42578125" style="39" customWidth="1"/>
    <col min="8" max="10" width="11.42578125" style="53" customWidth="1"/>
    <col min="11" max="11" width="11.42578125" style="39" bestFit="1" customWidth="1"/>
    <col min="12" max="13" width="11.42578125" style="39" customWidth="1"/>
    <col min="14" max="15" width="10.42578125" style="39" customWidth="1"/>
    <col min="16" max="16" width="11.85546875" style="39" customWidth="1"/>
    <col min="17" max="17" width="13.7109375" style="1" bestFit="1" customWidth="1"/>
    <col min="18" max="19" width="13.7109375" style="39" bestFit="1" customWidth="1"/>
    <col min="20" max="20" width="13.7109375" style="1" bestFit="1" customWidth="1"/>
    <col min="21" max="22" width="13.7109375" style="39" bestFit="1" customWidth="1"/>
    <col min="23" max="23" width="13.7109375" style="1" bestFit="1" customWidth="1"/>
    <col min="24" max="25" width="13.7109375" style="39" bestFit="1" customWidth="1"/>
    <col min="26" max="16384" width="8.85546875" style="39"/>
  </cols>
  <sheetData>
    <row r="1" spans="1:25" s="10" customFormat="1" ht="14.25">
      <c r="A1" s="52" t="s">
        <v>0</v>
      </c>
      <c r="B1" s="38"/>
      <c r="C1" s="38"/>
      <c r="D1" s="38"/>
      <c r="E1" s="38"/>
      <c r="F1" s="38"/>
      <c r="G1" s="38"/>
      <c r="H1" s="52"/>
      <c r="I1" s="52"/>
      <c r="J1" s="52"/>
      <c r="K1" s="38"/>
      <c r="L1" s="38"/>
      <c r="M1" s="38"/>
      <c r="N1" s="38"/>
      <c r="O1" s="38"/>
      <c r="P1" s="38"/>
      <c r="Q1" s="4"/>
      <c r="R1" s="38"/>
      <c r="S1" s="38"/>
      <c r="T1" s="4"/>
      <c r="U1" s="38"/>
      <c r="V1" s="38"/>
      <c r="W1" s="4"/>
      <c r="X1" s="38"/>
      <c r="Y1" s="38"/>
    </row>
    <row r="3" spans="1:25" ht="35.25" customHeight="1">
      <c r="A3" s="757" t="s">
        <v>1</v>
      </c>
      <c r="B3" s="757" t="s">
        <v>2</v>
      </c>
      <c r="C3" s="759" t="s">
        <v>3</v>
      </c>
      <c r="D3" s="759"/>
      <c r="E3" s="760"/>
      <c r="F3" s="757" t="s">
        <v>8</v>
      </c>
      <c r="G3" s="761" t="s">
        <v>497</v>
      </c>
      <c r="H3" s="762" t="s">
        <v>499</v>
      </c>
      <c r="I3" s="759"/>
      <c r="J3" s="759"/>
      <c r="K3" s="759"/>
      <c r="L3" s="759"/>
      <c r="M3" s="759"/>
      <c r="N3" s="759"/>
      <c r="O3" s="759"/>
      <c r="P3" s="760"/>
      <c r="Q3" s="761" t="s">
        <v>501</v>
      </c>
      <c r="R3" s="761"/>
      <c r="S3" s="761"/>
      <c r="T3" s="761" t="s">
        <v>502</v>
      </c>
      <c r="U3" s="761"/>
      <c r="V3" s="761"/>
      <c r="W3" s="761" t="s">
        <v>503</v>
      </c>
      <c r="X3" s="761"/>
      <c r="Y3" s="761"/>
    </row>
    <row r="4" spans="1:25" ht="49.5" customHeight="1">
      <c r="A4" s="758"/>
      <c r="B4" s="758"/>
      <c r="C4" s="48" t="s">
        <v>484</v>
      </c>
      <c r="D4" s="48" t="s">
        <v>485</v>
      </c>
      <c r="E4" s="48" t="s">
        <v>486</v>
      </c>
      <c r="F4" s="758"/>
      <c r="G4" s="761"/>
      <c r="H4" s="750" t="s">
        <v>484</v>
      </c>
      <c r="I4" s="751"/>
      <c r="J4" s="752"/>
      <c r="K4" s="750" t="s">
        <v>485</v>
      </c>
      <c r="L4" s="751"/>
      <c r="M4" s="752"/>
      <c r="N4" s="753" t="s">
        <v>486</v>
      </c>
      <c r="O4" s="753"/>
      <c r="P4" s="753"/>
      <c r="Q4" s="40" t="s">
        <v>484</v>
      </c>
      <c r="R4" s="40" t="s">
        <v>485</v>
      </c>
      <c r="S4" s="40" t="s">
        <v>486</v>
      </c>
      <c r="T4" s="40" t="s">
        <v>484</v>
      </c>
      <c r="U4" s="40" t="s">
        <v>485</v>
      </c>
      <c r="V4" s="40" t="s">
        <v>486</v>
      </c>
      <c r="W4" s="40" t="s">
        <v>484</v>
      </c>
      <c r="X4" s="40" t="s">
        <v>485</v>
      </c>
      <c r="Y4" s="40" t="s">
        <v>486</v>
      </c>
    </row>
    <row r="5" spans="1:25" ht="69" customHeight="1">
      <c r="A5" s="49"/>
      <c r="B5" s="49"/>
      <c r="C5" s="48"/>
      <c r="D5" s="48"/>
      <c r="E5" s="48"/>
      <c r="F5" s="49"/>
      <c r="G5" s="48"/>
      <c r="H5" s="48" t="s">
        <v>498</v>
      </c>
      <c r="I5" s="48" t="s">
        <v>496</v>
      </c>
      <c r="J5" s="48" t="s">
        <v>5</v>
      </c>
      <c r="K5" s="48" t="s">
        <v>498</v>
      </c>
      <c r="L5" s="48" t="s">
        <v>496</v>
      </c>
      <c r="M5" s="48" t="s">
        <v>5</v>
      </c>
      <c r="N5" s="48" t="s">
        <v>498</v>
      </c>
      <c r="O5" s="48" t="s">
        <v>496</v>
      </c>
      <c r="P5" s="48" t="s">
        <v>5</v>
      </c>
      <c r="Q5" s="40"/>
      <c r="R5" s="8"/>
      <c r="S5" s="8"/>
      <c r="T5" s="40"/>
      <c r="U5" s="8"/>
      <c r="V5" s="8"/>
      <c r="W5" s="40"/>
      <c r="X5" s="8"/>
      <c r="Y5" s="8"/>
    </row>
    <row r="6" spans="1:25" s="10" customFormat="1" ht="15.75">
      <c r="A6" s="13">
        <v>1</v>
      </c>
      <c r="B6" s="13">
        <v>2</v>
      </c>
      <c r="C6" s="22"/>
      <c r="D6" s="22"/>
      <c r="E6" s="22"/>
      <c r="F6" s="13">
        <v>5</v>
      </c>
      <c r="G6" s="13"/>
      <c r="H6" s="13"/>
      <c r="I6" s="22"/>
      <c r="J6" s="22"/>
      <c r="K6" s="22"/>
      <c r="L6" s="22"/>
      <c r="M6" s="22"/>
      <c r="N6" s="22"/>
      <c r="O6" s="22"/>
      <c r="P6" s="13">
        <v>8</v>
      </c>
      <c r="Q6" s="5"/>
      <c r="R6" s="22"/>
      <c r="S6" s="22"/>
      <c r="T6" s="5"/>
      <c r="U6" s="22"/>
      <c r="V6" s="22"/>
      <c r="W6" s="5"/>
      <c r="X6" s="22"/>
      <c r="Y6" s="22"/>
    </row>
    <row r="7" spans="1:25" s="10" customFormat="1">
      <c r="A7" s="23" t="s">
        <v>6</v>
      </c>
      <c r="B7" s="50" t="s">
        <v>222</v>
      </c>
      <c r="C7" s="29"/>
      <c r="D7" s="18"/>
      <c r="E7" s="18"/>
      <c r="F7" s="71"/>
      <c r="G7" s="84"/>
      <c r="H7" s="12"/>
      <c r="I7" s="54"/>
      <c r="J7" s="54"/>
      <c r="K7" s="18"/>
      <c r="L7" s="18"/>
      <c r="M7" s="18"/>
      <c r="N7" s="18"/>
      <c r="O7" s="54"/>
      <c r="P7" s="12"/>
      <c r="Q7" s="18"/>
      <c r="R7" s="18"/>
      <c r="S7" s="18"/>
      <c r="T7" s="18"/>
      <c r="U7" s="18"/>
      <c r="V7" s="18"/>
      <c r="W7" s="18"/>
      <c r="X7" s="18"/>
      <c r="Y7" s="18"/>
    </row>
    <row r="8" spans="1:25" s="10" customFormat="1">
      <c r="A8" s="20">
        <v>1</v>
      </c>
      <c r="B8" s="26" t="s">
        <v>230</v>
      </c>
      <c r="C8" s="29"/>
      <c r="D8" s="17"/>
      <c r="E8" s="17"/>
      <c r="F8" s="71">
        <v>2</v>
      </c>
      <c r="G8" s="84">
        <v>2</v>
      </c>
      <c r="H8" s="20"/>
      <c r="I8" s="37"/>
      <c r="J8" s="37"/>
      <c r="K8" s="17"/>
      <c r="L8" s="17"/>
      <c r="M8" s="17"/>
      <c r="N8" s="17"/>
      <c r="O8" s="36"/>
      <c r="P8" s="20"/>
      <c r="Q8" s="73">
        <f>C8*F8*H8*J8</f>
        <v>0</v>
      </c>
      <c r="R8" s="74">
        <f>D8*F8*K8*M8</f>
        <v>0</v>
      </c>
      <c r="S8" s="74">
        <f>E8*F8*N8*P8</f>
        <v>0</v>
      </c>
      <c r="T8" s="73">
        <f>C8*G8*H8*J8</f>
        <v>0</v>
      </c>
      <c r="U8" s="74">
        <f>D8*G8*K8*M8</f>
        <v>0</v>
      </c>
      <c r="V8" s="74">
        <f>E8*G8*N8*P8</f>
        <v>0</v>
      </c>
      <c r="W8" s="72" t="e">
        <f t="shared" ref="W8:Y43" si="0">T8/Q8</f>
        <v>#DIV/0!</v>
      </c>
      <c r="X8" s="72" t="e">
        <f t="shared" si="0"/>
        <v>#DIV/0!</v>
      </c>
      <c r="Y8" s="72" t="e">
        <f t="shared" si="0"/>
        <v>#DIV/0!</v>
      </c>
    </row>
    <row r="9" spans="1:25" s="10" customFormat="1">
      <c r="A9" s="20">
        <v>2</v>
      </c>
      <c r="B9" s="26" t="s">
        <v>231</v>
      </c>
      <c r="C9" s="29"/>
      <c r="D9" s="17"/>
      <c r="E9" s="17"/>
      <c r="F9" s="71">
        <v>2.8</v>
      </c>
      <c r="G9" s="84">
        <v>2.8</v>
      </c>
      <c r="H9" s="20"/>
      <c r="I9" s="37"/>
      <c r="J9" s="37"/>
      <c r="K9" s="17"/>
      <c r="L9" s="17"/>
      <c r="M9" s="17"/>
      <c r="N9" s="17"/>
      <c r="O9" s="36"/>
      <c r="P9" s="20"/>
      <c r="Q9" s="73">
        <f t="shared" ref="Q9:Q72" si="1">C9*F9*H9*J9</f>
        <v>0</v>
      </c>
      <c r="R9" s="74">
        <f t="shared" ref="R9:R72" si="2">D9*F9*K9*M9</f>
        <v>0</v>
      </c>
      <c r="S9" s="74">
        <f t="shared" ref="S9:S72" si="3">E9*F9*N9*P9</f>
        <v>0</v>
      </c>
      <c r="T9" s="73">
        <f t="shared" ref="T9:T72" si="4">C9*G9*H9*J9</f>
        <v>0</v>
      </c>
      <c r="U9" s="74">
        <f t="shared" ref="U9:U72" si="5">D9*G9*K9*M9</f>
        <v>0</v>
      </c>
      <c r="V9" s="74">
        <f t="shared" ref="V9:V72" si="6">E9*G9*N9*P9</f>
        <v>0</v>
      </c>
      <c r="W9" s="72" t="e">
        <f t="shared" si="0"/>
        <v>#DIV/0!</v>
      </c>
      <c r="X9" s="72" t="e">
        <f t="shared" si="0"/>
        <v>#DIV/0!</v>
      </c>
      <c r="Y9" s="72" t="e">
        <f t="shared" si="0"/>
        <v>#DIV/0!</v>
      </c>
    </row>
    <row r="10" spans="1:25" s="10" customFormat="1">
      <c r="A10" s="20">
        <v>3</v>
      </c>
      <c r="B10" s="26" t="s">
        <v>232</v>
      </c>
      <c r="C10" s="29"/>
      <c r="D10" s="17"/>
      <c r="E10" s="17"/>
      <c r="F10" s="71">
        <v>2</v>
      </c>
      <c r="G10" s="84">
        <v>2</v>
      </c>
      <c r="H10" s="20"/>
      <c r="I10" s="37"/>
      <c r="J10" s="37"/>
      <c r="K10" s="17"/>
      <c r="L10" s="17"/>
      <c r="M10" s="17"/>
      <c r="N10" s="17"/>
      <c r="O10" s="36"/>
      <c r="P10" s="20"/>
      <c r="Q10" s="73">
        <f t="shared" si="1"/>
        <v>0</v>
      </c>
      <c r="R10" s="74">
        <f t="shared" si="2"/>
        <v>0</v>
      </c>
      <c r="S10" s="74">
        <f t="shared" si="3"/>
        <v>0</v>
      </c>
      <c r="T10" s="73">
        <f t="shared" si="4"/>
        <v>0</v>
      </c>
      <c r="U10" s="74">
        <f t="shared" si="5"/>
        <v>0</v>
      </c>
      <c r="V10" s="74">
        <f t="shared" si="6"/>
        <v>0</v>
      </c>
      <c r="W10" s="72" t="e">
        <f t="shared" si="0"/>
        <v>#DIV/0!</v>
      </c>
      <c r="X10" s="72" t="e">
        <f t="shared" si="0"/>
        <v>#DIV/0!</v>
      </c>
      <c r="Y10" s="72" t="e">
        <f t="shared" si="0"/>
        <v>#DIV/0!</v>
      </c>
    </row>
    <row r="11" spans="1:25" s="10" customFormat="1">
      <c r="A11" s="20">
        <v>4</v>
      </c>
      <c r="B11" s="26" t="s">
        <v>233</v>
      </c>
      <c r="C11" s="29"/>
      <c r="D11" s="17"/>
      <c r="E11" s="17"/>
      <c r="F11" s="71">
        <v>3.3</v>
      </c>
      <c r="G11" s="84">
        <v>3.3</v>
      </c>
      <c r="H11" s="20"/>
      <c r="I11" s="37"/>
      <c r="J11" s="37"/>
      <c r="K11" s="17"/>
      <c r="L11" s="17"/>
      <c r="M11" s="17"/>
      <c r="N11" s="17"/>
      <c r="O11" s="36"/>
      <c r="P11" s="20"/>
      <c r="Q11" s="73">
        <f t="shared" si="1"/>
        <v>0</v>
      </c>
      <c r="R11" s="74">
        <f t="shared" si="2"/>
        <v>0</v>
      </c>
      <c r="S11" s="74">
        <f t="shared" si="3"/>
        <v>0</v>
      </c>
      <c r="T11" s="73">
        <f t="shared" si="4"/>
        <v>0</v>
      </c>
      <c r="U11" s="74">
        <f t="shared" si="5"/>
        <v>0</v>
      </c>
      <c r="V11" s="74">
        <f t="shared" si="6"/>
        <v>0</v>
      </c>
      <c r="W11" s="72" t="e">
        <f t="shared" si="0"/>
        <v>#DIV/0!</v>
      </c>
      <c r="X11" s="72" t="e">
        <f t="shared" si="0"/>
        <v>#DIV/0!</v>
      </c>
      <c r="Y11" s="72" t="e">
        <f t="shared" si="0"/>
        <v>#DIV/0!</v>
      </c>
    </row>
    <row r="12" spans="1:25" s="10" customFormat="1">
      <c r="A12" s="20">
        <v>8</v>
      </c>
      <c r="B12" s="26" t="s">
        <v>234</v>
      </c>
      <c r="C12" s="29"/>
      <c r="D12" s="17"/>
      <c r="E12" s="17"/>
      <c r="F12" s="71">
        <v>2</v>
      </c>
      <c r="G12" s="84">
        <v>2</v>
      </c>
      <c r="H12" s="20"/>
      <c r="I12" s="37"/>
      <c r="J12" s="37"/>
      <c r="K12" s="17"/>
      <c r="L12" s="17"/>
      <c r="M12" s="17"/>
      <c r="N12" s="17"/>
      <c r="O12" s="36"/>
      <c r="P12" s="20"/>
      <c r="Q12" s="73">
        <f t="shared" si="1"/>
        <v>0</v>
      </c>
      <c r="R12" s="74">
        <f t="shared" si="2"/>
        <v>0</v>
      </c>
      <c r="S12" s="74">
        <f t="shared" si="3"/>
        <v>0</v>
      </c>
      <c r="T12" s="73">
        <f t="shared" si="4"/>
        <v>0</v>
      </c>
      <c r="U12" s="74">
        <f t="shared" si="5"/>
        <v>0</v>
      </c>
      <c r="V12" s="74">
        <f t="shared" si="6"/>
        <v>0</v>
      </c>
      <c r="W12" s="72" t="e">
        <f t="shared" si="0"/>
        <v>#DIV/0!</v>
      </c>
      <c r="X12" s="72" t="e">
        <f t="shared" si="0"/>
        <v>#DIV/0!</v>
      </c>
      <c r="Y12" s="72" t="e">
        <f t="shared" si="0"/>
        <v>#DIV/0!</v>
      </c>
    </row>
    <row r="13" spans="1:25" s="10" customFormat="1">
      <c r="A13" s="20">
        <v>9</v>
      </c>
      <c r="B13" s="26" t="s">
        <v>235</v>
      </c>
      <c r="C13" s="29"/>
      <c r="D13" s="17"/>
      <c r="E13" s="17"/>
      <c r="F13" s="71">
        <v>3.3</v>
      </c>
      <c r="G13" s="84">
        <v>3.3</v>
      </c>
      <c r="H13" s="20"/>
      <c r="I13" s="37"/>
      <c r="J13" s="37"/>
      <c r="K13" s="17"/>
      <c r="L13" s="17"/>
      <c r="M13" s="17"/>
      <c r="N13" s="17"/>
      <c r="O13" s="36"/>
      <c r="P13" s="20"/>
      <c r="Q13" s="73">
        <f t="shared" si="1"/>
        <v>0</v>
      </c>
      <c r="R13" s="74">
        <f t="shared" si="2"/>
        <v>0</v>
      </c>
      <c r="S13" s="74">
        <f t="shared" si="3"/>
        <v>0</v>
      </c>
      <c r="T13" s="73">
        <f t="shared" si="4"/>
        <v>0</v>
      </c>
      <c r="U13" s="74">
        <f t="shared" si="5"/>
        <v>0</v>
      </c>
      <c r="V13" s="74">
        <f t="shared" si="6"/>
        <v>0</v>
      </c>
      <c r="W13" s="72" t="e">
        <f t="shared" si="0"/>
        <v>#DIV/0!</v>
      </c>
      <c r="X13" s="72" t="e">
        <f t="shared" si="0"/>
        <v>#DIV/0!</v>
      </c>
      <c r="Y13" s="72" t="e">
        <f t="shared" si="0"/>
        <v>#DIV/0!</v>
      </c>
    </row>
    <row r="14" spans="1:25" s="10" customFormat="1">
      <c r="A14" s="20">
        <v>10</v>
      </c>
      <c r="B14" s="26" t="s">
        <v>236</v>
      </c>
      <c r="C14" s="29"/>
      <c r="D14" s="17"/>
      <c r="E14" s="17"/>
      <c r="F14" s="71">
        <v>2</v>
      </c>
      <c r="G14" s="84">
        <v>2</v>
      </c>
      <c r="H14" s="20"/>
      <c r="I14" s="37"/>
      <c r="J14" s="37"/>
      <c r="K14" s="17"/>
      <c r="L14" s="17"/>
      <c r="M14" s="17"/>
      <c r="N14" s="17"/>
      <c r="O14" s="36"/>
      <c r="P14" s="20"/>
      <c r="Q14" s="73">
        <f t="shared" si="1"/>
        <v>0</v>
      </c>
      <c r="R14" s="74">
        <f t="shared" si="2"/>
        <v>0</v>
      </c>
      <c r="S14" s="74">
        <f t="shared" si="3"/>
        <v>0</v>
      </c>
      <c r="T14" s="73">
        <f t="shared" si="4"/>
        <v>0</v>
      </c>
      <c r="U14" s="74">
        <f t="shared" si="5"/>
        <v>0</v>
      </c>
      <c r="V14" s="74">
        <f t="shared" si="6"/>
        <v>0</v>
      </c>
      <c r="W14" s="72" t="e">
        <f t="shared" si="0"/>
        <v>#DIV/0!</v>
      </c>
      <c r="X14" s="72" t="e">
        <f t="shared" si="0"/>
        <v>#DIV/0!</v>
      </c>
      <c r="Y14" s="72" t="e">
        <f t="shared" si="0"/>
        <v>#DIV/0!</v>
      </c>
    </row>
    <row r="15" spans="1:25" s="10" customFormat="1">
      <c r="A15" s="20">
        <v>12</v>
      </c>
      <c r="B15" s="26" t="s">
        <v>237</v>
      </c>
      <c r="C15" s="29"/>
      <c r="D15" s="17"/>
      <c r="E15" s="17"/>
      <c r="F15" s="71">
        <v>2</v>
      </c>
      <c r="G15" s="84">
        <v>2</v>
      </c>
      <c r="H15" s="20"/>
      <c r="I15" s="37"/>
      <c r="J15" s="37"/>
      <c r="K15" s="17"/>
      <c r="L15" s="17"/>
      <c r="M15" s="17"/>
      <c r="N15" s="17"/>
      <c r="O15" s="36"/>
      <c r="P15" s="20"/>
      <c r="Q15" s="73">
        <f t="shared" si="1"/>
        <v>0</v>
      </c>
      <c r="R15" s="74">
        <f t="shared" si="2"/>
        <v>0</v>
      </c>
      <c r="S15" s="74">
        <f t="shared" si="3"/>
        <v>0</v>
      </c>
      <c r="T15" s="73">
        <f t="shared" si="4"/>
        <v>0</v>
      </c>
      <c r="U15" s="74">
        <f t="shared" si="5"/>
        <v>0</v>
      </c>
      <c r="V15" s="74">
        <f t="shared" si="6"/>
        <v>0</v>
      </c>
      <c r="W15" s="72" t="e">
        <f t="shared" si="0"/>
        <v>#DIV/0!</v>
      </c>
      <c r="X15" s="72" t="e">
        <f t="shared" si="0"/>
        <v>#DIV/0!</v>
      </c>
      <c r="Y15" s="72" t="e">
        <f t="shared" si="0"/>
        <v>#DIV/0!</v>
      </c>
    </row>
    <row r="16" spans="1:25" s="10" customFormat="1">
      <c r="A16" s="20">
        <v>13</v>
      </c>
      <c r="B16" s="26" t="s">
        <v>238</v>
      </c>
      <c r="C16" s="29"/>
      <c r="D16" s="17"/>
      <c r="E16" s="17"/>
      <c r="F16" s="71">
        <v>3.3</v>
      </c>
      <c r="G16" s="84">
        <v>3.3</v>
      </c>
      <c r="H16" s="20"/>
      <c r="I16" s="37"/>
      <c r="J16" s="37"/>
      <c r="K16" s="17"/>
      <c r="L16" s="17"/>
      <c r="M16" s="17"/>
      <c r="N16" s="17"/>
      <c r="O16" s="36"/>
      <c r="P16" s="20"/>
      <c r="Q16" s="73">
        <f t="shared" si="1"/>
        <v>0</v>
      </c>
      <c r="R16" s="74">
        <f t="shared" si="2"/>
        <v>0</v>
      </c>
      <c r="S16" s="74">
        <f t="shared" si="3"/>
        <v>0</v>
      </c>
      <c r="T16" s="73">
        <f t="shared" si="4"/>
        <v>0</v>
      </c>
      <c r="U16" s="74">
        <f t="shared" si="5"/>
        <v>0</v>
      </c>
      <c r="V16" s="74">
        <f t="shared" si="6"/>
        <v>0</v>
      </c>
      <c r="W16" s="72" t="e">
        <f t="shared" si="0"/>
        <v>#DIV/0!</v>
      </c>
      <c r="X16" s="72" t="e">
        <f t="shared" si="0"/>
        <v>#DIV/0!</v>
      </c>
      <c r="Y16" s="72" t="e">
        <f t="shared" si="0"/>
        <v>#DIV/0!</v>
      </c>
    </row>
    <row r="17" spans="1:25" s="10" customFormat="1">
      <c r="A17" s="23" t="s">
        <v>18</v>
      </c>
      <c r="B17" s="26" t="s">
        <v>239</v>
      </c>
      <c r="C17" s="29"/>
      <c r="D17" s="17"/>
      <c r="E17" s="17"/>
      <c r="F17" s="71">
        <v>2.8</v>
      </c>
      <c r="G17" s="71">
        <v>2.8</v>
      </c>
      <c r="H17" s="71"/>
      <c r="I17" s="71"/>
      <c r="J17" s="71"/>
      <c r="K17" s="17"/>
      <c r="L17" s="17"/>
      <c r="M17" s="17"/>
      <c r="N17" s="17"/>
      <c r="O17" s="17"/>
      <c r="P17" s="71"/>
      <c r="Q17" s="73">
        <f t="shared" si="1"/>
        <v>0</v>
      </c>
      <c r="R17" s="74">
        <f t="shared" si="2"/>
        <v>0</v>
      </c>
      <c r="S17" s="74">
        <f t="shared" si="3"/>
        <v>0</v>
      </c>
      <c r="T17" s="73">
        <f t="shared" si="4"/>
        <v>0</v>
      </c>
      <c r="U17" s="74">
        <f t="shared" si="5"/>
        <v>0</v>
      </c>
      <c r="V17" s="74">
        <f t="shared" si="6"/>
        <v>0</v>
      </c>
      <c r="W17" s="72" t="e">
        <f t="shared" si="0"/>
        <v>#DIV/0!</v>
      </c>
      <c r="X17" s="72" t="e">
        <f t="shared" si="0"/>
        <v>#DIV/0!</v>
      </c>
      <c r="Y17" s="72" t="e">
        <f t="shared" si="0"/>
        <v>#DIV/0!</v>
      </c>
    </row>
    <row r="18" spans="1:25" s="10" customFormat="1">
      <c r="A18" s="20">
        <v>1</v>
      </c>
      <c r="B18" s="26" t="s">
        <v>240</v>
      </c>
      <c r="C18" s="29"/>
      <c r="D18" s="17"/>
      <c r="E18" s="17"/>
      <c r="F18" s="71">
        <v>4.2</v>
      </c>
      <c r="G18" s="84">
        <v>4.2</v>
      </c>
      <c r="H18" s="20"/>
      <c r="I18" s="37"/>
      <c r="J18" s="37"/>
      <c r="K18" s="17"/>
      <c r="L18" s="17"/>
      <c r="M18" s="17"/>
      <c r="N18" s="17"/>
      <c r="O18" s="36"/>
      <c r="P18" s="20"/>
      <c r="Q18" s="73">
        <f t="shared" si="1"/>
        <v>0</v>
      </c>
      <c r="R18" s="74">
        <f t="shared" si="2"/>
        <v>0</v>
      </c>
      <c r="S18" s="74">
        <f t="shared" si="3"/>
        <v>0</v>
      </c>
      <c r="T18" s="73">
        <f t="shared" si="4"/>
        <v>0</v>
      </c>
      <c r="U18" s="74">
        <f t="shared" si="5"/>
        <v>0</v>
      </c>
      <c r="V18" s="74">
        <f t="shared" si="6"/>
        <v>0</v>
      </c>
      <c r="W18" s="72" t="e">
        <f t="shared" si="0"/>
        <v>#DIV/0!</v>
      </c>
      <c r="X18" s="72" t="e">
        <f t="shared" si="0"/>
        <v>#DIV/0!</v>
      </c>
      <c r="Y18" s="72" t="e">
        <f t="shared" si="0"/>
        <v>#DIV/0!</v>
      </c>
    </row>
    <row r="19" spans="1:25" s="10" customFormat="1">
      <c r="A19" s="20">
        <v>2</v>
      </c>
      <c r="B19" s="26" t="s">
        <v>241</v>
      </c>
      <c r="C19" s="29"/>
      <c r="D19" s="17"/>
      <c r="E19" s="17"/>
      <c r="F19" s="71">
        <v>2.6</v>
      </c>
      <c r="G19" s="84">
        <v>2.6</v>
      </c>
      <c r="H19" s="20"/>
      <c r="I19" s="37"/>
      <c r="J19" s="37"/>
      <c r="K19" s="17"/>
      <c r="L19" s="17"/>
      <c r="M19" s="17"/>
      <c r="N19" s="17"/>
      <c r="O19" s="36"/>
      <c r="P19" s="20"/>
      <c r="Q19" s="73">
        <f t="shared" si="1"/>
        <v>0</v>
      </c>
      <c r="R19" s="74">
        <f t="shared" si="2"/>
        <v>0</v>
      </c>
      <c r="S19" s="74">
        <f t="shared" si="3"/>
        <v>0</v>
      </c>
      <c r="T19" s="73">
        <f t="shared" si="4"/>
        <v>0</v>
      </c>
      <c r="U19" s="74">
        <f t="shared" si="5"/>
        <v>0</v>
      </c>
      <c r="V19" s="74">
        <f t="shared" si="6"/>
        <v>0</v>
      </c>
      <c r="W19" s="72" t="e">
        <f t="shared" si="0"/>
        <v>#DIV/0!</v>
      </c>
      <c r="X19" s="72" t="e">
        <f t="shared" si="0"/>
        <v>#DIV/0!</v>
      </c>
      <c r="Y19" s="72" t="e">
        <f t="shared" si="0"/>
        <v>#DIV/0!</v>
      </c>
    </row>
    <row r="20" spans="1:25" s="10" customFormat="1">
      <c r="A20" s="20"/>
      <c r="B20" s="26" t="s">
        <v>242</v>
      </c>
      <c r="C20" s="29"/>
      <c r="D20" s="17"/>
      <c r="E20" s="17"/>
      <c r="F20" s="71">
        <v>3.3</v>
      </c>
      <c r="G20" s="84">
        <v>3.3</v>
      </c>
      <c r="H20" s="20"/>
      <c r="I20" s="37"/>
      <c r="J20" s="37"/>
      <c r="K20" s="17"/>
      <c r="L20" s="17"/>
      <c r="M20" s="17"/>
      <c r="N20" s="17"/>
      <c r="O20" s="36"/>
      <c r="P20" s="20"/>
      <c r="Q20" s="73">
        <f t="shared" si="1"/>
        <v>0</v>
      </c>
      <c r="R20" s="74">
        <f t="shared" si="2"/>
        <v>0</v>
      </c>
      <c r="S20" s="74">
        <f t="shared" si="3"/>
        <v>0</v>
      </c>
      <c r="T20" s="73">
        <f t="shared" si="4"/>
        <v>0</v>
      </c>
      <c r="U20" s="74">
        <f t="shared" si="5"/>
        <v>0</v>
      </c>
      <c r="V20" s="74">
        <f t="shared" si="6"/>
        <v>0</v>
      </c>
      <c r="W20" s="72" t="e">
        <f t="shared" si="0"/>
        <v>#DIV/0!</v>
      </c>
      <c r="X20" s="72" t="e">
        <f t="shared" si="0"/>
        <v>#DIV/0!</v>
      </c>
      <c r="Y20" s="72" t="e">
        <f t="shared" si="0"/>
        <v>#DIV/0!</v>
      </c>
    </row>
    <row r="21" spans="1:25" s="10" customFormat="1">
      <c r="A21" s="20"/>
      <c r="B21" s="26" t="s">
        <v>243</v>
      </c>
      <c r="C21" s="29"/>
      <c r="D21" s="17"/>
      <c r="E21" s="17"/>
      <c r="F21" s="71">
        <v>2</v>
      </c>
      <c r="G21" s="84">
        <v>2</v>
      </c>
      <c r="H21" s="20"/>
      <c r="I21" s="37"/>
      <c r="J21" s="37"/>
      <c r="K21" s="17"/>
      <c r="L21" s="17"/>
      <c r="M21" s="17"/>
      <c r="N21" s="17"/>
      <c r="O21" s="36"/>
      <c r="P21" s="20"/>
      <c r="Q21" s="73">
        <f t="shared" si="1"/>
        <v>0</v>
      </c>
      <c r="R21" s="74">
        <f t="shared" si="2"/>
        <v>0</v>
      </c>
      <c r="S21" s="74">
        <f t="shared" si="3"/>
        <v>0</v>
      </c>
      <c r="T21" s="73">
        <f t="shared" si="4"/>
        <v>0</v>
      </c>
      <c r="U21" s="74">
        <f t="shared" si="5"/>
        <v>0</v>
      </c>
      <c r="V21" s="74">
        <f t="shared" si="6"/>
        <v>0</v>
      </c>
      <c r="W21" s="72" t="e">
        <f t="shared" si="0"/>
        <v>#DIV/0!</v>
      </c>
      <c r="X21" s="72" t="e">
        <f t="shared" si="0"/>
        <v>#DIV/0!</v>
      </c>
      <c r="Y21" s="72" t="e">
        <f t="shared" si="0"/>
        <v>#DIV/0!</v>
      </c>
    </row>
    <row r="22" spans="1:25" s="10" customFormat="1">
      <c r="A22" s="20"/>
      <c r="B22" s="26" t="s">
        <v>244</v>
      </c>
      <c r="C22" s="29"/>
      <c r="D22" s="17"/>
      <c r="E22" s="17"/>
      <c r="F22" s="71">
        <v>2.6</v>
      </c>
      <c r="G22" s="84">
        <v>2.6</v>
      </c>
      <c r="H22" s="20"/>
      <c r="I22" s="37"/>
      <c r="J22" s="37"/>
      <c r="K22" s="17"/>
      <c r="L22" s="17"/>
      <c r="M22" s="17"/>
      <c r="N22" s="17"/>
      <c r="O22" s="36"/>
      <c r="P22" s="20"/>
      <c r="Q22" s="73">
        <f t="shared" si="1"/>
        <v>0</v>
      </c>
      <c r="R22" s="74">
        <f t="shared" si="2"/>
        <v>0</v>
      </c>
      <c r="S22" s="74">
        <f t="shared" si="3"/>
        <v>0</v>
      </c>
      <c r="T22" s="73">
        <f t="shared" si="4"/>
        <v>0</v>
      </c>
      <c r="U22" s="74">
        <f t="shared" si="5"/>
        <v>0</v>
      </c>
      <c r="V22" s="74">
        <f t="shared" si="6"/>
        <v>0</v>
      </c>
      <c r="W22" s="72" t="e">
        <f t="shared" si="0"/>
        <v>#DIV/0!</v>
      </c>
      <c r="X22" s="72" t="e">
        <f t="shared" si="0"/>
        <v>#DIV/0!</v>
      </c>
      <c r="Y22" s="72" t="e">
        <f t="shared" si="0"/>
        <v>#DIV/0!</v>
      </c>
    </row>
    <row r="23" spans="1:25" s="10" customFormat="1">
      <c r="A23" s="20"/>
      <c r="B23" s="26" t="s">
        <v>245</v>
      </c>
      <c r="C23" s="29"/>
      <c r="D23" s="18"/>
      <c r="E23" s="18"/>
      <c r="F23" s="71">
        <v>2</v>
      </c>
      <c r="G23" s="84">
        <v>2</v>
      </c>
      <c r="H23" s="20"/>
      <c r="I23" s="37"/>
      <c r="J23" s="37"/>
      <c r="K23" s="18"/>
      <c r="L23" s="18"/>
      <c r="M23" s="18"/>
      <c r="N23" s="18"/>
      <c r="O23" s="54"/>
      <c r="P23" s="20"/>
      <c r="Q23" s="73">
        <f t="shared" si="1"/>
        <v>0</v>
      </c>
      <c r="R23" s="74">
        <f t="shared" si="2"/>
        <v>0</v>
      </c>
      <c r="S23" s="74">
        <f t="shared" si="3"/>
        <v>0</v>
      </c>
      <c r="T23" s="73">
        <f t="shared" si="4"/>
        <v>0</v>
      </c>
      <c r="U23" s="74">
        <f t="shared" si="5"/>
        <v>0</v>
      </c>
      <c r="V23" s="74">
        <f t="shared" si="6"/>
        <v>0</v>
      </c>
      <c r="W23" s="72" t="e">
        <f t="shared" si="0"/>
        <v>#DIV/0!</v>
      </c>
      <c r="X23" s="72" t="e">
        <f t="shared" si="0"/>
        <v>#DIV/0!</v>
      </c>
      <c r="Y23" s="72" t="e">
        <f t="shared" si="0"/>
        <v>#DIV/0!</v>
      </c>
    </row>
    <row r="24" spans="1:25" s="10" customFormat="1">
      <c r="A24" s="20"/>
      <c r="B24" s="26" t="s">
        <v>246</v>
      </c>
      <c r="C24" s="29"/>
      <c r="D24" s="17"/>
      <c r="E24" s="17"/>
      <c r="F24" s="71">
        <v>2.2000000000000002</v>
      </c>
      <c r="G24" s="84">
        <v>2.2000000000000002</v>
      </c>
      <c r="H24" s="20"/>
      <c r="I24" s="37"/>
      <c r="J24" s="37"/>
      <c r="K24" s="17"/>
      <c r="L24" s="17"/>
      <c r="M24" s="17"/>
      <c r="N24" s="17"/>
      <c r="O24" s="36"/>
      <c r="P24" s="20"/>
      <c r="Q24" s="73">
        <f t="shared" si="1"/>
        <v>0</v>
      </c>
      <c r="R24" s="74">
        <f t="shared" si="2"/>
        <v>0</v>
      </c>
      <c r="S24" s="74">
        <f t="shared" si="3"/>
        <v>0</v>
      </c>
      <c r="T24" s="73">
        <f t="shared" si="4"/>
        <v>0</v>
      </c>
      <c r="U24" s="74">
        <f t="shared" si="5"/>
        <v>0</v>
      </c>
      <c r="V24" s="74">
        <f t="shared" si="6"/>
        <v>0</v>
      </c>
      <c r="W24" s="72" t="e">
        <f t="shared" si="0"/>
        <v>#DIV/0!</v>
      </c>
      <c r="X24" s="72" t="e">
        <f t="shared" si="0"/>
        <v>#DIV/0!</v>
      </c>
      <c r="Y24" s="72" t="e">
        <f t="shared" si="0"/>
        <v>#DIV/0!</v>
      </c>
    </row>
    <row r="25" spans="1:25" s="10" customFormat="1">
      <c r="A25" s="20"/>
      <c r="B25" s="26" t="s">
        <v>247</v>
      </c>
      <c r="C25" s="29"/>
      <c r="D25" s="17"/>
      <c r="E25" s="17"/>
      <c r="F25" s="71">
        <v>1.65</v>
      </c>
      <c r="G25" s="84">
        <v>1.65</v>
      </c>
      <c r="H25" s="20"/>
      <c r="I25" s="37"/>
      <c r="J25" s="37"/>
      <c r="K25" s="17"/>
      <c r="L25" s="17"/>
      <c r="M25" s="17"/>
      <c r="N25" s="17"/>
      <c r="O25" s="36"/>
      <c r="P25" s="20"/>
      <c r="Q25" s="73">
        <f t="shared" si="1"/>
        <v>0</v>
      </c>
      <c r="R25" s="74">
        <f t="shared" si="2"/>
        <v>0</v>
      </c>
      <c r="S25" s="74">
        <f t="shared" si="3"/>
        <v>0</v>
      </c>
      <c r="T25" s="73">
        <f t="shared" si="4"/>
        <v>0</v>
      </c>
      <c r="U25" s="74">
        <f t="shared" si="5"/>
        <v>0</v>
      </c>
      <c r="V25" s="74">
        <f t="shared" si="6"/>
        <v>0</v>
      </c>
      <c r="W25" s="72" t="e">
        <f t="shared" si="0"/>
        <v>#DIV/0!</v>
      </c>
      <c r="X25" s="72" t="e">
        <f t="shared" si="0"/>
        <v>#DIV/0!</v>
      </c>
      <c r="Y25" s="72" t="e">
        <f t="shared" si="0"/>
        <v>#DIV/0!</v>
      </c>
    </row>
    <row r="26" spans="1:25" s="10" customFormat="1">
      <c r="A26" s="20"/>
      <c r="B26" s="26" t="s">
        <v>248</v>
      </c>
      <c r="C26" s="29"/>
      <c r="D26" s="17"/>
      <c r="E26" s="17"/>
      <c r="F26" s="71">
        <v>6.8</v>
      </c>
      <c r="G26" s="84">
        <v>6.8</v>
      </c>
      <c r="H26" s="20"/>
      <c r="I26" s="37"/>
      <c r="J26" s="37"/>
      <c r="K26" s="17"/>
      <c r="L26" s="17"/>
      <c r="M26" s="17"/>
      <c r="N26" s="17"/>
      <c r="O26" s="36"/>
      <c r="P26" s="20"/>
      <c r="Q26" s="73">
        <f t="shared" si="1"/>
        <v>0</v>
      </c>
      <c r="R26" s="74">
        <f t="shared" si="2"/>
        <v>0</v>
      </c>
      <c r="S26" s="74">
        <f t="shared" si="3"/>
        <v>0</v>
      </c>
      <c r="T26" s="73">
        <f t="shared" si="4"/>
        <v>0</v>
      </c>
      <c r="U26" s="74">
        <f t="shared" si="5"/>
        <v>0</v>
      </c>
      <c r="V26" s="74">
        <f t="shared" si="6"/>
        <v>0</v>
      </c>
      <c r="W26" s="72" t="e">
        <f t="shared" si="0"/>
        <v>#DIV/0!</v>
      </c>
      <c r="X26" s="72" t="e">
        <f t="shared" si="0"/>
        <v>#DIV/0!</v>
      </c>
      <c r="Y26" s="72" t="e">
        <f t="shared" si="0"/>
        <v>#DIV/0!</v>
      </c>
    </row>
    <row r="27" spans="1:25" s="10" customFormat="1">
      <c r="A27" s="20"/>
      <c r="B27" s="26" t="s">
        <v>249</v>
      </c>
      <c r="C27" s="29"/>
      <c r="D27" s="17"/>
      <c r="E27" s="17"/>
      <c r="F27" s="71">
        <v>2</v>
      </c>
      <c r="G27" s="84">
        <v>2</v>
      </c>
      <c r="H27" s="20"/>
      <c r="I27" s="37"/>
      <c r="J27" s="37"/>
      <c r="K27" s="17"/>
      <c r="L27" s="17"/>
      <c r="M27" s="17"/>
      <c r="N27" s="17"/>
      <c r="O27" s="36"/>
      <c r="P27" s="20"/>
      <c r="Q27" s="73">
        <f t="shared" si="1"/>
        <v>0</v>
      </c>
      <c r="R27" s="74">
        <f t="shared" si="2"/>
        <v>0</v>
      </c>
      <c r="S27" s="74">
        <f t="shared" si="3"/>
        <v>0</v>
      </c>
      <c r="T27" s="73">
        <f t="shared" si="4"/>
        <v>0</v>
      </c>
      <c r="U27" s="74">
        <f t="shared" si="5"/>
        <v>0</v>
      </c>
      <c r="V27" s="74">
        <f t="shared" si="6"/>
        <v>0</v>
      </c>
      <c r="W27" s="72" t="e">
        <f t="shared" si="0"/>
        <v>#DIV/0!</v>
      </c>
      <c r="X27" s="72" t="e">
        <f t="shared" si="0"/>
        <v>#DIV/0!</v>
      </c>
      <c r="Y27" s="72" t="e">
        <f t="shared" si="0"/>
        <v>#DIV/0!</v>
      </c>
    </row>
    <row r="28" spans="1:25" s="10" customFormat="1">
      <c r="A28" s="20"/>
      <c r="B28" s="26" t="s">
        <v>249</v>
      </c>
      <c r="C28" s="29"/>
      <c r="D28" s="17"/>
      <c r="E28" s="17"/>
      <c r="F28" s="71">
        <v>2</v>
      </c>
      <c r="G28" s="84">
        <v>2</v>
      </c>
      <c r="H28" s="20"/>
      <c r="I28" s="37"/>
      <c r="J28" s="37"/>
      <c r="K28" s="17"/>
      <c r="L28" s="17"/>
      <c r="M28" s="17"/>
      <c r="N28" s="17"/>
      <c r="O28" s="36"/>
      <c r="P28" s="20"/>
      <c r="Q28" s="73">
        <f t="shared" si="1"/>
        <v>0</v>
      </c>
      <c r="R28" s="74">
        <f t="shared" si="2"/>
        <v>0</v>
      </c>
      <c r="S28" s="74">
        <f t="shared" si="3"/>
        <v>0</v>
      </c>
      <c r="T28" s="73">
        <f t="shared" si="4"/>
        <v>0</v>
      </c>
      <c r="U28" s="74">
        <f t="shared" si="5"/>
        <v>0</v>
      </c>
      <c r="V28" s="74">
        <f t="shared" si="6"/>
        <v>0</v>
      </c>
      <c r="W28" s="72" t="e">
        <f t="shared" si="0"/>
        <v>#DIV/0!</v>
      </c>
      <c r="X28" s="72" t="e">
        <f t="shared" si="0"/>
        <v>#DIV/0!</v>
      </c>
      <c r="Y28" s="72" t="e">
        <f t="shared" si="0"/>
        <v>#DIV/0!</v>
      </c>
    </row>
    <row r="29" spans="1:25" s="10" customFormat="1">
      <c r="A29" s="20"/>
      <c r="B29" s="50" t="s">
        <v>214</v>
      </c>
      <c r="C29" s="29"/>
      <c r="D29" s="17"/>
      <c r="E29" s="17"/>
      <c r="F29" s="71"/>
      <c r="G29" s="84"/>
      <c r="H29" s="20"/>
      <c r="I29" s="37"/>
      <c r="J29" s="37"/>
      <c r="K29" s="17"/>
      <c r="L29" s="17"/>
      <c r="M29" s="17"/>
      <c r="N29" s="17"/>
      <c r="O29" s="36"/>
      <c r="P29" s="20"/>
      <c r="Q29" s="73">
        <f t="shared" si="1"/>
        <v>0</v>
      </c>
      <c r="R29" s="74">
        <f t="shared" si="2"/>
        <v>0</v>
      </c>
      <c r="S29" s="74">
        <f t="shared" si="3"/>
        <v>0</v>
      </c>
      <c r="T29" s="73">
        <f t="shared" si="4"/>
        <v>0</v>
      </c>
      <c r="U29" s="74">
        <f t="shared" si="5"/>
        <v>0</v>
      </c>
      <c r="V29" s="74">
        <f t="shared" si="6"/>
        <v>0</v>
      </c>
      <c r="W29" s="72" t="e">
        <f t="shared" si="0"/>
        <v>#DIV/0!</v>
      </c>
      <c r="X29" s="72" t="e">
        <f t="shared" si="0"/>
        <v>#DIV/0!</v>
      </c>
      <c r="Y29" s="72" t="e">
        <f t="shared" si="0"/>
        <v>#DIV/0!</v>
      </c>
    </row>
    <row r="30" spans="1:25" s="10" customFormat="1">
      <c r="A30" s="20"/>
      <c r="B30" s="26" t="s">
        <v>232</v>
      </c>
      <c r="C30" s="29">
        <v>1</v>
      </c>
      <c r="D30" s="17"/>
      <c r="E30" s="17"/>
      <c r="F30" s="71">
        <v>2.8</v>
      </c>
      <c r="G30" s="84">
        <v>2.8</v>
      </c>
      <c r="H30" s="20"/>
      <c r="I30" s="37"/>
      <c r="J30" s="37"/>
      <c r="K30" s="17"/>
      <c r="L30" s="17"/>
      <c r="M30" s="17"/>
      <c r="N30" s="17"/>
      <c r="O30" s="36"/>
      <c r="P30" s="20"/>
      <c r="Q30" s="73">
        <f t="shared" si="1"/>
        <v>0</v>
      </c>
      <c r="R30" s="74">
        <f t="shared" si="2"/>
        <v>0</v>
      </c>
      <c r="S30" s="74">
        <f t="shared" si="3"/>
        <v>0</v>
      </c>
      <c r="T30" s="73">
        <f t="shared" si="4"/>
        <v>0</v>
      </c>
      <c r="U30" s="74">
        <f t="shared" si="5"/>
        <v>0</v>
      </c>
      <c r="V30" s="74">
        <f t="shared" si="6"/>
        <v>0</v>
      </c>
      <c r="W30" s="72" t="e">
        <f t="shared" si="0"/>
        <v>#DIV/0!</v>
      </c>
      <c r="X30" s="72" t="e">
        <f t="shared" si="0"/>
        <v>#DIV/0!</v>
      </c>
      <c r="Y30" s="72" t="e">
        <f t="shared" si="0"/>
        <v>#DIV/0!</v>
      </c>
    </row>
    <row r="31" spans="1:25" s="10" customFormat="1">
      <c r="A31" s="20"/>
      <c r="B31" s="26" t="s">
        <v>233</v>
      </c>
      <c r="C31" s="29">
        <v>1</v>
      </c>
      <c r="D31" s="17"/>
      <c r="E31" s="17"/>
      <c r="F31" s="71">
        <v>3.6</v>
      </c>
      <c r="G31" s="84">
        <v>3.6</v>
      </c>
      <c r="H31" s="20"/>
      <c r="I31" s="37"/>
      <c r="J31" s="37"/>
      <c r="K31" s="17"/>
      <c r="L31" s="17"/>
      <c r="M31" s="17"/>
      <c r="N31" s="17"/>
      <c r="O31" s="36"/>
      <c r="P31" s="20"/>
      <c r="Q31" s="73">
        <f t="shared" si="1"/>
        <v>0</v>
      </c>
      <c r="R31" s="74">
        <f t="shared" si="2"/>
        <v>0</v>
      </c>
      <c r="S31" s="74">
        <f t="shared" si="3"/>
        <v>0</v>
      </c>
      <c r="T31" s="73">
        <f t="shared" si="4"/>
        <v>0</v>
      </c>
      <c r="U31" s="74">
        <f t="shared" si="5"/>
        <v>0</v>
      </c>
      <c r="V31" s="74">
        <f t="shared" si="6"/>
        <v>0</v>
      </c>
      <c r="W31" s="72" t="e">
        <f t="shared" si="0"/>
        <v>#DIV/0!</v>
      </c>
      <c r="X31" s="72" t="e">
        <f t="shared" si="0"/>
        <v>#DIV/0!</v>
      </c>
      <c r="Y31" s="72" t="e">
        <f t="shared" si="0"/>
        <v>#DIV/0!</v>
      </c>
    </row>
    <row r="32" spans="1:25" s="10" customFormat="1">
      <c r="A32" s="20"/>
      <c r="B32" s="26" t="s">
        <v>250</v>
      </c>
      <c r="C32" s="29">
        <v>1</v>
      </c>
      <c r="D32" s="18"/>
      <c r="E32" s="18"/>
      <c r="F32" s="71">
        <v>2.8</v>
      </c>
      <c r="G32" s="84">
        <v>2.8</v>
      </c>
      <c r="H32" s="20"/>
      <c r="I32" s="37"/>
      <c r="J32" s="37"/>
      <c r="K32" s="18"/>
      <c r="L32" s="18"/>
      <c r="M32" s="18"/>
      <c r="N32" s="18"/>
      <c r="O32" s="54"/>
      <c r="P32" s="20"/>
      <c r="Q32" s="73">
        <f t="shared" si="1"/>
        <v>0</v>
      </c>
      <c r="R32" s="74">
        <f t="shared" si="2"/>
        <v>0</v>
      </c>
      <c r="S32" s="74">
        <f t="shared" si="3"/>
        <v>0</v>
      </c>
      <c r="T32" s="73">
        <f t="shared" si="4"/>
        <v>0</v>
      </c>
      <c r="U32" s="74">
        <f t="shared" si="5"/>
        <v>0</v>
      </c>
      <c r="V32" s="74">
        <f t="shared" si="6"/>
        <v>0</v>
      </c>
      <c r="W32" s="72" t="e">
        <f t="shared" si="0"/>
        <v>#DIV/0!</v>
      </c>
      <c r="X32" s="72" t="e">
        <f t="shared" si="0"/>
        <v>#DIV/0!</v>
      </c>
      <c r="Y32" s="72" t="e">
        <f t="shared" si="0"/>
        <v>#DIV/0!</v>
      </c>
    </row>
    <row r="33" spans="1:25" s="10" customFormat="1">
      <c r="A33" s="20"/>
      <c r="B33" s="26" t="s">
        <v>251</v>
      </c>
      <c r="C33" s="29"/>
      <c r="D33" s="17"/>
      <c r="E33" s="17"/>
      <c r="F33" s="71">
        <v>3.6</v>
      </c>
      <c r="G33" s="84">
        <v>3.6</v>
      </c>
      <c r="H33" s="20"/>
      <c r="I33" s="37"/>
      <c r="J33" s="37"/>
      <c r="K33" s="17"/>
      <c r="L33" s="17"/>
      <c r="M33" s="17"/>
      <c r="N33" s="17"/>
      <c r="O33" s="36"/>
      <c r="P33" s="20"/>
      <c r="Q33" s="73">
        <f t="shared" si="1"/>
        <v>0</v>
      </c>
      <c r="R33" s="74">
        <f t="shared" si="2"/>
        <v>0</v>
      </c>
      <c r="S33" s="74">
        <f t="shared" si="3"/>
        <v>0</v>
      </c>
      <c r="T33" s="73">
        <f t="shared" si="4"/>
        <v>0</v>
      </c>
      <c r="U33" s="74">
        <f t="shared" si="5"/>
        <v>0</v>
      </c>
      <c r="V33" s="74">
        <f t="shared" si="6"/>
        <v>0</v>
      </c>
      <c r="W33" s="72" t="e">
        <f t="shared" si="0"/>
        <v>#DIV/0!</v>
      </c>
      <c r="X33" s="72" t="e">
        <f t="shared" si="0"/>
        <v>#DIV/0!</v>
      </c>
      <c r="Y33" s="72" t="e">
        <f t="shared" si="0"/>
        <v>#DIV/0!</v>
      </c>
    </row>
    <row r="34" spans="1:25" s="10" customFormat="1">
      <c r="A34" s="20"/>
      <c r="B34" s="50" t="s">
        <v>252</v>
      </c>
      <c r="C34" s="29"/>
      <c r="D34" s="17"/>
      <c r="E34" s="17"/>
      <c r="F34" s="71"/>
      <c r="G34" s="84"/>
      <c r="H34" s="20"/>
      <c r="I34" s="37"/>
      <c r="J34" s="37"/>
      <c r="K34" s="17"/>
      <c r="L34" s="17"/>
      <c r="M34" s="17"/>
      <c r="N34" s="17"/>
      <c r="O34" s="36"/>
      <c r="P34" s="20"/>
      <c r="Q34" s="73">
        <f t="shared" si="1"/>
        <v>0</v>
      </c>
      <c r="R34" s="74">
        <f t="shared" si="2"/>
        <v>0</v>
      </c>
      <c r="S34" s="74">
        <f t="shared" si="3"/>
        <v>0</v>
      </c>
      <c r="T34" s="73">
        <f t="shared" si="4"/>
        <v>0</v>
      </c>
      <c r="U34" s="74">
        <f t="shared" si="5"/>
        <v>0</v>
      </c>
      <c r="V34" s="74">
        <f t="shared" si="6"/>
        <v>0</v>
      </c>
      <c r="W34" s="72" t="e">
        <f t="shared" si="0"/>
        <v>#DIV/0!</v>
      </c>
      <c r="X34" s="72" t="e">
        <f t="shared" si="0"/>
        <v>#DIV/0!</v>
      </c>
      <c r="Y34" s="72" t="e">
        <f t="shared" si="0"/>
        <v>#DIV/0!</v>
      </c>
    </row>
    <row r="35" spans="1:25" s="10" customFormat="1">
      <c r="A35" s="20"/>
      <c r="B35" s="26" t="s">
        <v>253</v>
      </c>
      <c r="C35" s="29"/>
      <c r="D35" s="17"/>
      <c r="E35" s="17"/>
      <c r="F35" s="71">
        <v>2.8</v>
      </c>
      <c r="G35" s="84">
        <v>2.8</v>
      </c>
      <c r="H35" s="20"/>
      <c r="I35" s="37"/>
      <c r="J35" s="37"/>
      <c r="K35" s="17"/>
      <c r="L35" s="17"/>
      <c r="M35" s="17"/>
      <c r="N35" s="17"/>
      <c r="O35" s="36"/>
      <c r="P35" s="20"/>
      <c r="Q35" s="73">
        <f t="shared" si="1"/>
        <v>0</v>
      </c>
      <c r="R35" s="74">
        <f t="shared" si="2"/>
        <v>0</v>
      </c>
      <c r="S35" s="74">
        <f t="shared" si="3"/>
        <v>0</v>
      </c>
      <c r="T35" s="73">
        <f t="shared" si="4"/>
        <v>0</v>
      </c>
      <c r="U35" s="74">
        <f t="shared" si="5"/>
        <v>0</v>
      </c>
      <c r="V35" s="74">
        <f t="shared" si="6"/>
        <v>0</v>
      </c>
      <c r="W35" s="72" t="e">
        <f t="shared" si="0"/>
        <v>#DIV/0!</v>
      </c>
      <c r="X35" s="72" t="e">
        <f t="shared" si="0"/>
        <v>#DIV/0!</v>
      </c>
      <c r="Y35" s="72" t="e">
        <f t="shared" si="0"/>
        <v>#DIV/0!</v>
      </c>
    </row>
    <row r="36" spans="1:25" s="10" customFormat="1">
      <c r="A36" s="20"/>
      <c r="B36" s="26" t="s">
        <v>253</v>
      </c>
      <c r="C36" s="29"/>
      <c r="D36" s="17"/>
      <c r="E36" s="17"/>
      <c r="F36" s="71">
        <v>3.67</v>
      </c>
      <c r="G36" s="84">
        <v>3.67</v>
      </c>
      <c r="H36" s="20"/>
      <c r="I36" s="37"/>
      <c r="J36" s="37"/>
      <c r="K36" s="17"/>
      <c r="L36" s="17"/>
      <c r="M36" s="17"/>
      <c r="N36" s="17"/>
      <c r="O36" s="36"/>
      <c r="P36" s="20"/>
      <c r="Q36" s="73">
        <f t="shared" si="1"/>
        <v>0</v>
      </c>
      <c r="R36" s="74">
        <f t="shared" si="2"/>
        <v>0</v>
      </c>
      <c r="S36" s="74">
        <f t="shared" si="3"/>
        <v>0</v>
      </c>
      <c r="T36" s="73">
        <f t="shared" si="4"/>
        <v>0</v>
      </c>
      <c r="U36" s="74">
        <f t="shared" si="5"/>
        <v>0</v>
      </c>
      <c r="V36" s="74">
        <f t="shared" si="6"/>
        <v>0</v>
      </c>
      <c r="W36" s="72" t="e">
        <f t="shared" si="0"/>
        <v>#DIV/0!</v>
      </c>
      <c r="X36" s="72" t="e">
        <f t="shared" si="0"/>
        <v>#DIV/0!</v>
      </c>
      <c r="Y36" s="72" t="e">
        <f t="shared" si="0"/>
        <v>#DIV/0!</v>
      </c>
    </row>
    <row r="37" spans="1:25" s="10" customFormat="1">
      <c r="A37" s="20"/>
      <c r="B37" s="26" t="s">
        <v>253</v>
      </c>
      <c r="C37" s="29"/>
      <c r="D37" s="17"/>
      <c r="E37" s="17"/>
      <c r="F37" s="71">
        <v>2.8</v>
      </c>
      <c r="G37" s="84">
        <v>2.8</v>
      </c>
      <c r="H37" s="20"/>
      <c r="I37" s="37"/>
      <c r="J37" s="37"/>
      <c r="K37" s="17"/>
      <c r="L37" s="17"/>
      <c r="M37" s="17"/>
      <c r="N37" s="17"/>
      <c r="O37" s="36"/>
      <c r="P37" s="20"/>
      <c r="Q37" s="73">
        <f t="shared" si="1"/>
        <v>0</v>
      </c>
      <c r="R37" s="74">
        <f t="shared" si="2"/>
        <v>0</v>
      </c>
      <c r="S37" s="74">
        <f t="shared" si="3"/>
        <v>0</v>
      </c>
      <c r="T37" s="73">
        <f t="shared" si="4"/>
        <v>0</v>
      </c>
      <c r="U37" s="74">
        <f t="shared" si="5"/>
        <v>0</v>
      </c>
      <c r="V37" s="74">
        <f t="shared" si="6"/>
        <v>0</v>
      </c>
      <c r="W37" s="72" t="e">
        <f t="shared" si="0"/>
        <v>#DIV/0!</v>
      </c>
      <c r="X37" s="72" t="e">
        <f t="shared" si="0"/>
        <v>#DIV/0!</v>
      </c>
      <c r="Y37" s="72" t="e">
        <f t="shared" si="0"/>
        <v>#DIV/0!</v>
      </c>
    </row>
    <row r="38" spans="1:25" s="10" customFormat="1">
      <c r="A38" s="20"/>
      <c r="B38" s="26" t="s">
        <v>253</v>
      </c>
      <c r="C38" s="29"/>
      <c r="D38" s="17"/>
      <c r="E38" s="17"/>
      <c r="F38" s="71">
        <v>3.67</v>
      </c>
      <c r="G38" s="84">
        <v>3.67</v>
      </c>
      <c r="H38" s="20"/>
      <c r="I38" s="37"/>
      <c r="J38" s="37"/>
      <c r="K38" s="17"/>
      <c r="L38" s="17"/>
      <c r="M38" s="17"/>
      <c r="N38" s="17"/>
      <c r="O38" s="36"/>
      <c r="P38" s="20"/>
      <c r="Q38" s="73">
        <f t="shared" si="1"/>
        <v>0</v>
      </c>
      <c r="R38" s="74">
        <f t="shared" si="2"/>
        <v>0</v>
      </c>
      <c r="S38" s="74">
        <f t="shared" si="3"/>
        <v>0</v>
      </c>
      <c r="T38" s="73">
        <f t="shared" si="4"/>
        <v>0</v>
      </c>
      <c r="U38" s="74">
        <f t="shared" si="5"/>
        <v>0</v>
      </c>
      <c r="V38" s="74">
        <f t="shared" si="6"/>
        <v>0</v>
      </c>
      <c r="W38" s="72" t="e">
        <f t="shared" si="0"/>
        <v>#DIV/0!</v>
      </c>
      <c r="X38" s="72" t="e">
        <f t="shared" si="0"/>
        <v>#DIV/0!</v>
      </c>
      <c r="Y38" s="72" t="e">
        <f t="shared" si="0"/>
        <v>#DIV/0!</v>
      </c>
    </row>
    <row r="39" spans="1:25" s="10" customFormat="1">
      <c r="A39" s="20"/>
      <c r="B39" s="26" t="s">
        <v>247</v>
      </c>
      <c r="C39" s="29"/>
      <c r="D39" s="51"/>
      <c r="E39" s="51"/>
      <c r="F39" s="71">
        <v>2.2000000000000002</v>
      </c>
      <c r="G39" s="84">
        <v>2.2000000000000002</v>
      </c>
      <c r="H39" s="20"/>
      <c r="I39" s="37"/>
      <c r="J39" s="37"/>
      <c r="K39" s="51"/>
      <c r="L39" s="51"/>
      <c r="M39" s="51"/>
      <c r="N39" s="51"/>
      <c r="O39" s="55"/>
      <c r="P39" s="20"/>
      <c r="Q39" s="73">
        <f t="shared" si="1"/>
        <v>0</v>
      </c>
      <c r="R39" s="74">
        <f t="shared" si="2"/>
        <v>0</v>
      </c>
      <c r="S39" s="74">
        <f t="shared" si="3"/>
        <v>0</v>
      </c>
      <c r="T39" s="73">
        <f t="shared" si="4"/>
        <v>0</v>
      </c>
      <c r="U39" s="74">
        <f t="shared" si="5"/>
        <v>0</v>
      </c>
      <c r="V39" s="74">
        <f t="shared" si="6"/>
        <v>0</v>
      </c>
      <c r="W39" s="72" t="e">
        <f t="shared" si="0"/>
        <v>#DIV/0!</v>
      </c>
      <c r="X39" s="72" t="e">
        <f t="shared" si="0"/>
        <v>#DIV/0!</v>
      </c>
      <c r="Y39" s="72" t="e">
        <f t="shared" si="0"/>
        <v>#DIV/0!</v>
      </c>
    </row>
    <row r="40" spans="1:25" s="10" customFormat="1">
      <c r="A40" s="20"/>
      <c r="B40" s="26" t="s">
        <v>250</v>
      </c>
      <c r="C40" s="29"/>
      <c r="D40" s="17"/>
      <c r="E40" s="17"/>
      <c r="F40" s="71">
        <v>2.2000000000000002</v>
      </c>
      <c r="G40" s="84">
        <v>2.2000000000000002</v>
      </c>
      <c r="H40" s="20"/>
      <c r="I40" s="37"/>
      <c r="J40" s="37"/>
      <c r="K40" s="17"/>
      <c r="L40" s="17"/>
      <c r="M40" s="17"/>
      <c r="N40" s="17"/>
      <c r="O40" s="36"/>
      <c r="P40" s="20"/>
      <c r="Q40" s="73">
        <f t="shared" si="1"/>
        <v>0</v>
      </c>
      <c r="R40" s="74">
        <f t="shared" si="2"/>
        <v>0</v>
      </c>
      <c r="S40" s="74">
        <f t="shared" si="3"/>
        <v>0</v>
      </c>
      <c r="T40" s="73">
        <f t="shared" si="4"/>
        <v>0</v>
      </c>
      <c r="U40" s="74">
        <f t="shared" si="5"/>
        <v>0</v>
      </c>
      <c r="V40" s="74">
        <f t="shared" si="6"/>
        <v>0</v>
      </c>
      <c r="W40" s="72" t="e">
        <f t="shared" si="0"/>
        <v>#DIV/0!</v>
      </c>
      <c r="X40" s="72" t="e">
        <f t="shared" si="0"/>
        <v>#DIV/0!</v>
      </c>
      <c r="Y40" s="72" t="e">
        <f t="shared" si="0"/>
        <v>#DIV/0!</v>
      </c>
    </row>
    <row r="41" spans="1:25" s="10" customFormat="1">
      <c r="A41" s="20"/>
      <c r="B41" s="26" t="s">
        <v>254</v>
      </c>
      <c r="C41" s="29"/>
      <c r="D41" s="17"/>
      <c r="E41" s="17"/>
      <c r="F41" s="71">
        <v>2.8</v>
      </c>
      <c r="G41" s="84">
        <v>2.8</v>
      </c>
      <c r="H41" s="20"/>
      <c r="I41" s="37"/>
      <c r="J41" s="37"/>
      <c r="K41" s="17"/>
      <c r="L41" s="17"/>
      <c r="M41" s="17"/>
      <c r="N41" s="17"/>
      <c r="O41" s="36"/>
      <c r="P41" s="20"/>
      <c r="Q41" s="73">
        <f t="shared" si="1"/>
        <v>0</v>
      </c>
      <c r="R41" s="74">
        <f t="shared" si="2"/>
        <v>0</v>
      </c>
      <c r="S41" s="74">
        <f t="shared" si="3"/>
        <v>0</v>
      </c>
      <c r="T41" s="73">
        <f t="shared" si="4"/>
        <v>0</v>
      </c>
      <c r="U41" s="74">
        <f t="shared" si="5"/>
        <v>0</v>
      </c>
      <c r="V41" s="74">
        <f t="shared" si="6"/>
        <v>0</v>
      </c>
      <c r="W41" s="72" t="e">
        <f t="shared" si="0"/>
        <v>#DIV/0!</v>
      </c>
      <c r="X41" s="72" t="e">
        <f t="shared" si="0"/>
        <v>#DIV/0!</v>
      </c>
      <c r="Y41" s="72" t="e">
        <f t="shared" si="0"/>
        <v>#DIV/0!</v>
      </c>
    </row>
    <row r="42" spans="1:25" s="10" customFormat="1">
      <c r="A42" s="20"/>
      <c r="B42" s="26" t="s">
        <v>255</v>
      </c>
      <c r="C42" s="29"/>
      <c r="D42" s="17"/>
      <c r="E42" s="17"/>
      <c r="F42" s="71">
        <v>2.2000000000000002</v>
      </c>
      <c r="G42" s="84">
        <v>2.2000000000000002</v>
      </c>
      <c r="H42" s="20"/>
      <c r="I42" s="37"/>
      <c r="J42" s="37"/>
      <c r="K42" s="17"/>
      <c r="L42" s="17"/>
      <c r="M42" s="17"/>
      <c r="N42" s="17"/>
      <c r="O42" s="36"/>
      <c r="P42" s="20"/>
      <c r="Q42" s="73">
        <f t="shared" si="1"/>
        <v>0</v>
      </c>
      <c r="R42" s="74">
        <f t="shared" si="2"/>
        <v>0</v>
      </c>
      <c r="S42" s="74">
        <f t="shared" si="3"/>
        <v>0</v>
      </c>
      <c r="T42" s="73">
        <f t="shared" si="4"/>
        <v>0</v>
      </c>
      <c r="U42" s="74">
        <f t="shared" si="5"/>
        <v>0</v>
      </c>
      <c r="V42" s="74">
        <f t="shared" si="6"/>
        <v>0</v>
      </c>
      <c r="W42" s="72" t="e">
        <f t="shared" si="0"/>
        <v>#DIV/0!</v>
      </c>
      <c r="X42" s="72" t="e">
        <f t="shared" si="0"/>
        <v>#DIV/0!</v>
      </c>
      <c r="Y42" s="72" t="e">
        <f t="shared" si="0"/>
        <v>#DIV/0!</v>
      </c>
    </row>
    <row r="43" spans="1:25" s="10" customFormat="1">
      <c r="A43" s="20"/>
      <c r="B43" s="26" t="s">
        <v>256</v>
      </c>
      <c r="C43" s="29"/>
      <c r="D43" s="17"/>
      <c r="E43" s="17"/>
      <c r="F43" s="71">
        <v>3.3</v>
      </c>
      <c r="G43" s="84">
        <v>3.3</v>
      </c>
      <c r="H43" s="20"/>
      <c r="I43" s="37"/>
      <c r="J43" s="37"/>
      <c r="K43" s="17"/>
      <c r="L43" s="17"/>
      <c r="M43" s="17"/>
      <c r="N43" s="17"/>
      <c r="O43" s="36"/>
      <c r="P43" s="20"/>
      <c r="Q43" s="73">
        <f t="shared" si="1"/>
        <v>0</v>
      </c>
      <c r="R43" s="74">
        <f t="shared" si="2"/>
        <v>0</v>
      </c>
      <c r="S43" s="74">
        <f t="shared" si="3"/>
        <v>0</v>
      </c>
      <c r="T43" s="73">
        <f t="shared" si="4"/>
        <v>0</v>
      </c>
      <c r="U43" s="74">
        <f t="shared" si="5"/>
        <v>0</v>
      </c>
      <c r="V43" s="74">
        <f t="shared" si="6"/>
        <v>0</v>
      </c>
      <c r="W43" s="72" t="e">
        <f t="shared" si="0"/>
        <v>#DIV/0!</v>
      </c>
      <c r="X43" s="72" t="e">
        <f t="shared" si="0"/>
        <v>#DIV/0!</v>
      </c>
      <c r="Y43" s="72" t="e">
        <f t="shared" si="0"/>
        <v>#DIV/0!</v>
      </c>
    </row>
    <row r="44" spans="1:25" s="10" customFormat="1">
      <c r="A44" s="20"/>
      <c r="B44" s="50" t="s">
        <v>211</v>
      </c>
      <c r="C44" s="29"/>
      <c r="D44" s="17"/>
      <c r="E44" s="17"/>
      <c r="F44" s="71"/>
      <c r="G44" s="84"/>
      <c r="H44" s="20"/>
      <c r="I44" s="37"/>
      <c r="J44" s="37"/>
      <c r="K44" s="17"/>
      <c r="L44" s="17"/>
      <c r="M44" s="17"/>
      <c r="N44" s="17"/>
      <c r="O44" s="36"/>
      <c r="P44" s="20"/>
      <c r="Q44" s="73">
        <f t="shared" si="1"/>
        <v>0</v>
      </c>
      <c r="R44" s="74">
        <f t="shared" si="2"/>
        <v>0</v>
      </c>
      <c r="S44" s="74">
        <f t="shared" si="3"/>
        <v>0</v>
      </c>
      <c r="T44" s="73">
        <f t="shared" si="4"/>
        <v>0</v>
      </c>
      <c r="U44" s="74">
        <f t="shared" si="5"/>
        <v>0</v>
      </c>
      <c r="V44" s="74">
        <f t="shared" si="6"/>
        <v>0</v>
      </c>
      <c r="W44" s="72" t="e">
        <f t="shared" ref="W44:Y59" si="7">T44/Q44</f>
        <v>#DIV/0!</v>
      </c>
      <c r="X44" s="72" t="e">
        <f t="shared" si="7"/>
        <v>#DIV/0!</v>
      </c>
      <c r="Y44" s="72" t="e">
        <f t="shared" si="7"/>
        <v>#DIV/0!</v>
      </c>
    </row>
    <row r="45" spans="1:25" s="10" customFormat="1">
      <c r="A45" s="20"/>
      <c r="B45" s="26" t="s">
        <v>257</v>
      </c>
      <c r="C45" s="29"/>
      <c r="D45" s="17"/>
      <c r="E45" s="17"/>
      <c r="F45" s="71">
        <v>2.8</v>
      </c>
      <c r="G45" s="84">
        <v>2.8</v>
      </c>
      <c r="H45" s="20"/>
      <c r="I45" s="37"/>
      <c r="J45" s="37"/>
      <c r="K45" s="17"/>
      <c r="L45" s="17"/>
      <c r="M45" s="17"/>
      <c r="N45" s="17"/>
      <c r="O45" s="36"/>
      <c r="P45" s="20"/>
      <c r="Q45" s="73">
        <f t="shared" si="1"/>
        <v>0</v>
      </c>
      <c r="R45" s="74">
        <f t="shared" si="2"/>
        <v>0</v>
      </c>
      <c r="S45" s="74">
        <f t="shared" si="3"/>
        <v>0</v>
      </c>
      <c r="T45" s="73">
        <f t="shared" si="4"/>
        <v>0</v>
      </c>
      <c r="U45" s="74">
        <f t="shared" si="5"/>
        <v>0</v>
      </c>
      <c r="V45" s="74">
        <f t="shared" si="6"/>
        <v>0</v>
      </c>
      <c r="W45" s="72" t="e">
        <f t="shared" si="7"/>
        <v>#DIV/0!</v>
      </c>
      <c r="X45" s="72" t="e">
        <f t="shared" si="7"/>
        <v>#DIV/0!</v>
      </c>
      <c r="Y45" s="72" t="e">
        <f t="shared" si="7"/>
        <v>#DIV/0!</v>
      </c>
    </row>
    <row r="46" spans="1:25" s="10" customFormat="1">
      <c r="A46" s="20"/>
      <c r="B46" s="26" t="s">
        <v>258</v>
      </c>
      <c r="C46" s="29"/>
      <c r="D46" s="17"/>
      <c r="E46" s="17"/>
      <c r="F46" s="71">
        <v>4.2</v>
      </c>
      <c r="G46" s="84">
        <v>4.2</v>
      </c>
      <c r="H46" s="20"/>
      <c r="I46" s="37"/>
      <c r="J46" s="37"/>
      <c r="K46" s="17"/>
      <c r="L46" s="17"/>
      <c r="M46" s="17"/>
      <c r="N46" s="17"/>
      <c r="O46" s="36"/>
      <c r="P46" s="20"/>
      <c r="Q46" s="73">
        <f t="shared" si="1"/>
        <v>0</v>
      </c>
      <c r="R46" s="74">
        <f t="shared" si="2"/>
        <v>0</v>
      </c>
      <c r="S46" s="74">
        <f t="shared" si="3"/>
        <v>0</v>
      </c>
      <c r="T46" s="73">
        <f t="shared" si="4"/>
        <v>0</v>
      </c>
      <c r="U46" s="74">
        <f t="shared" si="5"/>
        <v>0</v>
      </c>
      <c r="V46" s="74">
        <f t="shared" si="6"/>
        <v>0</v>
      </c>
      <c r="W46" s="72" t="e">
        <f t="shared" si="7"/>
        <v>#DIV/0!</v>
      </c>
      <c r="X46" s="72" t="e">
        <f t="shared" si="7"/>
        <v>#DIV/0!</v>
      </c>
      <c r="Y46" s="72" t="e">
        <f t="shared" si="7"/>
        <v>#DIV/0!</v>
      </c>
    </row>
    <row r="47" spans="1:25" s="10" customFormat="1">
      <c r="A47" s="20"/>
      <c r="B47" s="50" t="s">
        <v>226</v>
      </c>
      <c r="C47" s="29"/>
      <c r="D47" s="51"/>
      <c r="E47" s="51"/>
      <c r="F47" s="71"/>
      <c r="G47" s="84"/>
      <c r="H47" s="20"/>
      <c r="I47" s="37"/>
      <c r="J47" s="37"/>
      <c r="K47" s="51"/>
      <c r="L47" s="51"/>
      <c r="M47" s="51"/>
      <c r="N47" s="51"/>
      <c r="O47" s="55"/>
      <c r="P47" s="20"/>
      <c r="Q47" s="73">
        <f t="shared" si="1"/>
        <v>0</v>
      </c>
      <c r="R47" s="74">
        <f t="shared" si="2"/>
        <v>0</v>
      </c>
      <c r="S47" s="74">
        <f t="shared" si="3"/>
        <v>0</v>
      </c>
      <c r="T47" s="73">
        <f t="shared" si="4"/>
        <v>0</v>
      </c>
      <c r="U47" s="74">
        <f t="shared" si="5"/>
        <v>0</v>
      </c>
      <c r="V47" s="74">
        <f t="shared" si="6"/>
        <v>0</v>
      </c>
      <c r="W47" s="72" t="e">
        <f t="shared" si="7"/>
        <v>#DIV/0!</v>
      </c>
      <c r="X47" s="72" t="e">
        <f t="shared" si="7"/>
        <v>#DIV/0!</v>
      </c>
      <c r="Y47" s="72" t="e">
        <f t="shared" si="7"/>
        <v>#DIV/0!</v>
      </c>
    </row>
    <row r="48" spans="1:25" s="10" customFormat="1">
      <c r="A48" s="20"/>
      <c r="B48" s="26" t="s">
        <v>257</v>
      </c>
      <c r="C48" s="29"/>
      <c r="D48" s="17"/>
      <c r="E48" s="17"/>
      <c r="F48" s="71">
        <v>2.8</v>
      </c>
      <c r="G48" s="84">
        <v>2.8</v>
      </c>
      <c r="H48" s="20"/>
      <c r="I48" s="37"/>
      <c r="J48" s="37"/>
      <c r="K48" s="17"/>
      <c r="L48" s="17"/>
      <c r="M48" s="17"/>
      <c r="N48" s="17"/>
      <c r="O48" s="36"/>
      <c r="P48" s="20"/>
      <c r="Q48" s="73">
        <f t="shared" si="1"/>
        <v>0</v>
      </c>
      <c r="R48" s="74">
        <f t="shared" si="2"/>
        <v>0</v>
      </c>
      <c r="S48" s="74">
        <f t="shared" si="3"/>
        <v>0</v>
      </c>
      <c r="T48" s="73">
        <f t="shared" si="4"/>
        <v>0</v>
      </c>
      <c r="U48" s="74">
        <f t="shared" si="5"/>
        <v>0</v>
      </c>
      <c r="V48" s="74">
        <f t="shared" si="6"/>
        <v>0</v>
      </c>
      <c r="W48" s="72" t="e">
        <f t="shared" si="7"/>
        <v>#DIV/0!</v>
      </c>
      <c r="X48" s="72" t="e">
        <f t="shared" si="7"/>
        <v>#DIV/0!</v>
      </c>
      <c r="Y48" s="72" t="e">
        <f t="shared" si="7"/>
        <v>#DIV/0!</v>
      </c>
    </row>
    <row r="49" spans="1:25" s="10" customFormat="1">
      <c r="A49" s="20"/>
      <c r="B49" s="26" t="s">
        <v>258</v>
      </c>
      <c r="C49" s="29"/>
      <c r="D49" s="17"/>
      <c r="E49" s="17"/>
      <c r="F49" s="71">
        <v>4.2</v>
      </c>
      <c r="G49" s="84">
        <v>4.2</v>
      </c>
      <c r="H49" s="20"/>
      <c r="I49" s="37"/>
      <c r="J49" s="37"/>
      <c r="K49" s="17"/>
      <c r="L49" s="17"/>
      <c r="M49" s="17"/>
      <c r="N49" s="17"/>
      <c r="O49" s="36"/>
      <c r="P49" s="20"/>
      <c r="Q49" s="73">
        <f t="shared" si="1"/>
        <v>0</v>
      </c>
      <c r="R49" s="74">
        <f t="shared" si="2"/>
        <v>0</v>
      </c>
      <c r="S49" s="74">
        <f t="shared" si="3"/>
        <v>0</v>
      </c>
      <c r="T49" s="73">
        <f t="shared" si="4"/>
        <v>0</v>
      </c>
      <c r="U49" s="74">
        <f t="shared" si="5"/>
        <v>0</v>
      </c>
      <c r="V49" s="74">
        <f t="shared" si="6"/>
        <v>0</v>
      </c>
      <c r="W49" s="72" t="e">
        <f t="shared" si="7"/>
        <v>#DIV/0!</v>
      </c>
      <c r="X49" s="72" t="e">
        <f t="shared" si="7"/>
        <v>#DIV/0!</v>
      </c>
      <c r="Y49" s="72" t="e">
        <f t="shared" si="7"/>
        <v>#DIV/0!</v>
      </c>
    </row>
    <row r="50" spans="1:25" s="10" customFormat="1">
      <c r="A50" s="20"/>
      <c r="B50" s="26" t="s">
        <v>259</v>
      </c>
      <c r="C50" s="29"/>
      <c r="D50" s="17"/>
      <c r="E50" s="17"/>
      <c r="F50" s="71">
        <v>2.8</v>
      </c>
      <c r="G50" s="84">
        <v>2.8</v>
      </c>
      <c r="H50" s="20"/>
      <c r="I50" s="37"/>
      <c r="J50" s="37"/>
      <c r="K50" s="17"/>
      <c r="L50" s="17"/>
      <c r="M50" s="17"/>
      <c r="N50" s="17"/>
      <c r="O50" s="36"/>
      <c r="P50" s="20"/>
      <c r="Q50" s="73">
        <f t="shared" si="1"/>
        <v>0</v>
      </c>
      <c r="R50" s="74">
        <f t="shared" si="2"/>
        <v>0</v>
      </c>
      <c r="S50" s="74">
        <f t="shared" si="3"/>
        <v>0</v>
      </c>
      <c r="T50" s="73">
        <f t="shared" si="4"/>
        <v>0</v>
      </c>
      <c r="U50" s="74">
        <f t="shared" si="5"/>
        <v>0</v>
      </c>
      <c r="V50" s="74">
        <f t="shared" si="6"/>
        <v>0</v>
      </c>
      <c r="W50" s="72" t="e">
        <f t="shared" si="7"/>
        <v>#DIV/0!</v>
      </c>
      <c r="X50" s="72" t="e">
        <f t="shared" si="7"/>
        <v>#DIV/0!</v>
      </c>
      <c r="Y50" s="72" t="e">
        <f t="shared" si="7"/>
        <v>#DIV/0!</v>
      </c>
    </row>
    <row r="51" spans="1:25" s="10" customFormat="1">
      <c r="A51" s="20"/>
      <c r="B51" s="50" t="s">
        <v>260</v>
      </c>
      <c r="C51" s="29"/>
      <c r="D51" s="17"/>
      <c r="E51" s="17"/>
      <c r="F51" s="71"/>
      <c r="G51" s="84"/>
      <c r="H51" s="20"/>
      <c r="I51" s="37"/>
      <c r="J51" s="37"/>
      <c r="K51" s="17"/>
      <c r="L51" s="17"/>
      <c r="M51" s="17"/>
      <c r="N51" s="17"/>
      <c r="O51" s="36"/>
      <c r="P51" s="20"/>
      <c r="Q51" s="73">
        <f t="shared" si="1"/>
        <v>0</v>
      </c>
      <c r="R51" s="74">
        <f t="shared" si="2"/>
        <v>0</v>
      </c>
      <c r="S51" s="74">
        <f t="shared" si="3"/>
        <v>0</v>
      </c>
      <c r="T51" s="73">
        <f t="shared" si="4"/>
        <v>0</v>
      </c>
      <c r="U51" s="74">
        <f t="shared" si="5"/>
        <v>0</v>
      </c>
      <c r="V51" s="74">
        <f t="shared" si="6"/>
        <v>0</v>
      </c>
      <c r="W51" s="72" t="e">
        <f t="shared" si="7"/>
        <v>#DIV/0!</v>
      </c>
      <c r="X51" s="72" t="e">
        <f t="shared" si="7"/>
        <v>#DIV/0!</v>
      </c>
      <c r="Y51" s="72" t="e">
        <f t="shared" si="7"/>
        <v>#DIV/0!</v>
      </c>
    </row>
    <row r="52" spans="1:25" s="10" customFormat="1">
      <c r="A52" s="20"/>
      <c r="B52" s="26" t="s">
        <v>257</v>
      </c>
      <c r="C52" s="29"/>
      <c r="D52" s="17"/>
      <c r="E52" s="17"/>
      <c r="F52" s="71">
        <v>2.2000000000000002</v>
      </c>
      <c r="G52" s="84">
        <v>2.2000000000000002</v>
      </c>
      <c r="H52" s="20"/>
      <c r="I52" s="37"/>
      <c r="J52" s="37"/>
      <c r="K52" s="17"/>
      <c r="L52" s="17"/>
      <c r="M52" s="17"/>
      <c r="N52" s="17"/>
      <c r="O52" s="36"/>
      <c r="P52" s="20"/>
      <c r="Q52" s="73">
        <f t="shared" si="1"/>
        <v>0</v>
      </c>
      <c r="R52" s="74">
        <f t="shared" si="2"/>
        <v>0</v>
      </c>
      <c r="S52" s="74">
        <f t="shared" si="3"/>
        <v>0</v>
      </c>
      <c r="T52" s="73">
        <f t="shared" si="4"/>
        <v>0</v>
      </c>
      <c r="U52" s="74">
        <f t="shared" si="5"/>
        <v>0</v>
      </c>
      <c r="V52" s="74">
        <f t="shared" si="6"/>
        <v>0</v>
      </c>
      <c r="W52" s="72" t="e">
        <f t="shared" si="7"/>
        <v>#DIV/0!</v>
      </c>
      <c r="X52" s="72" t="e">
        <f t="shared" si="7"/>
        <v>#DIV/0!</v>
      </c>
      <c r="Y52" s="72" t="e">
        <f t="shared" si="7"/>
        <v>#DIV/0!</v>
      </c>
    </row>
    <row r="53" spans="1:25" s="10" customFormat="1">
      <c r="A53" s="20"/>
      <c r="B53" s="26" t="s">
        <v>258</v>
      </c>
      <c r="C53" s="29"/>
      <c r="D53" s="17"/>
      <c r="E53" s="17"/>
      <c r="F53" s="71">
        <v>3.67</v>
      </c>
      <c r="G53" s="84">
        <v>3.67</v>
      </c>
      <c r="H53" s="20"/>
      <c r="I53" s="37"/>
      <c r="J53" s="37"/>
      <c r="K53" s="17"/>
      <c r="L53" s="17"/>
      <c r="M53" s="17"/>
      <c r="N53" s="17"/>
      <c r="O53" s="36"/>
      <c r="P53" s="20"/>
      <c r="Q53" s="73">
        <f t="shared" si="1"/>
        <v>0</v>
      </c>
      <c r="R53" s="74">
        <f t="shared" si="2"/>
        <v>0</v>
      </c>
      <c r="S53" s="74">
        <f t="shared" si="3"/>
        <v>0</v>
      </c>
      <c r="T53" s="73">
        <f t="shared" si="4"/>
        <v>0</v>
      </c>
      <c r="U53" s="74">
        <f t="shared" si="5"/>
        <v>0</v>
      </c>
      <c r="V53" s="74">
        <f t="shared" si="6"/>
        <v>0</v>
      </c>
      <c r="W53" s="72" t="e">
        <f t="shared" si="7"/>
        <v>#DIV/0!</v>
      </c>
      <c r="X53" s="72" t="e">
        <f t="shared" si="7"/>
        <v>#DIV/0!</v>
      </c>
      <c r="Y53" s="72" t="e">
        <f t="shared" si="7"/>
        <v>#DIV/0!</v>
      </c>
    </row>
    <row r="54" spans="1:25" s="10" customFormat="1">
      <c r="A54" s="20"/>
      <c r="B54" s="26" t="s">
        <v>257</v>
      </c>
      <c r="C54" s="29">
        <v>1</v>
      </c>
      <c r="D54" s="51"/>
      <c r="E54" s="51"/>
      <c r="F54" s="71">
        <v>2.2000000000000002</v>
      </c>
      <c r="G54" s="84">
        <v>2.2000000000000002</v>
      </c>
      <c r="H54" s="20"/>
      <c r="I54" s="37"/>
      <c r="J54" s="37"/>
      <c r="K54" s="51"/>
      <c r="L54" s="51"/>
      <c r="M54" s="51"/>
      <c r="N54" s="51"/>
      <c r="O54" s="55"/>
      <c r="P54" s="20"/>
      <c r="Q54" s="73">
        <f t="shared" si="1"/>
        <v>0</v>
      </c>
      <c r="R54" s="74">
        <f t="shared" si="2"/>
        <v>0</v>
      </c>
      <c r="S54" s="74">
        <f t="shared" si="3"/>
        <v>0</v>
      </c>
      <c r="T54" s="73">
        <f t="shared" si="4"/>
        <v>0</v>
      </c>
      <c r="U54" s="74">
        <f t="shared" si="5"/>
        <v>0</v>
      </c>
      <c r="V54" s="74">
        <f t="shared" si="6"/>
        <v>0</v>
      </c>
      <c r="W54" s="72" t="e">
        <f t="shared" si="7"/>
        <v>#DIV/0!</v>
      </c>
      <c r="X54" s="72" t="e">
        <f t="shared" si="7"/>
        <v>#DIV/0!</v>
      </c>
      <c r="Y54" s="72" t="e">
        <f t="shared" si="7"/>
        <v>#DIV/0!</v>
      </c>
    </row>
    <row r="55" spans="1:25" s="10" customFormat="1">
      <c r="A55" s="20"/>
      <c r="B55" s="26" t="s">
        <v>258</v>
      </c>
      <c r="C55" s="29">
        <v>1</v>
      </c>
      <c r="D55" s="17"/>
      <c r="E55" s="17"/>
      <c r="F55" s="71">
        <v>3.67</v>
      </c>
      <c r="G55" s="84">
        <v>3.67</v>
      </c>
      <c r="H55" s="20"/>
      <c r="I55" s="37"/>
      <c r="J55" s="37"/>
      <c r="K55" s="17"/>
      <c r="L55" s="17"/>
      <c r="M55" s="17"/>
      <c r="N55" s="17"/>
      <c r="O55" s="36"/>
      <c r="P55" s="20"/>
      <c r="Q55" s="73">
        <f t="shared" si="1"/>
        <v>0</v>
      </c>
      <c r="R55" s="74">
        <f t="shared" si="2"/>
        <v>0</v>
      </c>
      <c r="S55" s="74">
        <f t="shared" si="3"/>
        <v>0</v>
      </c>
      <c r="T55" s="73">
        <f t="shared" si="4"/>
        <v>0</v>
      </c>
      <c r="U55" s="74">
        <f t="shared" si="5"/>
        <v>0</v>
      </c>
      <c r="V55" s="74">
        <f t="shared" si="6"/>
        <v>0</v>
      </c>
      <c r="W55" s="72" t="e">
        <f t="shared" si="7"/>
        <v>#DIV/0!</v>
      </c>
      <c r="X55" s="72" t="e">
        <f t="shared" si="7"/>
        <v>#DIV/0!</v>
      </c>
      <c r="Y55" s="72" t="e">
        <f t="shared" si="7"/>
        <v>#DIV/0!</v>
      </c>
    </row>
    <row r="56" spans="1:25" s="10" customFormat="1">
      <c r="A56" s="20"/>
      <c r="B56" s="50" t="s">
        <v>216</v>
      </c>
      <c r="C56" s="29"/>
      <c r="D56" s="17"/>
      <c r="E56" s="17"/>
      <c r="F56" s="71"/>
      <c r="G56" s="84"/>
      <c r="H56" s="20"/>
      <c r="I56" s="37"/>
      <c r="J56" s="37"/>
      <c r="K56" s="17"/>
      <c r="L56" s="17"/>
      <c r="M56" s="17"/>
      <c r="N56" s="17"/>
      <c r="O56" s="36"/>
      <c r="P56" s="20"/>
      <c r="Q56" s="73">
        <f t="shared" si="1"/>
        <v>0</v>
      </c>
      <c r="R56" s="74">
        <f t="shared" si="2"/>
        <v>0</v>
      </c>
      <c r="S56" s="74">
        <f t="shared" si="3"/>
        <v>0</v>
      </c>
      <c r="T56" s="73">
        <f t="shared" si="4"/>
        <v>0</v>
      </c>
      <c r="U56" s="74">
        <f t="shared" si="5"/>
        <v>0</v>
      </c>
      <c r="V56" s="74">
        <f t="shared" si="6"/>
        <v>0</v>
      </c>
      <c r="W56" s="72" t="e">
        <f t="shared" si="7"/>
        <v>#DIV/0!</v>
      </c>
      <c r="X56" s="72" t="e">
        <f t="shared" si="7"/>
        <v>#DIV/0!</v>
      </c>
      <c r="Y56" s="72" t="e">
        <f t="shared" si="7"/>
        <v>#DIV/0!</v>
      </c>
    </row>
    <row r="57" spans="1:25" s="10" customFormat="1">
      <c r="A57" s="20"/>
      <c r="B57" s="26" t="s">
        <v>257</v>
      </c>
      <c r="C57" s="29"/>
      <c r="D57" s="17"/>
      <c r="E57" s="17"/>
      <c r="F57" s="71">
        <v>2.8</v>
      </c>
      <c r="G57" s="84">
        <v>2.8</v>
      </c>
      <c r="H57" s="20"/>
      <c r="I57" s="37"/>
      <c r="J57" s="37"/>
      <c r="K57" s="17"/>
      <c r="L57" s="17"/>
      <c r="M57" s="17"/>
      <c r="N57" s="17"/>
      <c r="O57" s="36"/>
      <c r="P57" s="20"/>
      <c r="Q57" s="73">
        <f t="shared" si="1"/>
        <v>0</v>
      </c>
      <c r="R57" s="74">
        <f t="shared" si="2"/>
        <v>0</v>
      </c>
      <c r="S57" s="74">
        <f t="shared" si="3"/>
        <v>0</v>
      </c>
      <c r="T57" s="73">
        <f t="shared" si="4"/>
        <v>0</v>
      </c>
      <c r="U57" s="74">
        <f t="shared" si="5"/>
        <v>0</v>
      </c>
      <c r="V57" s="74">
        <f t="shared" si="6"/>
        <v>0</v>
      </c>
      <c r="W57" s="72" t="e">
        <f t="shared" si="7"/>
        <v>#DIV/0!</v>
      </c>
      <c r="X57" s="72" t="e">
        <f t="shared" si="7"/>
        <v>#DIV/0!</v>
      </c>
      <c r="Y57" s="72" t="e">
        <f t="shared" si="7"/>
        <v>#DIV/0!</v>
      </c>
    </row>
    <row r="58" spans="1:25" s="10" customFormat="1">
      <c r="A58" s="20"/>
      <c r="B58" s="26" t="s">
        <v>258</v>
      </c>
      <c r="C58" s="29"/>
      <c r="D58" s="17"/>
      <c r="E58" s="17"/>
      <c r="F58" s="71">
        <v>4.2</v>
      </c>
      <c r="G58" s="84">
        <v>4.2</v>
      </c>
      <c r="H58" s="9"/>
      <c r="I58" s="36"/>
      <c r="J58" s="36"/>
      <c r="K58" s="17"/>
      <c r="L58" s="17"/>
      <c r="M58" s="17"/>
      <c r="N58" s="17"/>
      <c r="O58" s="36"/>
      <c r="P58" s="20"/>
      <c r="Q58" s="73">
        <f t="shared" si="1"/>
        <v>0</v>
      </c>
      <c r="R58" s="74">
        <f t="shared" si="2"/>
        <v>0</v>
      </c>
      <c r="S58" s="74">
        <f t="shared" si="3"/>
        <v>0</v>
      </c>
      <c r="T58" s="73">
        <f t="shared" si="4"/>
        <v>0</v>
      </c>
      <c r="U58" s="74">
        <f t="shared" si="5"/>
        <v>0</v>
      </c>
      <c r="V58" s="74">
        <f t="shared" si="6"/>
        <v>0</v>
      </c>
      <c r="W58" s="72" t="e">
        <f t="shared" si="7"/>
        <v>#DIV/0!</v>
      </c>
      <c r="X58" s="72" t="e">
        <f t="shared" si="7"/>
        <v>#DIV/0!</v>
      </c>
      <c r="Y58" s="72" t="e">
        <f t="shared" si="7"/>
        <v>#DIV/0!</v>
      </c>
    </row>
    <row r="59" spans="1:25" s="10" customFormat="1">
      <c r="A59" s="20"/>
      <c r="B59" s="50" t="s">
        <v>227</v>
      </c>
      <c r="C59" s="29"/>
      <c r="D59" s="17"/>
      <c r="E59" s="17"/>
      <c r="F59" s="71"/>
      <c r="G59" s="84"/>
      <c r="H59" s="9"/>
      <c r="I59" s="36"/>
      <c r="J59" s="36"/>
      <c r="K59" s="17"/>
      <c r="L59" s="17"/>
      <c r="M59" s="17"/>
      <c r="N59" s="17"/>
      <c r="O59" s="36"/>
      <c r="P59" s="20"/>
      <c r="Q59" s="73">
        <f t="shared" si="1"/>
        <v>0</v>
      </c>
      <c r="R59" s="74">
        <f t="shared" si="2"/>
        <v>0</v>
      </c>
      <c r="S59" s="74">
        <f t="shared" si="3"/>
        <v>0</v>
      </c>
      <c r="T59" s="73">
        <f t="shared" si="4"/>
        <v>0</v>
      </c>
      <c r="U59" s="74">
        <f t="shared" si="5"/>
        <v>0</v>
      </c>
      <c r="V59" s="74">
        <f t="shared" si="6"/>
        <v>0</v>
      </c>
      <c r="W59" s="72" t="e">
        <f t="shared" si="7"/>
        <v>#DIV/0!</v>
      </c>
      <c r="X59" s="72" t="e">
        <f t="shared" si="7"/>
        <v>#DIV/0!</v>
      </c>
      <c r="Y59" s="72" t="e">
        <f t="shared" si="7"/>
        <v>#DIV/0!</v>
      </c>
    </row>
    <row r="60" spans="1:25" s="10" customFormat="1">
      <c r="A60" s="23"/>
      <c r="B60" s="26" t="s">
        <v>257</v>
      </c>
      <c r="C60" s="29"/>
      <c r="D60" s="17"/>
      <c r="E60" s="17"/>
      <c r="F60" s="71">
        <v>2.8</v>
      </c>
      <c r="G60" s="84">
        <v>2.8</v>
      </c>
      <c r="H60" s="9"/>
      <c r="I60" s="36"/>
      <c r="J60" s="36"/>
      <c r="K60" s="17"/>
      <c r="L60" s="17"/>
      <c r="M60" s="17"/>
      <c r="N60" s="17"/>
      <c r="O60" s="36"/>
      <c r="P60" s="20"/>
      <c r="Q60" s="73">
        <f t="shared" si="1"/>
        <v>0</v>
      </c>
      <c r="R60" s="74">
        <f t="shared" si="2"/>
        <v>0</v>
      </c>
      <c r="S60" s="74">
        <f t="shared" si="3"/>
        <v>0</v>
      </c>
      <c r="T60" s="73">
        <f t="shared" si="4"/>
        <v>0</v>
      </c>
      <c r="U60" s="74">
        <f t="shared" si="5"/>
        <v>0</v>
      </c>
      <c r="V60" s="74">
        <f t="shared" si="6"/>
        <v>0</v>
      </c>
      <c r="W60" s="72" t="e">
        <f t="shared" ref="W60:Y74" si="8">T60/Q60</f>
        <v>#DIV/0!</v>
      </c>
      <c r="X60" s="72" t="e">
        <f t="shared" si="8"/>
        <v>#DIV/0!</v>
      </c>
      <c r="Y60" s="72" t="e">
        <f t="shared" si="8"/>
        <v>#DIV/0!</v>
      </c>
    </row>
    <row r="61" spans="1:25" s="10" customFormat="1">
      <c r="A61" s="20"/>
      <c r="B61" s="26" t="s">
        <v>258</v>
      </c>
      <c r="C61" s="29"/>
      <c r="D61" s="51"/>
      <c r="E61" s="51"/>
      <c r="F61" s="71">
        <v>4.2</v>
      </c>
      <c r="G61" s="84">
        <v>4.2</v>
      </c>
      <c r="H61" s="9"/>
      <c r="I61" s="36"/>
      <c r="J61" s="36"/>
      <c r="K61" s="51"/>
      <c r="L61" s="51"/>
      <c r="M61" s="51"/>
      <c r="N61" s="51"/>
      <c r="O61" s="55"/>
      <c r="P61" s="20"/>
      <c r="Q61" s="73">
        <f t="shared" si="1"/>
        <v>0</v>
      </c>
      <c r="R61" s="74">
        <f t="shared" si="2"/>
        <v>0</v>
      </c>
      <c r="S61" s="74">
        <f t="shared" si="3"/>
        <v>0</v>
      </c>
      <c r="T61" s="73">
        <f t="shared" si="4"/>
        <v>0</v>
      </c>
      <c r="U61" s="74">
        <f t="shared" si="5"/>
        <v>0</v>
      </c>
      <c r="V61" s="74">
        <f t="shared" si="6"/>
        <v>0</v>
      </c>
      <c r="W61" s="72" t="e">
        <f t="shared" si="8"/>
        <v>#DIV/0!</v>
      </c>
      <c r="X61" s="72" t="e">
        <f t="shared" si="8"/>
        <v>#DIV/0!</v>
      </c>
      <c r="Y61" s="72" t="e">
        <f t="shared" si="8"/>
        <v>#DIV/0!</v>
      </c>
    </row>
    <row r="62" spans="1:25" s="10" customFormat="1">
      <c r="A62" s="20"/>
      <c r="B62" s="50" t="s">
        <v>218</v>
      </c>
      <c r="C62" s="29"/>
      <c r="D62" s="17"/>
      <c r="E62" s="17"/>
      <c r="F62" s="71"/>
      <c r="G62" s="84"/>
      <c r="H62" s="9"/>
      <c r="I62" s="36"/>
      <c r="J62" s="36"/>
      <c r="K62" s="17"/>
      <c r="L62" s="17"/>
      <c r="M62" s="17"/>
      <c r="N62" s="17"/>
      <c r="O62" s="36"/>
      <c r="P62" s="20"/>
      <c r="Q62" s="73">
        <f t="shared" si="1"/>
        <v>0</v>
      </c>
      <c r="R62" s="74">
        <f t="shared" si="2"/>
        <v>0</v>
      </c>
      <c r="S62" s="74">
        <f t="shared" si="3"/>
        <v>0</v>
      </c>
      <c r="T62" s="73">
        <f t="shared" si="4"/>
        <v>0</v>
      </c>
      <c r="U62" s="74">
        <f t="shared" si="5"/>
        <v>0</v>
      </c>
      <c r="V62" s="74">
        <f t="shared" si="6"/>
        <v>0</v>
      </c>
      <c r="W62" s="72" t="e">
        <f t="shared" si="8"/>
        <v>#DIV/0!</v>
      </c>
      <c r="X62" s="72" t="e">
        <f t="shared" si="8"/>
        <v>#DIV/0!</v>
      </c>
      <c r="Y62" s="72" t="e">
        <f t="shared" si="8"/>
        <v>#DIV/0!</v>
      </c>
    </row>
    <row r="63" spans="1:25" s="10" customFormat="1">
      <c r="A63" s="20"/>
      <c r="B63" s="26" t="s">
        <v>257</v>
      </c>
      <c r="C63" s="29"/>
      <c r="D63" s="18"/>
      <c r="E63" s="18"/>
      <c r="F63" s="71">
        <v>2.8</v>
      </c>
      <c r="G63" s="84">
        <v>2.8</v>
      </c>
      <c r="H63" s="9"/>
      <c r="I63" s="36"/>
      <c r="J63" s="36"/>
      <c r="K63" s="18"/>
      <c r="L63" s="18"/>
      <c r="M63" s="18"/>
      <c r="N63" s="18"/>
      <c r="O63" s="54"/>
      <c r="P63" s="20"/>
      <c r="Q63" s="73">
        <f t="shared" si="1"/>
        <v>0</v>
      </c>
      <c r="R63" s="74">
        <f t="shared" si="2"/>
        <v>0</v>
      </c>
      <c r="S63" s="74">
        <f t="shared" si="3"/>
        <v>0</v>
      </c>
      <c r="T63" s="73">
        <f t="shared" si="4"/>
        <v>0</v>
      </c>
      <c r="U63" s="74">
        <f t="shared" si="5"/>
        <v>0</v>
      </c>
      <c r="V63" s="74">
        <f t="shared" si="6"/>
        <v>0</v>
      </c>
      <c r="W63" s="72" t="e">
        <f t="shared" si="8"/>
        <v>#DIV/0!</v>
      </c>
      <c r="X63" s="72" t="e">
        <f t="shared" si="8"/>
        <v>#DIV/0!</v>
      </c>
      <c r="Y63" s="72" t="e">
        <f t="shared" si="8"/>
        <v>#DIV/0!</v>
      </c>
    </row>
    <row r="64" spans="1:25" s="10" customFormat="1">
      <c r="A64" s="20"/>
      <c r="B64" s="26" t="s">
        <v>258</v>
      </c>
      <c r="C64" s="29"/>
      <c r="D64" s="17"/>
      <c r="E64" s="17"/>
      <c r="F64" s="71">
        <v>4.2</v>
      </c>
      <c r="G64" s="84">
        <v>4.2</v>
      </c>
      <c r="H64" s="9"/>
      <c r="I64" s="36"/>
      <c r="J64" s="36"/>
      <c r="K64" s="17"/>
      <c r="L64" s="17"/>
      <c r="M64" s="17"/>
      <c r="N64" s="17"/>
      <c r="O64" s="36"/>
      <c r="P64" s="20"/>
      <c r="Q64" s="73">
        <f t="shared" si="1"/>
        <v>0</v>
      </c>
      <c r="R64" s="74">
        <f t="shared" si="2"/>
        <v>0</v>
      </c>
      <c r="S64" s="74">
        <f t="shared" si="3"/>
        <v>0</v>
      </c>
      <c r="T64" s="73">
        <f t="shared" si="4"/>
        <v>0</v>
      </c>
      <c r="U64" s="74">
        <f t="shared" si="5"/>
        <v>0</v>
      </c>
      <c r="V64" s="74">
        <f t="shared" si="6"/>
        <v>0</v>
      </c>
      <c r="W64" s="72" t="e">
        <f t="shared" si="8"/>
        <v>#DIV/0!</v>
      </c>
      <c r="X64" s="72" t="e">
        <f t="shared" si="8"/>
        <v>#DIV/0!</v>
      </c>
      <c r="Y64" s="72" t="e">
        <f t="shared" si="8"/>
        <v>#DIV/0!</v>
      </c>
    </row>
    <row r="65" spans="1:25" s="10" customFormat="1">
      <c r="A65" s="20"/>
      <c r="B65" s="50" t="s">
        <v>261</v>
      </c>
      <c r="C65" s="29"/>
      <c r="D65" s="17"/>
      <c r="E65" s="17"/>
      <c r="F65" s="71"/>
      <c r="G65" s="84"/>
      <c r="H65" s="9"/>
      <c r="I65" s="36"/>
      <c r="J65" s="36"/>
      <c r="K65" s="17"/>
      <c r="L65" s="17"/>
      <c r="M65" s="17"/>
      <c r="N65" s="17"/>
      <c r="O65" s="36"/>
      <c r="P65" s="20"/>
      <c r="Q65" s="73">
        <f t="shared" si="1"/>
        <v>0</v>
      </c>
      <c r="R65" s="74">
        <f t="shared" si="2"/>
        <v>0</v>
      </c>
      <c r="S65" s="74">
        <f t="shared" si="3"/>
        <v>0</v>
      </c>
      <c r="T65" s="73">
        <f t="shared" si="4"/>
        <v>0</v>
      </c>
      <c r="U65" s="74">
        <f t="shared" si="5"/>
        <v>0</v>
      </c>
      <c r="V65" s="74">
        <f t="shared" si="6"/>
        <v>0</v>
      </c>
      <c r="W65" s="72" t="e">
        <f t="shared" si="8"/>
        <v>#DIV/0!</v>
      </c>
      <c r="X65" s="72" t="e">
        <f t="shared" si="8"/>
        <v>#DIV/0!</v>
      </c>
      <c r="Y65" s="72" t="e">
        <f t="shared" si="8"/>
        <v>#DIV/0!</v>
      </c>
    </row>
    <row r="66" spans="1:25" s="10" customFormat="1">
      <c r="A66" s="20"/>
      <c r="B66" s="26" t="s">
        <v>262</v>
      </c>
      <c r="C66" s="29"/>
      <c r="D66" s="17"/>
      <c r="E66" s="17"/>
      <c r="F66" s="71">
        <v>2.8</v>
      </c>
      <c r="G66" s="84">
        <v>2.8</v>
      </c>
      <c r="H66" s="9"/>
      <c r="I66" s="36"/>
      <c r="J66" s="36"/>
      <c r="K66" s="17"/>
      <c r="L66" s="17"/>
      <c r="M66" s="17"/>
      <c r="N66" s="17"/>
      <c r="O66" s="36"/>
      <c r="P66" s="20"/>
      <c r="Q66" s="73">
        <f t="shared" si="1"/>
        <v>0</v>
      </c>
      <c r="R66" s="74">
        <f t="shared" si="2"/>
        <v>0</v>
      </c>
      <c r="S66" s="74">
        <f t="shared" si="3"/>
        <v>0</v>
      </c>
      <c r="T66" s="73">
        <f t="shared" si="4"/>
        <v>0</v>
      </c>
      <c r="U66" s="74">
        <f t="shared" si="5"/>
        <v>0</v>
      </c>
      <c r="V66" s="74">
        <f t="shared" si="6"/>
        <v>0</v>
      </c>
      <c r="W66" s="72" t="e">
        <f t="shared" si="8"/>
        <v>#DIV/0!</v>
      </c>
      <c r="X66" s="72" t="e">
        <f t="shared" si="8"/>
        <v>#DIV/0!</v>
      </c>
      <c r="Y66" s="72" t="e">
        <f t="shared" si="8"/>
        <v>#DIV/0!</v>
      </c>
    </row>
    <row r="67" spans="1:25" s="10" customFormat="1">
      <c r="A67" s="20"/>
      <c r="B67" s="26" t="s">
        <v>258</v>
      </c>
      <c r="C67" s="29"/>
      <c r="D67" s="17"/>
      <c r="E67" s="17"/>
      <c r="F67" s="71">
        <v>3.67</v>
      </c>
      <c r="G67" s="84">
        <v>3.67</v>
      </c>
      <c r="H67" s="9"/>
      <c r="I67" s="36"/>
      <c r="J67" s="36"/>
      <c r="K67" s="17"/>
      <c r="L67" s="17"/>
      <c r="M67" s="17"/>
      <c r="N67" s="17"/>
      <c r="O67" s="36"/>
      <c r="P67" s="20"/>
      <c r="Q67" s="73">
        <f t="shared" si="1"/>
        <v>0</v>
      </c>
      <c r="R67" s="74">
        <f t="shared" si="2"/>
        <v>0</v>
      </c>
      <c r="S67" s="74">
        <f t="shared" si="3"/>
        <v>0</v>
      </c>
      <c r="T67" s="73">
        <f t="shared" si="4"/>
        <v>0</v>
      </c>
      <c r="U67" s="74">
        <f t="shared" si="5"/>
        <v>0</v>
      </c>
      <c r="V67" s="74">
        <f t="shared" si="6"/>
        <v>0</v>
      </c>
      <c r="W67" s="72" t="e">
        <f t="shared" si="8"/>
        <v>#DIV/0!</v>
      </c>
      <c r="X67" s="72" t="e">
        <f t="shared" si="8"/>
        <v>#DIV/0!</v>
      </c>
      <c r="Y67" s="72" t="e">
        <f t="shared" si="8"/>
        <v>#DIV/0!</v>
      </c>
    </row>
    <row r="68" spans="1:25" s="10" customFormat="1">
      <c r="A68" s="20"/>
      <c r="B68" s="26" t="s">
        <v>263</v>
      </c>
      <c r="C68" s="29"/>
      <c r="D68" s="17"/>
      <c r="E68" s="17"/>
      <c r="F68" s="71">
        <v>2.8</v>
      </c>
      <c r="G68" s="84">
        <v>2.8</v>
      </c>
      <c r="H68" s="9"/>
      <c r="I68" s="36"/>
      <c r="J68" s="36"/>
      <c r="K68" s="17"/>
      <c r="L68" s="17"/>
      <c r="M68" s="17"/>
      <c r="N68" s="17"/>
      <c r="O68" s="36"/>
      <c r="P68" s="20"/>
      <c r="Q68" s="73">
        <f t="shared" si="1"/>
        <v>0</v>
      </c>
      <c r="R68" s="74">
        <f t="shared" si="2"/>
        <v>0</v>
      </c>
      <c r="S68" s="74">
        <f t="shared" si="3"/>
        <v>0</v>
      </c>
      <c r="T68" s="73">
        <f t="shared" si="4"/>
        <v>0</v>
      </c>
      <c r="U68" s="74">
        <f t="shared" si="5"/>
        <v>0</v>
      </c>
      <c r="V68" s="74">
        <f t="shared" si="6"/>
        <v>0</v>
      </c>
      <c r="W68" s="72" t="e">
        <f t="shared" si="8"/>
        <v>#DIV/0!</v>
      </c>
      <c r="X68" s="72" t="e">
        <f t="shared" si="8"/>
        <v>#DIV/0!</v>
      </c>
      <c r="Y68" s="72" t="e">
        <f t="shared" si="8"/>
        <v>#DIV/0!</v>
      </c>
    </row>
    <row r="69" spans="1:25" s="10" customFormat="1">
      <c r="A69" s="20"/>
      <c r="B69" s="50" t="s">
        <v>264</v>
      </c>
      <c r="C69" s="29"/>
      <c r="D69" s="17"/>
      <c r="E69" s="17"/>
      <c r="F69" s="71"/>
      <c r="G69" s="84"/>
      <c r="H69" s="9"/>
      <c r="I69" s="36"/>
      <c r="J69" s="36"/>
      <c r="K69" s="17"/>
      <c r="L69" s="17"/>
      <c r="M69" s="17"/>
      <c r="N69" s="17"/>
      <c r="O69" s="36"/>
      <c r="P69" s="20"/>
      <c r="Q69" s="73">
        <f t="shared" si="1"/>
        <v>0</v>
      </c>
      <c r="R69" s="74">
        <f t="shared" si="2"/>
        <v>0</v>
      </c>
      <c r="S69" s="74">
        <f t="shared" si="3"/>
        <v>0</v>
      </c>
      <c r="T69" s="73">
        <f t="shared" si="4"/>
        <v>0</v>
      </c>
      <c r="U69" s="74">
        <f t="shared" si="5"/>
        <v>0</v>
      </c>
      <c r="V69" s="74">
        <f t="shared" si="6"/>
        <v>0</v>
      </c>
      <c r="W69" s="72" t="e">
        <f t="shared" si="8"/>
        <v>#DIV/0!</v>
      </c>
      <c r="X69" s="72" t="e">
        <f t="shared" si="8"/>
        <v>#DIV/0!</v>
      </c>
      <c r="Y69" s="72" t="e">
        <f t="shared" si="8"/>
        <v>#DIV/0!</v>
      </c>
    </row>
    <row r="70" spans="1:25" s="10" customFormat="1">
      <c r="A70" s="20"/>
      <c r="B70" s="26" t="s">
        <v>265</v>
      </c>
      <c r="C70" s="29">
        <v>1</v>
      </c>
      <c r="D70" s="17">
        <v>1</v>
      </c>
      <c r="E70" s="17">
        <v>1</v>
      </c>
      <c r="F70" s="71">
        <v>2.8</v>
      </c>
      <c r="G70" s="84">
        <v>2.8</v>
      </c>
      <c r="H70" s="9">
        <v>24</v>
      </c>
      <c r="I70" s="36"/>
      <c r="J70" s="36"/>
      <c r="K70" s="17">
        <v>24</v>
      </c>
      <c r="L70" s="17"/>
      <c r="M70" s="17"/>
      <c r="N70" s="17">
        <v>24</v>
      </c>
      <c r="O70" s="36"/>
      <c r="P70" s="20">
        <v>30</v>
      </c>
      <c r="Q70" s="73">
        <f t="shared" si="1"/>
        <v>0</v>
      </c>
      <c r="R70" s="74">
        <f t="shared" si="2"/>
        <v>0</v>
      </c>
      <c r="S70" s="74">
        <f t="shared" si="3"/>
        <v>2015.9999999999995</v>
      </c>
      <c r="T70" s="73">
        <f t="shared" si="4"/>
        <v>0</v>
      </c>
      <c r="U70" s="74">
        <f t="shared" si="5"/>
        <v>0</v>
      </c>
      <c r="V70" s="74">
        <f t="shared" si="6"/>
        <v>2015.9999999999995</v>
      </c>
      <c r="W70" s="72" t="e">
        <f t="shared" si="8"/>
        <v>#DIV/0!</v>
      </c>
      <c r="X70" s="72" t="e">
        <f t="shared" si="8"/>
        <v>#DIV/0!</v>
      </c>
      <c r="Y70" s="72">
        <f t="shared" si="8"/>
        <v>1</v>
      </c>
    </row>
    <row r="71" spans="1:25" s="10" customFormat="1">
      <c r="A71" s="20"/>
      <c r="B71" s="26" t="s">
        <v>253</v>
      </c>
      <c r="C71" s="29">
        <v>1</v>
      </c>
      <c r="D71" s="17">
        <v>1</v>
      </c>
      <c r="E71" s="17">
        <v>1</v>
      </c>
      <c r="F71" s="71">
        <v>3.67</v>
      </c>
      <c r="G71" s="84">
        <v>3.67</v>
      </c>
      <c r="H71" s="9">
        <v>24</v>
      </c>
      <c r="I71" s="36"/>
      <c r="J71" s="36"/>
      <c r="K71" s="17">
        <v>24</v>
      </c>
      <c r="L71" s="17"/>
      <c r="M71" s="17"/>
      <c r="N71" s="17">
        <v>24</v>
      </c>
      <c r="O71" s="36"/>
      <c r="P71" s="20">
        <v>30</v>
      </c>
      <c r="Q71" s="73">
        <f t="shared" si="1"/>
        <v>0</v>
      </c>
      <c r="R71" s="74">
        <f t="shared" si="2"/>
        <v>0</v>
      </c>
      <c r="S71" s="74">
        <f t="shared" si="3"/>
        <v>2642.4</v>
      </c>
      <c r="T71" s="73">
        <f t="shared" si="4"/>
        <v>0</v>
      </c>
      <c r="U71" s="74">
        <f t="shared" si="5"/>
        <v>0</v>
      </c>
      <c r="V71" s="74">
        <f t="shared" si="6"/>
        <v>2642.4</v>
      </c>
      <c r="W71" s="72" t="e">
        <f t="shared" si="8"/>
        <v>#DIV/0!</v>
      </c>
      <c r="X71" s="72" t="e">
        <f t="shared" si="8"/>
        <v>#DIV/0!</v>
      </c>
      <c r="Y71" s="72">
        <f t="shared" si="8"/>
        <v>1</v>
      </c>
    </row>
    <row r="72" spans="1:25" s="10" customFormat="1">
      <c r="A72" s="20"/>
      <c r="B72" s="26" t="s">
        <v>253</v>
      </c>
      <c r="C72" s="29"/>
      <c r="D72" s="17">
        <v>1</v>
      </c>
      <c r="E72" s="17">
        <v>1</v>
      </c>
      <c r="F72" s="71">
        <v>4.2</v>
      </c>
      <c r="G72" s="84">
        <v>4.2</v>
      </c>
      <c r="H72" s="9"/>
      <c r="I72" s="36"/>
      <c r="J72" s="36"/>
      <c r="K72" s="17">
        <v>24</v>
      </c>
      <c r="L72" s="17"/>
      <c r="M72" s="17"/>
      <c r="N72" s="17">
        <v>24</v>
      </c>
      <c r="O72" s="36"/>
      <c r="P72" s="20">
        <v>30</v>
      </c>
      <c r="Q72" s="73">
        <f t="shared" si="1"/>
        <v>0</v>
      </c>
      <c r="R72" s="74">
        <f t="shared" si="2"/>
        <v>0</v>
      </c>
      <c r="S72" s="74">
        <f t="shared" si="3"/>
        <v>3024.0000000000005</v>
      </c>
      <c r="T72" s="73">
        <f t="shared" si="4"/>
        <v>0</v>
      </c>
      <c r="U72" s="74">
        <f t="shared" si="5"/>
        <v>0</v>
      </c>
      <c r="V72" s="74">
        <f t="shared" si="6"/>
        <v>3024.0000000000005</v>
      </c>
      <c r="W72" s="72" t="e">
        <f t="shared" si="8"/>
        <v>#DIV/0!</v>
      </c>
      <c r="X72" s="72" t="e">
        <f t="shared" si="8"/>
        <v>#DIV/0!</v>
      </c>
      <c r="Y72" s="72">
        <f t="shared" si="8"/>
        <v>1</v>
      </c>
    </row>
    <row r="73" spans="1:25" s="10" customFormat="1">
      <c r="A73" s="20"/>
      <c r="B73" s="26" t="s">
        <v>266</v>
      </c>
      <c r="C73" s="29">
        <v>1</v>
      </c>
      <c r="D73" s="17">
        <v>1</v>
      </c>
      <c r="E73" s="17">
        <v>1</v>
      </c>
      <c r="F73" s="71">
        <v>3.3</v>
      </c>
      <c r="G73" s="84">
        <v>3.3</v>
      </c>
      <c r="H73" s="9">
        <v>24</v>
      </c>
      <c r="I73" s="36"/>
      <c r="J73" s="36"/>
      <c r="K73" s="17">
        <v>24</v>
      </c>
      <c r="L73" s="17"/>
      <c r="M73" s="17"/>
      <c r="N73" s="17">
        <v>24</v>
      </c>
      <c r="O73" s="36"/>
      <c r="P73" s="20">
        <v>30</v>
      </c>
      <c r="Q73" s="73">
        <f>C73*F73*H73*J73</f>
        <v>0</v>
      </c>
      <c r="R73" s="74">
        <f>D73*F73*K73*M73</f>
        <v>0</v>
      </c>
      <c r="S73" s="74">
        <f>E73*F73*N73*P73</f>
        <v>2375.9999999999995</v>
      </c>
      <c r="T73" s="73">
        <f>C73*G73*H73*J73</f>
        <v>0</v>
      </c>
      <c r="U73" s="74">
        <f>D73*G73*K73*M73</f>
        <v>0</v>
      </c>
      <c r="V73" s="74">
        <f>E73*G73*N73*P73</f>
        <v>2375.9999999999995</v>
      </c>
      <c r="W73" s="72" t="e">
        <f t="shared" si="8"/>
        <v>#DIV/0!</v>
      </c>
      <c r="X73" s="72" t="e">
        <f t="shared" si="8"/>
        <v>#DIV/0!</v>
      </c>
      <c r="Y73" s="72">
        <f t="shared" si="8"/>
        <v>1</v>
      </c>
    </row>
    <row r="74" spans="1:25" s="10" customFormat="1" ht="24.75" customHeight="1">
      <c r="A74" s="15"/>
      <c r="B74" s="763" t="s">
        <v>7</v>
      </c>
      <c r="C74" s="764"/>
      <c r="D74" s="764"/>
      <c r="E74" s="764"/>
      <c r="F74" s="764"/>
      <c r="G74" s="764"/>
      <c r="H74" s="764"/>
      <c r="I74" s="764"/>
      <c r="J74" s="764"/>
      <c r="K74" s="764"/>
      <c r="L74" s="764"/>
      <c r="M74" s="764"/>
      <c r="N74" s="764"/>
      <c r="O74" s="764"/>
      <c r="P74" s="765"/>
      <c r="Q74" s="75">
        <f t="shared" ref="Q74:V74" si="9">SUM(Q8:Q73)</f>
        <v>0</v>
      </c>
      <c r="R74" s="75">
        <f t="shared" si="9"/>
        <v>0</v>
      </c>
      <c r="S74" s="75">
        <f t="shared" si="9"/>
        <v>10058.4</v>
      </c>
      <c r="T74" s="75">
        <f t="shared" si="9"/>
        <v>0</v>
      </c>
      <c r="U74" s="75">
        <f t="shared" si="9"/>
        <v>0</v>
      </c>
      <c r="V74" s="75">
        <f t="shared" si="9"/>
        <v>10058.4</v>
      </c>
      <c r="W74" s="76" t="e">
        <f t="shared" si="8"/>
        <v>#DIV/0!</v>
      </c>
      <c r="X74" s="76" t="e">
        <f t="shared" si="8"/>
        <v>#DIV/0!</v>
      </c>
      <c r="Y74" s="76">
        <f t="shared" si="8"/>
        <v>1</v>
      </c>
    </row>
  </sheetData>
  <mergeCells count="13">
    <mergeCell ref="W3:Y3"/>
    <mergeCell ref="B74:P74"/>
    <mergeCell ref="A3:A4"/>
    <mergeCell ref="B3:B4"/>
    <mergeCell ref="F3:F4"/>
    <mergeCell ref="C3:E3"/>
    <mergeCell ref="G3:G4"/>
    <mergeCell ref="H3:P3"/>
    <mergeCell ref="H4:J4"/>
    <mergeCell ref="K4:M4"/>
    <mergeCell ref="N4:P4"/>
    <mergeCell ref="Q3:S3"/>
    <mergeCell ref="T3:V3"/>
  </mergeCells>
  <pageMargins left="0.92" right="0.7" top="0.75" bottom="0.75" header="0.3" footer="0.3"/>
  <pageSetup paperSize="9"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9150-46E9-4FB3-B3F4-68A4DF8B1AA2}">
  <dimension ref="A1:AL120"/>
  <sheetViews>
    <sheetView zoomScale="55" zoomScaleNormal="55" workbookViewId="0">
      <selection activeCell="Y118" sqref="Y118"/>
    </sheetView>
  </sheetViews>
  <sheetFormatPr defaultColWidth="8.85546875" defaultRowHeight="15" zeroHeight="1"/>
  <cols>
    <col min="1" max="1" width="12.85546875" style="681" customWidth="1"/>
    <col min="2" max="2" width="54.85546875" style="486" customWidth="1"/>
    <col min="3" max="3" width="10.42578125" style="486" customWidth="1"/>
    <col min="4" max="4" width="11.42578125" style="136" customWidth="1"/>
    <col min="5" max="6" width="10.42578125" style="136" customWidth="1"/>
    <col min="7" max="7" width="15.42578125" style="136" customWidth="1"/>
    <col min="8" max="8" width="11.42578125" style="137" hidden="1" customWidth="1"/>
    <col min="9" max="12" width="11.42578125" style="137" customWidth="1"/>
    <col min="13" max="13" width="18.140625" style="137" hidden="1" customWidth="1"/>
    <col min="14" max="14" width="18.140625" style="136" hidden="1" customWidth="1"/>
    <col min="15" max="15" width="18.140625" style="137" customWidth="1"/>
    <col min="16" max="16" width="22.5703125" style="136" customWidth="1"/>
    <col min="17" max="22" width="18.140625" style="136" customWidth="1"/>
    <col min="23" max="23" width="11.85546875" style="486" customWidth="1"/>
    <col min="24" max="24" width="13.7109375" style="474" hidden="1" customWidth="1"/>
    <col min="25" max="25" width="17.28515625" style="486" customWidth="1"/>
    <col min="26" max="26" width="17.7109375" style="136" customWidth="1"/>
    <col min="27" max="27" width="19.42578125" style="136" customWidth="1"/>
    <col min="28" max="28" width="17.5703125" style="136" customWidth="1"/>
    <col min="29" max="29" width="20.7109375" style="486" hidden="1" customWidth="1"/>
    <col min="30" max="30" width="17.7109375" style="486" customWidth="1"/>
    <col min="31" max="33" width="16.7109375" style="136" customWidth="1"/>
    <col min="34" max="35" width="13.7109375" style="486" hidden="1" customWidth="1"/>
    <col min="36" max="38" width="13.7109375" style="136" hidden="1" customWidth="1"/>
    <col min="39" max="16384" width="8.85546875" style="486"/>
  </cols>
  <sheetData>
    <row r="1" spans="1:38" s="639" customFormat="1" ht="25.5">
      <c r="A1" s="788" t="s">
        <v>1033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9"/>
      <c r="P1" s="789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638"/>
    </row>
    <row r="2" spans="1:38" s="136" customFormat="1" ht="15.75">
      <c r="A2" s="790" t="s">
        <v>1</v>
      </c>
      <c r="B2" s="790" t="s">
        <v>2</v>
      </c>
      <c r="C2" s="785"/>
      <c r="D2" s="785"/>
      <c r="E2" s="785"/>
      <c r="F2" s="786"/>
      <c r="G2" s="790" t="s">
        <v>8</v>
      </c>
      <c r="H2" s="792" t="s">
        <v>497</v>
      </c>
      <c r="I2" s="793"/>
      <c r="J2" s="793"/>
      <c r="K2" s="793"/>
      <c r="L2" s="794"/>
      <c r="M2" s="784" t="s">
        <v>499</v>
      </c>
      <c r="N2" s="785"/>
      <c r="O2" s="785"/>
      <c r="P2" s="785"/>
      <c r="Q2" s="785"/>
      <c r="R2" s="785"/>
      <c r="S2" s="785"/>
      <c r="T2" s="785"/>
      <c r="U2" s="785"/>
      <c r="V2" s="786"/>
      <c r="W2" s="790" t="s">
        <v>5</v>
      </c>
      <c r="X2" s="784" t="s">
        <v>501</v>
      </c>
      <c r="Y2" s="785"/>
      <c r="Z2" s="785"/>
      <c r="AA2" s="785"/>
      <c r="AB2" s="786"/>
      <c r="AC2" s="784" t="s">
        <v>502</v>
      </c>
      <c r="AD2" s="785"/>
      <c r="AE2" s="785"/>
      <c r="AF2" s="785"/>
      <c r="AG2" s="786"/>
      <c r="AH2" s="784" t="s">
        <v>503</v>
      </c>
      <c r="AI2" s="785"/>
      <c r="AJ2" s="785"/>
      <c r="AK2" s="785"/>
      <c r="AL2" s="786"/>
    </row>
    <row r="3" spans="1:38" s="136" customFormat="1" ht="47.25">
      <c r="A3" s="791"/>
      <c r="B3" s="791"/>
      <c r="C3" s="687" t="s">
        <v>532</v>
      </c>
      <c r="D3" s="687" t="s">
        <v>533</v>
      </c>
      <c r="E3" s="687" t="s">
        <v>534</v>
      </c>
      <c r="F3" s="687" t="s">
        <v>535</v>
      </c>
      <c r="G3" s="791"/>
      <c r="H3" s="687" t="s">
        <v>537</v>
      </c>
      <c r="I3" s="687" t="s">
        <v>532</v>
      </c>
      <c r="J3" s="687" t="s">
        <v>533</v>
      </c>
      <c r="K3" s="687" t="s">
        <v>534</v>
      </c>
      <c r="L3" s="687" t="s">
        <v>535</v>
      </c>
      <c r="M3" s="785" t="s">
        <v>537</v>
      </c>
      <c r="N3" s="786"/>
      <c r="O3" s="785" t="s">
        <v>532</v>
      </c>
      <c r="P3" s="786"/>
      <c r="Q3" s="784" t="s">
        <v>533</v>
      </c>
      <c r="R3" s="786"/>
      <c r="S3" s="787" t="s">
        <v>534</v>
      </c>
      <c r="T3" s="787"/>
      <c r="U3" s="787" t="s">
        <v>535</v>
      </c>
      <c r="V3" s="787"/>
      <c r="W3" s="791"/>
      <c r="X3" s="640" t="s">
        <v>537</v>
      </c>
      <c r="Y3" s="687" t="s">
        <v>532</v>
      </c>
      <c r="Z3" s="687" t="s">
        <v>533</v>
      </c>
      <c r="AA3" s="687" t="s">
        <v>534</v>
      </c>
      <c r="AB3" s="687" t="s">
        <v>535</v>
      </c>
      <c r="AC3" s="687" t="s">
        <v>537</v>
      </c>
      <c r="AD3" s="687" t="s">
        <v>532</v>
      </c>
      <c r="AE3" s="687" t="s">
        <v>533</v>
      </c>
      <c r="AF3" s="687" t="s">
        <v>534</v>
      </c>
      <c r="AG3" s="687" t="s">
        <v>535</v>
      </c>
      <c r="AH3" s="687" t="s">
        <v>537</v>
      </c>
      <c r="AI3" s="687" t="s">
        <v>532</v>
      </c>
      <c r="AJ3" s="687" t="s">
        <v>533</v>
      </c>
      <c r="AK3" s="687" t="s">
        <v>534</v>
      </c>
      <c r="AL3" s="687" t="s">
        <v>535</v>
      </c>
    </row>
    <row r="4" spans="1:38" s="136" customFormat="1" ht="15.75">
      <c r="A4" s="687"/>
      <c r="B4" s="687"/>
      <c r="C4" s="641"/>
      <c r="D4" s="641"/>
      <c r="E4" s="641"/>
      <c r="F4" s="641"/>
      <c r="G4" s="687"/>
      <c r="H4" s="687"/>
      <c r="I4" s="687"/>
      <c r="J4" s="687"/>
      <c r="K4" s="687"/>
      <c r="L4" s="687"/>
      <c r="M4" s="641" t="s">
        <v>498</v>
      </c>
      <c r="N4" s="641" t="s">
        <v>496</v>
      </c>
      <c r="O4" s="641" t="s">
        <v>498</v>
      </c>
      <c r="P4" s="641" t="s">
        <v>496</v>
      </c>
      <c r="Q4" s="641" t="s">
        <v>498</v>
      </c>
      <c r="R4" s="641" t="s">
        <v>496</v>
      </c>
      <c r="S4" s="641" t="s">
        <v>498</v>
      </c>
      <c r="T4" s="641" t="s">
        <v>496</v>
      </c>
      <c r="U4" s="641" t="s">
        <v>498</v>
      </c>
      <c r="V4" s="641" t="s">
        <v>496</v>
      </c>
      <c r="W4" s="686"/>
      <c r="X4" s="640"/>
      <c r="Y4" s="687"/>
      <c r="Z4" s="687"/>
      <c r="AA4" s="687"/>
      <c r="AB4" s="687"/>
      <c r="AC4" s="687"/>
      <c r="AD4" s="687"/>
      <c r="AE4" s="687"/>
      <c r="AF4" s="687"/>
      <c r="AG4" s="687"/>
      <c r="AH4" s="687"/>
      <c r="AI4" s="687"/>
      <c r="AJ4" s="687"/>
      <c r="AK4" s="687"/>
      <c r="AL4" s="687"/>
    </row>
    <row r="5" spans="1:38" s="96" customFormat="1" ht="55.9" customHeight="1">
      <c r="A5" s="642" t="s">
        <v>6</v>
      </c>
      <c r="B5" s="775" t="s">
        <v>1034</v>
      </c>
      <c r="C5" s="776"/>
      <c r="D5" s="776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6"/>
      <c r="P5" s="776"/>
      <c r="Q5" s="776"/>
      <c r="R5" s="776"/>
      <c r="S5" s="776"/>
      <c r="T5" s="776"/>
      <c r="U5" s="776"/>
      <c r="V5" s="776"/>
      <c r="W5" s="776"/>
      <c r="X5" s="776"/>
      <c r="Y5" s="776"/>
      <c r="Z5" s="776"/>
      <c r="AA5" s="776"/>
      <c r="AB5" s="776"/>
      <c r="AC5" s="776"/>
      <c r="AD5" s="776"/>
      <c r="AE5" s="776"/>
      <c r="AF5" s="776"/>
      <c r="AG5" s="776"/>
      <c r="AH5" s="776"/>
      <c r="AI5" s="776"/>
      <c r="AJ5" s="776"/>
      <c r="AK5" s="776"/>
      <c r="AL5" s="777"/>
    </row>
    <row r="6" spans="1:38" s="96" customFormat="1" ht="131.25">
      <c r="A6" s="174">
        <v>1</v>
      </c>
      <c r="B6" s="175" t="s">
        <v>520</v>
      </c>
      <c r="C6" s="176">
        <v>1</v>
      </c>
      <c r="D6" s="176">
        <v>1</v>
      </c>
      <c r="E6" s="176">
        <v>1</v>
      </c>
      <c r="F6" s="176">
        <v>1</v>
      </c>
      <c r="G6" s="176">
        <v>1</v>
      </c>
      <c r="H6" s="176">
        <v>1</v>
      </c>
      <c r="I6" s="176">
        <v>1</v>
      </c>
      <c r="J6" s="176">
        <v>1</v>
      </c>
      <c r="K6" s="176">
        <v>1</v>
      </c>
      <c r="L6" s="176">
        <v>1</v>
      </c>
      <c r="M6" s="177"/>
      <c r="N6" s="185"/>
      <c r="O6" s="177">
        <v>9</v>
      </c>
      <c r="P6" s="178" t="s">
        <v>1035</v>
      </c>
      <c r="Q6" s="176">
        <v>9</v>
      </c>
      <c r="R6" s="178" t="s">
        <v>1035</v>
      </c>
      <c r="S6" s="176">
        <v>9</v>
      </c>
      <c r="T6" s="178" t="s">
        <v>1035</v>
      </c>
      <c r="U6" s="176">
        <v>9</v>
      </c>
      <c r="V6" s="178" t="s">
        <v>1035</v>
      </c>
      <c r="W6" s="185">
        <v>30</v>
      </c>
      <c r="X6" s="643" t="e">
        <f>#REF!*G6*M6*W6</f>
        <v>#REF!</v>
      </c>
      <c r="Y6" s="253">
        <f t="shared" ref="Y6:Y27" si="0">C6*G6*O6*W6</f>
        <v>270</v>
      </c>
      <c r="Z6" s="179">
        <f t="shared" ref="Z6:Z27" si="1">D6*G6*Q6*W6</f>
        <v>270</v>
      </c>
      <c r="AA6" s="179">
        <f t="shared" ref="AA6:AA27" si="2">E6*G6*S6*W6</f>
        <v>270</v>
      </c>
      <c r="AB6" s="179">
        <f t="shared" ref="AB6:AB27" si="3">F6*G6*U6*W6</f>
        <v>270</v>
      </c>
      <c r="AC6" s="256" t="e">
        <f>#REF!*H6*M6*W6</f>
        <v>#REF!</v>
      </c>
      <c r="AD6" s="253">
        <f t="shared" ref="AD6:AD27" si="4">C6*I6*O6*W6</f>
        <v>270</v>
      </c>
      <c r="AE6" s="179">
        <f t="shared" ref="AE6:AE27" si="5">D6*J6*Q6*W6</f>
        <v>270</v>
      </c>
      <c r="AF6" s="179">
        <f t="shared" ref="AF6:AF27" si="6">E6*L6*S6*W6</f>
        <v>270</v>
      </c>
      <c r="AG6" s="179">
        <f t="shared" ref="AG6:AG27" si="7">F6*L6*U6*W6</f>
        <v>270</v>
      </c>
      <c r="AH6" s="257" t="e">
        <f t="shared" ref="AH6:AL113" si="8">AC6/X6</f>
        <v>#REF!</v>
      </c>
      <c r="AI6" s="254">
        <f t="shared" si="8"/>
        <v>1</v>
      </c>
      <c r="AJ6" s="254">
        <f t="shared" si="8"/>
        <v>1</v>
      </c>
      <c r="AK6" s="254">
        <f t="shared" si="8"/>
        <v>1</v>
      </c>
      <c r="AL6" s="254">
        <f t="shared" si="8"/>
        <v>1</v>
      </c>
    </row>
    <row r="7" spans="1:38" s="639" customFormat="1" ht="131.25">
      <c r="A7" s="174">
        <v>2</v>
      </c>
      <c r="B7" s="644" t="s">
        <v>521</v>
      </c>
      <c r="C7" s="174">
        <v>1</v>
      </c>
      <c r="D7" s="174">
        <v>1</v>
      </c>
      <c r="E7" s="174">
        <v>1</v>
      </c>
      <c r="F7" s="174">
        <v>1</v>
      </c>
      <c r="G7" s="174">
        <v>1</v>
      </c>
      <c r="H7" s="174">
        <v>1</v>
      </c>
      <c r="I7" s="174">
        <v>1</v>
      </c>
      <c r="J7" s="174">
        <v>1</v>
      </c>
      <c r="K7" s="174">
        <v>1</v>
      </c>
      <c r="L7" s="174">
        <v>1</v>
      </c>
      <c r="M7" s="180"/>
      <c r="N7" s="255"/>
      <c r="O7" s="180">
        <v>9</v>
      </c>
      <c r="P7" s="178" t="s">
        <v>1035</v>
      </c>
      <c r="Q7" s="174">
        <v>9</v>
      </c>
      <c r="R7" s="178" t="s">
        <v>1035</v>
      </c>
      <c r="S7" s="174">
        <v>9</v>
      </c>
      <c r="T7" s="178" t="s">
        <v>1035</v>
      </c>
      <c r="U7" s="174">
        <v>9</v>
      </c>
      <c r="V7" s="178" t="s">
        <v>1035</v>
      </c>
      <c r="W7" s="255">
        <v>30</v>
      </c>
      <c r="X7" s="643" t="e">
        <f>#REF!*G7*M7*W7</f>
        <v>#REF!</v>
      </c>
      <c r="Y7" s="256">
        <f t="shared" si="0"/>
        <v>270</v>
      </c>
      <c r="Z7" s="181">
        <f t="shared" si="1"/>
        <v>270</v>
      </c>
      <c r="AA7" s="181">
        <f t="shared" si="2"/>
        <v>270</v>
      </c>
      <c r="AB7" s="181">
        <f t="shared" si="3"/>
        <v>270</v>
      </c>
      <c r="AC7" s="256" t="e">
        <f>#REF!*H7*M7*W7</f>
        <v>#REF!</v>
      </c>
      <c r="AD7" s="256">
        <f t="shared" si="4"/>
        <v>270</v>
      </c>
      <c r="AE7" s="181">
        <f t="shared" si="5"/>
        <v>270</v>
      </c>
      <c r="AF7" s="181">
        <f t="shared" si="6"/>
        <v>270</v>
      </c>
      <c r="AG7" s="181">
        <f t="shared" si="7"/>
        <v>270</v>
      </c>
      <c r="AH7" s="257" t="e">
        <f t="shared" si="8"/>
        <v>#REF!</v>
      </c>
      <c r="AI7" s="257">
        <f t="shared" si="8"/>
        <v>1</v>
      </c>
      <c r="AJ7" s="257">
        <f t="shared" si="8"/>
        <v>1</v>
      </c>
      <c r="AK7" s="257">
        <f t="shared" si="8"/>
        <v>1</v>
      </c>
      <c r="AL7" s="257">
        <f t="shared" si="8"/>
        <v>1</v>
      </c>
    </row>
    <row r="8" spans="1:38" s="639" customFormat="1" ht="131.25">
      <c r="A8" s="174">
        <v>3</v>
      </c>
      <c r="B8" s="644" t="s">
        <v>522</v>
      </c>
      <c r="C8" s="174">
        <v>1</v>
      </c>
      <c r="D8" s="174">
        <v>1</v>
      </c>
      <c r="E8" s="174">
        <v>1</v>
      </c>
      <c r="F8" s="174">
        <v>1</v>
      </c>
      <c r="G8" s="174">
        <v>1</v>
      </c>
      <c r="H8" s="174">
        <v>1</v>
      </c>
      <c r="I8" s="174">
        <v>1</v>
      </c>
      <c r="J8" s="174">
        <v>1</v>
      </c>
      <c r="K8" s="174">
        <v>1</v>
      </c>
      <c r="L8" s="174">
        <v>1</v>
      </c>
      <c r="M8" s="180"/>
      <c r="N8" s="255"/>
      <c r="O8" s="180">
        <v>9</v>
      </c>
      <c r="P8" s="178" t="s">
        <v>1035</v>
      </c>
      <c r="Q8" s="174">
        <v>9</v>
      </c>
      <c r="R8" s="178" t="s">
        <v>1035</v>
      </c>
      <c r="S8" s="174">
        <v>9</v>
      </c>
      <c r="T8" s="178" t="s">
        <v>1035</v>
      </c>
      <c r="U8" s="174">
        <v>9</v>
      </c>
      <c r="V8" s="178" t="s">
        <v>1035</v>
      </c>
      <c r="W8" s="255">
        <v>30</v>
      </c>
      <c r="X8" s="643" t="e">
        <f>#REF!*G8*M8*W8</f>
        <v>#REF!</v>
      </c>
      <c r="Y8" s="256">
        <f t="shared" si="0"/>
        <v>270</v>
      </c>
      <c r="Z8" s="181">
        <f t="shared" si="1"/>
        <v>270</v>
      </c>
      <c r="AA8" s="181">
        <f t="shared" si="2"/>
        <v>270</v>
      </c>
      <c r="AB8" s="181">
        <f t="shared" si="3"/>
        <v>270</v>
      </c>
      <c r="AC8" s="256" t="e">
        <f>#REF!*H8*M8*W8</f>
        <v>#REF!</v>
      </c>
      <c r="AD8" s="256">
        <f t="shared" si="4"/>
        <v>270</v>
      </c>
      <c r="AE8" s="181">
        <f t="shared" si="5"/>
        <v>270</v>
      </c>
      <c r="AF8" s="181">
        <f t="shared" si="6"/>
        <v>270</v>
      </c>
      <c r="AG8" s="181">
        <f t="shared" si="7"/>
        <v>270</v>
      </c>
      <c r="AH8" s="257" t="e">
        <f t="shared" si="8"/>
        <v>#REF!</v>
      </c>
      <c r="AI8" s="257">
        <f t="shared" si="8"/>
        <v>1</v>
      </c>
      <c r="AJ8" s="257">
        <f t="shared" si="8"/>
        <v>1</v>
      </c>
      <c r="AK8" s="257">
        <f t="shared" si="8"/>
        <v>1</v>
      </c>
      <c r="AL8" s="257">
        <f t="shared" si="8"/>
        <v>1</v>
      </c>
    </row>
    <row r="9" spans="1:38" s="639" customFormat="1" ht="131.25">
      <c r="A9" s="174">
        <v>4</v>
      </c>
      <c r="B9" s="644" t="s">
        <v>523</v>
      </c>
      <c r="C9" s="174">
        <v>1</v>
      </c>
      <c r="D9" s="174">
        <v>1</v>
      </c>
      <c r="E9" s="174">
        <v>1</v>
      </c>
      <c r="F9" s="174">
        <v>1</v>
      </c>
      <c r="G9" s="174">
        <v>1</v>
      </c>
      <c r="H9" s="174">
        <v>1</v>
      </c>
      <c r="I9" s="174">
        <v>1</v>
      </c>
      <c r="J9" s="174">
        <v>1</v>
      </c>
      <c r="K9" s="174">
        <v>1</v>
      </c>
      <c r="L9" s="174">
        <v>1</v>
      </c>
      <c r="M9" s="180"/>
      <c r="N9" s="255"/>
      <c r="O9" s="180">
        <v>9</v>
      </c>
      <c r="P9" s="178" t="s">
        <v>1035</v>
      </c>
      <c r="Q9" s="174">
        <v>9</v>
      </c>
      <c r="R9" s="178" t="s">
        <v>1035</v>
      </c>
      <c r="S9" s="174">
        <v>9</v>
      </c>
      <c r="T9" s="178" t="s">
        <v>1035</v>
      </c>
      <c r="U9" s="174">
        <v>9</v>
      </c>
      <c r="V9" s="178" t="s">
        <v>1035</v>
      </c>
      <c r="W9" s="255">
        <v>30</v>
      </c>
      <c r="X9" s="643" t="e">
        <f>#REF!*G9*M9*W9</f>
        <v>#REF!</v>
      </c>
      <c r="Y9" s="256">
        <f t="shared" si="0"/>
        <v>270</v>
      </c>
      <c r="Z9" s="181">
        <f t="shared" si="1"/>
        <v>270</v>
      </c>
      <c r="AA9" s="181">
        <f t="shared" si="2"/>
        <v>270</v>
      </c>
      <c r="AB9" s="181">
        <f t="shared" si="3"/>
        <v>270</v>
      </c>
      <c r="AC9" s="256" t="e">
        <f>#REF!*H9*M9*W9</f>
        <v>#REF!</v>
      </c>
      <c r="AD9" s="256">
        <f t="shared" si="4"/>
        <v>270</v>
      </c>
      <c r="AE9" s="181">
        <f t="shared" si="5"/>
        <v>270</v>
      </c>
      <c r="AF9" s="181">
        <f t="shared" si="6"/>
        <v>270</v>
      </c>
      <c r="AG9" s="181">
        <f t="shared" si="7"/>
        <v>270</v>
      </c>
      <c r="AH9" s="257" t="e">
        <f t="shared" si="8"/>
        <v>#REF!</v>
      </c>
      <c r="AI9" s="257">
        <f t="shared" si="8"/>
        <v>1</v>
      </c>
      <c r="AJ9" s="257">
        <f t="shared" si="8"/>
        <v>1</v>
      </c>
      <c r="AK9" s="257">
        <f t="shared" si="8"/>
        <v>1</v>
      </c>
      <c r="AL9" s="257">
        <f t="shared" si="8"/>
        <v>1</v>
      </c>
    </row>
    <row r="10" spans="1:38" s="639" customFormat="1" ht="131.25">
      <c r="A10" s="174">
        <v>5</v>
      </c>
      <c r="B10" s="644" t="s">
        <v>524</v>
      </c>
      <c r="C10" s="174">
        <v>1</v>
      </c>
      <c r="D10" s="174">
        <v>1</v>
      </c>
      <c r="E10" s="174">
        <v>1</v>
      </c>
      <c r="F10" s="174">
        <v>1</v>
      </c>
      <c r="G10" s="174">
        <v>1.5</v>
      </c>
      <c r="H10" s="174">
        <v>1.5</v>
      </c>
      <c r="I10" s="174">
        <v>1.5</v>
      </c>
      <c r="J10" s="174">
        <v>1.5</v>
      </c>
      <c r="K10" s="174">
        <v>1.5</v>
      </c>
      <c r="L10" s="174">
        <v>1.5</v>
      </c>
      <c r="M10" s="180"/>
      <c r="N10" s="255"/>
      <c r="O10" s="180">
        <v>9</v>
      </c>
      <c r="P10" s="178" t="s">
        <v>1035</v>
      </c>
      <c r="Q10" s="174">
        <v>9</v>
      </c>
      <c r="R10" s="178" t="s">
        <v>1035</v>
      </c>
      <c r="S10" s="174">
        <v>9</v>
      </c>
      <c r="T10" s="178" t="s">
        <v>1035</v>
      </c>
      <c r="U10" s="174">
        <v>9</v>
      </c>
      <c r="V10" s="178" t="s">
        <v>1035</v>
      </c>
      <c r="W10" s="255">
        <v>30</v>
      </c>
      <c r="X10" s="643" t="e">
        <f>#REF!*G10*M10*W10</f>
        <v>#REF!</v>
      </c>
      <c r="Y10" s="256">
        <f t="shared" si="0"/>
        <v>405</v>
      </c>
      <c r="Z10" s="181">
        <f t="shared" si="1"/>
        <v>405</v>
      </c>
      <c r="AA10" s="181">
        <f t="shared" si="2"/>
        <v>405</v>
      </c>
      <c r="AB10" s="181">
        <f t="shared" si="3"/>
        <v>405</v>
      </c>
      <c r="AC10" s="256" t="e">
        <f>#REF!*H10*M10*W10</f>
        <v>#REF!</v>
      </c>
      <c r="AD10" s="256">
        <f t="shared" si="4"/>
        <v>405</v>
      </c>
      <c r="AE10" s="181">
        <f t="shared" si="5"/>
        <v>405</v>
      </c>
      <c r="AF10" s="181">
        <f t="shared" si="6"/>
        <v>405</v>
      </c>
      <c r="AG10" s="181">
        <f t="shared" si="7"/>
        <v>405</v>
      </c>
      <c r="AH10" s="257" t="e">
        <f t="shared" si="8"/>
        <v>#REF!</v>
      </c>
      <c r="AI10" s="257">
        <f t="shared" si="8"/>
        <v>1</v>
      </c>
      <c r="AJ10" s="257">
        <f t="shared" si="8"/>
        <v>1</v>
      </c>
      <c r="AK10" s="257">
        <f t="shared" si="8"/>
        <v>1</v>
      </c>
      <c r="AL10" s="257">
        <f t="shared" si="8"/>
        <v>1</v>
      </c>
    </row>
    <row r="11" spans="1:38" s="639" customFormat="1" ht="131.25">
      <c r="A11" s="174">
        <v>6</v>
      </c>
      <c r="B11" s="644" t="s">
        <v>525</v>
      </c>
      <c r="C11" s="174">
        <v>1</v>
      </c>
      <c r="D11" s="174">
        <v>1</v>
      </c>
      <c r="E11" s="174">
        <v>1</v>
      </c>
      <c r="F11" s="174">
        <v>1</v>
      </c>
      <c r="G11" s="174">
        <v>1</v>
      </c>
      <c r="H11" s="174">
        <v>1</v>
      </c>
      <c r="I11" s="174">
        <v>1</v>
      </c>
      <c r="J11" s="174">
        <v>1</v>
      </c>
      <c r="K11" s="174">
        <v>1</v>
      </c>
      <c r="L11" s="174">
        <v>1</v>
      </c>
      <c r="M11" s="180"/>
      <c r="N11" s="255"/>
      <c r="O11" s="180">
        <v>9</v>
      </c>
      <c r="P11" s="178" t="s">
        <v>1035</v>
      </c>
      <c r="Q11" s="174">
        <v>9</v>
      </c>
      <c r="R11" s="178" t="s">
        <v>1035</v>
      </c>
      <c r="S11" s="174">
        <v>9</v>
      </c>
      <c r="T11" s="178" t="s">
        <v>1035</v>
      </c>
      <c r="U11" s="174">
        <v>9</v>
      </c>
      <c r="V11" s="178" t="s">
        <v>1035</v>
      </c>
      <c r="W11" s="255">
        <v>30</v>
      </c>
      <c r="X11" s="643" t="e">
        <f>#REF!*G11*M11*W11</f>
        <v>#REF!</v>
      </c>
      <c r="Y11" s="256">
        <f t="shared" si="0"/>
        <v>270</v>
      </c>
      <c r="Z11" s="181">
        <f t="shared" si="1"/>
        <v>270</v>
      </c>
      <c r="AA11" s="181">
        <f t="shared" si="2"/>
        <v>270</v>
      </c>
      <c r="AB11" s="181">
        <f t="shared" si="3"/>
        <v>270</v>
      </c>
      <c r="AC11" s="256" t="e">
        <f>#REF!*H11*M11*W11</f>
        <v>#REF!</v>
      </c>
      <c r="AD11" s="256">
        <f t="shared" si="4"/>
        <v>270</v>
      </c>
      <c r="AE11" s="181">
        <f t="shared" si="5"/>
        <v>270</v>
      </c>
      <c r="AF11" s="181">
        <f t="shared" si="6"/>
        <v>270</v>
      </c>
      <c r="AG11" s="181">
        <f t="shared" si="7"/>
        <v>270</v>
      </c>
      <c r="AH11" s="257" t="e">
        <f t="shared" si="8"/>
        <v>#REF!</v>
      </c>
      <c r="AI11" s="257">
        <f t="shared" si="8"/>
        <v>1</v>
      </c>
      <c r="AJ11" s="257">
        <f t="shared" si="8"/>
        <v>1</v>
      </c>
      <c r="AK11" s="257">
        <f t="shared" si="8"/>
        <v>1</v>
      </c>
      <c r="AL11" s="257">
        <f t="shared" si="8"/>
        <v>1</v>
      </c>
    </row>
    <row r="12" spans="1:38" s="639" customFormat="1" ht="131.25">
      <c r="A12" s="174">
        <v>7</v>
      </c>
      <c r="B12" s="644" t="s">
        <v>526</v>
      </c>
      <c r="C12" s="174">
        <v>1</v>
      </c>
      <c r="D12" s="174">
        <v>1</v>
      </c>
      <c r="E12" s="174">
        <v>1</v>
      </c>
      <c r="F12" s="174">
        <v>1</v>
      </c>
      <c r="G12" s="174">
        <v>1</v>
      </c>
      <c r="H12" s="174">
        <v>1</v>
      </c>
      <c r="I12" s="174">
        <v>1</v>
      </c>
      <c r="J12" s="174">
        <v>1</v>
      </c>
      <c r="K12" s="174">
        <v>1</v>
      </c>
      <c r="L12" s="174">
        <v>1</v>
      </c>
      <c r="M12" s="180"/>
      <c r="N12" s="255"/>
      <c r="O12" s="180">
        <v>9</v>
      </c>
      <c r="P12" s="178" t="s">
        <v>1035</v>
      </c>
      <c r="Q12" s="174">
        <v>9</v>
      </c>
      <c r="R12" s="178" t="s">
        <v>1035</v>
      </c>
      <c r="S12" s="174">
        <v>9</v>
      </c>
      <c r="T12" s="178" t="s">
        <v>1035</v>
      </c>
      <c r="U12" s="174">
        <v>9</v>
      </c>
      <c r="V12" s="178" t="s">
        <v>1035</v>
      </c>
      <c r="W12" s="255">
        <v>30</v>
      </c>
      <c r="X12" s="643" t="e">
        <f>#REF!*G12*M12*W12</f>
        <v>#REF!</v>
      </c>
      <c r="Y12" s="256">
        <f t="shared" si="0"/>
        <v>270</v>
      </c>
      <c r="Z12" s="181">
        <f t="shared" si="1"/>
        <v>270</v>
      </c>
      <c r="AA12" s="181">
        <f t="shared" si="2"/>
        <v>270</v>
      </c>
      <c r="AB12" s="181">
        <f t="shared" si="3"/>
        <v>270</v>
      </c>
      <c r="AC12" s="256" t="e">
        <f>#REF!*H12*M12*W12</f>
        <v>#REF!</v>
      </c>
      <c r="AD12" s="256">
        <f t="shared" si="4"/>
        <v>270</v>
      </c>
      <c r="AE12" s="181">
        <f t="shared" si="5"/>
        <v>270</v>
      </c>
      <c r="AF12" s="181">
        <f t="shared" si="6"/>
        <v>270</v>
      </c>
      <c r="AG12" s="181">
        <f t="shared" si="7"/>
        <v>270</v>
      </c>
      <c r="AH12" s="257" t="e">
        <f t="shared" si="8"/>
        <v>#REF!</v>
      </c>
      <c r="AI12" s="257">
        <f t="shared" si="8"/>
        <v>1</v>
      </c>
      <c r="AJ12" s="257">
        <f t="shared" si="8"/>
        <v>1</v>
      </c>
      <c r="AK12" s="257">
        <f t="shared" si="8"/>
        <v>1</v>
      </c>
      <c r="AL12" s="257">
        <f t="shared" si="8"/>
        <v>1</v>
      </c>
    </row>
    <row r="13" spans="1:38" s="639" customFormat="1" ht="131.25">
      <c r="A13" s="174">
        <v>8</v>
      </c>
      <c r="B13" s="644" t="s">
        <v>527</v>
      </c>
      <c r="C13" s="174">
        <v>1</v>
      </c>
      <c r="D13" s="174">
        <v>1</v>
      </c>
      <c r="E13" s="174">
        <v>1</v>
      </c>
      <c r="F13" s="174">
        <v>1</v>
      </c>
      <c r="G13" s="174">
        <v>1</v>
      </c>
      <c r="H13" s="174">
        <v>1</v>
      </c>
      <c r="I13" s="174">
        <v>1</v>
      </c>
      <c r="J13" s="174">
        <v>1</v>
      </c>
      <c r="K13" s="174">
        <v>1</v>
      </c>
      <c r="L13" s="174">
        <v>1</v>
      </c>
      <c r="M13" s="180"/>
      <c r="N13" s="255"/>
      <c r="O13" s="180">
        <v>9</v>
      </c>
      <c r="P13" s="178" t="s">
        <v>1035</v>
      </c>
      <c r="Q13" s="174">
        <v>9</v>
      </c>
      <c r="R13" s="178" t="s">
        <v>1035</v>
      </c>
      <c r="S13" s="174">
        <v>9</v>
      </c>
      <c r="T13" s="178" t="s">
        <v>1035</v>
      </c>
      <c r="U13" s="174">
        <v>9</v>
      </c>
      <c r="V13" s="178" t="s">
        <v>1035</v>
      </c>
      <c r="W13" s="255">
        <v>30</v>
      </c>
      <c r="X13" s="643" t="e">
        <f>#REF!*G13*M13*W13</f>
        <v>#REF!</v>
      </c>
      <c r="Y13" s="256">
        <f t="shared" si="0"/>
        <v>270</v>
      </c>
      <c r="Z13" s="181">
        <f t="shared" si="1"/>
        <v>270</v>
      </c>
      <c r="AA13" s="181">
        <f t="shared" si="2"/>
        <v>270</v>
      </c>
      <c r="AB13" s="181">
        <f t="shared" si="3"/>
        <v>270</v>
      </c>
      <c r="AC13" s="256" t="e">
        <f>#REF!*H13*M13*W13</f>
        <v>#REF!</v>
      </c>
      <c r="AD13" s="256">
        <f t="shared" si="4"/>
        <v>270</v>
      </c>
      <c r="AE13" s="181">
        <f t="shared" si="5"/>
        <v>270</v>
      </c>
      <c r="AF13" s="181">
        <f t="shared" si="6"/>
        <v>270</v>
      </c>
      <c r="AG13" s="181">
        <f t="shared" si="7"/>
        <v>270</v>
      </c>
      <c r="AH13" s="257" t="e">
        <f t="shared" si="8"/>
        <v>#REF!</v>
      </c>
      <c r="AI13" s="257">
        <f t="shared" si="8"/>
        <v>1</v>
      </c>
      <c r="AJ13" s="257">
        <f t="shared" si="8"/>
        <v>1</v>
      </c>
      <c r="AK13" s="257">
        <f t="shared" si="8"/>
        <v>1</v>
      </c>
      <c r="AL13" s="257">
        <f t="shared" si="8"/>
        <v>1</v>
      </c>
    </row>
    <row r="14" spans="1:38" s="639" customFormat="1" ht="131.25">
      <c r="A14" s="174">
        <v>9</v>
      </c>
      <c r="B14" s="644" t="s">
        <v>281</v>
      </c>
      <c r="C14" s="174">
        <v>1</v>
      </c>
      <c r="D14" s="174">
        <v>1</v>
      </c>
      <c r="E14" s="174">
        <v>1</v>
      </c>
      <c r="F14" s="174">
        <v>1</v>
      </c>
      <c r="G14" s="174">
        <v>4.2</v>
      </c>
      <c r="H14" s="174">
        <v>4.2</v>
      </c>
      <c r="I14" s="174">
        <v>4.2</v>
      </c>
      <c r="J14" s="174">
        <v>4.2</v>
      </c>
      <c r="K14" s="174">
        <v>4.2</v>
      </c>
      <c r="L14" s="174">
        <v>4.2</v>
      </c>
      <c r="M14" s="180"/>
      <c r="N14" s="255"/>
      <c r="O14" s="180">
        <v>9</v>
      </c>
      <c r="P14" s="178" t="s">
        <v>1035</v>
      </c>
      <c r="Q14" s="174">
        <v>9</v>
      </c>
      <c r="R14" s="178" t="s">
        <v>1035</v>
      </c>
      <c r="S14" s="174">
        <v>9</v>
      </c>
      <c r="T14" s="178" t="s">
        <v>1035</v>
      </c>
      <c r="U14" s="174">
        <v>9</v>
      </c>
      <c r="V14" s="178" t="s">
        <v>1035</v>
      </c>
      <c r="W14" s="255">
        <v>30</v>
      </c>
      <c r="X14" s="643" t="e">
        <f>#REF!*G14*M14*W14</f>
        <v>#REF!</v>
      </c>
      <c r="Y14" s="256">
        <f t="shared" si="0"/>
        <v>1134.0000000000002</v>
      </c>
      <c r="Z14" s="181">
        <f t="shared" si="1"/>
        <v>1134.0000000000002</v>
      </c>
      <c r="AA14" s="181">
        <f t="shared" si="2"/>
        <v>1134.0000000000002</v>
      </c>
      <c r="AB14" s="181">
        <f t="shared" si="3"/>
        <v>1134.0000000000002</v>
      </c>
      <c r="AC14" s="256" t="e">
        <f>#REF!*H14*M14*W14</f>
        <v>#REF!</v>
      </c>
      <c r="AD14" s="256">
        <f t="shared" si="4"/>
        <v>1134.0000000000002</v>
      </c>
      <c r="AE14" s="181">
        <f t="shared" si="5"/>
        <v>1134.0000000000002</v>
      </c>
      <c r="AF14" s="181">
        <f t="shared" si="6"/>
        <v>1134.0000000000002</v>
      </c>
      <c r="AG14" s="181">
        <f t="shared" si="7"/>
        <v>1134.0000000000002</v>
      </c>
      <c r="AH14" s="257" t="e">
        <f t="shared" si="8"/>
        <v>#REF!</v>
      </c>
      <c r="AI14" s="257">
        <f t="shared" si="8"/>
        <v>1</v>
      </c>
      <c r="AJ14" s="257">
        <f t="shared" si="8"/>
        <v>1</v>
      </c>
      <c r="AK14" s="257">
        <f t="shared" si="8"/>
        <v>1</v>
      </c>
      <c r="AL14" s="257">
        <f t="shared" si="8"/>
        <v>1</v>
      </c>
    </row>
    <row r="15" spans="1:38" s="639" customFormat="1" ht="131.25">
      <c r="A15" s="174">
        <v>10</v>
      </c>
      <c r="B15" s="644" t="s">
        <v>282</v>
      </c>
      <c r="C15" s="174">
        <v>1</v>
      </c>
      <c r="D15" s="174">
        <v>1</v>
      </c>
      <c r="E15" s="174">
        <v>1</v>
      </c>
      <c r="F15" s="174">
        <v>1</v>
      </c>
      <c r="G15" s="174">
        <v>8</v>
      </c>
      <c r="H15" s="174">
        <v>8</v>
      </c>
      <c r="I15" s="174">
        <v>8</v>
      </c>
      <c r="J15" s="174">
        <v>8</v>
      </c>
      <c r="K15" s="174">
        <v>8</v>
      </c>
      <c r="L15" s="174">
        <v>8</v>
      </c>
      <c r="M15" s="180">
        <v>3</v>
      </c>
      <c r="N15" s="255"/>
      <c r="O15" s="174">
        <v>13.5</v>
      </c>
      <c r="P15" s="178" t="s">
        <v>1036</v>
      </c>
      <c r="Q15" s="174">
        <v>13.5</v>
      </c>
      <c r="R15" s="178" t="s">
        <v>1036</v>
      </c>
      <c r="S15" s="174">
        <v>13.5</v>
      </c>
      <c r="T15" s="178" t="s">
        <v>1036</v>
      </c>
      <c r="U15" s="174">
        <v>13.5</v>
      </c>
      <c r="V15" s="178" t="s">
        <v>1036</v>
      </c>
      <c r="W15" s="255">
        <v>30</v>
      </c>
      <c r="X15" s="643" t="e">
        <f>#REF!*G15*M15*W15</f>
        <v>#REF!</v>
      </c>
      <c r="Y15" s="256">
        <f t="shared" si="0"/>
        <v>3240</v>
      </c>
      <c r="Z15" s="181">
        <f t="shared" si="1"/>
        <v>3240</v>
      </c>
      <c r="AA15" s="181">
        <f t="shared" si="2"/>
        <v>3240</v>
      </c>
      <c r="AB15" s="181">
        <f t="shared" si="3"/>
        <v>3240</v>
      </c>
      <c r="AC15" s="256" t="e">
        <f>#REF!*H15*M15*W15</f>
        <v>#REF!</v>
      </c>
      <c r="AD15" s="256">
        <f t="shared" si="4"/>
        <v>3240</v>
      </c>
      <c r="AE15" s="181">
        <f t="shared" si="5"/>
        <v>3240</v>
      </c>
      <c r="AF15" s="181">
        <f t="shared" si="6"/>
        <v>3240</v>
      </c>
      <c r="AG15" s="181">
        <f t="shared" si="7"/>
        <v>3240</v>
      </c>
      <c r="AH15" s="257" t="e">
        <f t="shared" si="8"/>
        <v>#REF!</v>
      </c>
      <c r="AI15" s="257">
        <f t="shared" si="8"/>
        <v>1</v>
      </c>
      <c r="AJ15" s="257">
        <f t="shared" si="8"/>
        <v>1</v>
      </c>
      <c r="AK15" s="257">
        <f t="shared" si="8"/>
        <v>1</v>
      </c>
      <c r="AL15" s="257">
        <f t="shared" si="8"/>
        <v>1</v>
      </c>
    </row>
    <row r="16" spans="1:38" s="639" customFormat="1" ht="187.5">
      <c r="A16" s="174">
        <v>11</v>
      </c>
      <c r="B16" s="644" t="s">
        <v>1037</v>
      </c>
      <c r="C16" s="174">
        <v>1</v>
      </c>
      <c r="D16" s="174">
        <v>1</v>
      </c>
      <c r="E16" s="174">
        <v>1</v>
      </c>
      <c r="F16" s="174">
        <v>1</v>
      </c>
      <c r="G16" s="174">
        <v>4.5</v>
      </c>
      <c r="H16" s="174">
        <v>4.5</v>
      </c>
      <c r="I16" s="174">
        <v>4.5</v>
      </c>
      <c r="J16" s="174">
        <v>4.5</v>
      </c>
      <c r="K16" s="174">
        <v>4.5</v>
      </c>
      <c r="L16" s="174">
        <v>4.5</v>
      </c>
      <c r="M16" s="180"/>
      <c r="N16" s="255"/>
      <c r="O16" s="174">
        <v>11.5</v>
      </c>
      <c r="P16" s="178" t="s">
        <v>1038</v>
      </c>
      <c r="Q16" s="174">
        <v>11.5</v>
      </c>
      <c r="R16" s="178" t="s">
        <v>1038</v>
      </c>
      <c r="S16" s="174">
        <v>11.5</v>
      </c>
      <c r="T16" s="178" t="s">
        <v>1038</v>
      </c>
      <c r="U16" s="174">
        <v>11.5</v>
      </c>
      <c r="V16" s="178" t="s">
        <v>1038</v>
      </c>
      <c r="W16" s="255">
        <v>30</v>
      </c>
      <c r="X16" s="643" t="e">
        <f>#REF!*G16*M16*W16</f>
        <v>#REF!</v>
      </c>
      <c r="Y16" s="256">
        <f t="shared" si="0"/>
        <v>1552.5</v>
      </c>
      <c r="Z16" s="181">
        <f t="shared" si="1"/>
        <v>1552.5</v>
      </c>
      <c r="AA16" s="181">
        <f t="shared" si="2"/>
        <v>1552.5</v>
      </c>
      <c r="AB16" s="181">
        <f t="shared" si="3"/>
        <v>1552.5</v>
      </c>
      <c r="AC16" s="256" t="e">
        <f>#REF!*H16*M16*W16</f>
        <v>#REF!</v>
      </c>
      <c r="AD16" s="256">
        <f t="shared" si="4"/>
        <v>1552.5</v>
      </c>
      <c r="AE16" s="181">
        <f t="shared" si="5"/>
        <v>1552.5</v>
      </c>
      <c r="AF16" s="181">
        <f t="shared" si="6"/>
        <v>1552.5</v>
      </c>
      <c r="AG16" s="181">
        <f t="shared" si="7"/>
        <v>1552.5</v>
      </c>
      <c r="AH16" s="257" t="e">
        <f t="shared" si="8"/>
        <v>#REF!</v>
      </c>
      <c r="AI16" s="257">
        <f t="shared" si="8"/>
        <v>1</v>
      </c>
      <c r="AJ16" s="257">
        <f t="shared" si="8"/>
        <v>1</v>
      </c>
      <c r="AK16" s="257">
        <f t="shared" si="8"/>
        <v>1</v>
      </c>
      <c r="AL16" s="257">
        <f t="shared" si="8"/>
        <v>1</v>
      </c>
    </row>
    <row r="17" spans="1:38" s="639" customFormat="1" ht="187.5">
      <c r="A17" s="174">
        <v>12</v>
      </c>
      <c r="B17" s="644" t="s">
        <v>1039</v>
      </c>
      <c r="C17" s="174">
        <v>1</v>
      </c>
      <c r="D17" s="174">
        <v>1</v>
      </c>
      <c r="E17" s="174">
        <v>1</v>
      </c>
      <c r="F17" s="174">
        <v>1</v>
      </c>
      <c r="G17" s="174">
        <v>3</v>
      </c>
      <c r="H17" s="174">
        <v>3</v>
      </c>
      <c r="I17" s="174">
        <v>3</v>
      </c>
      <c r="J17" s="174">
        <v>3</v>
      </c>
      <c r="K17" s="174">
        <v>3</v>
      </c>
      <c r="L17" s="174">
        <v>3</v>
      </c>
      <c r="M17" s="180"/>
      <c r="N17" s="255"/>
      <c r="O17" s="174">
        <v>11.5</v>
      </c>
      <c r="P17" s="178" t="s">
        <v>1038</v>
      </c>
      <c r="Q17" s="174">
        <v>11.5</v>
      </c>
      <c r="R17" s="178" t="s">
        <v>1038</v>
      </c>
      <c r="S17" s="174">
        <v>11.5</v>
      </c>
      <c r="T17" s="178" t="s">
        <v>1038</v>
      </c>
      <c r="U17" s="174">
        <v>11.5</v>
      </c>
      <c r="V17" s="178" t="s">
        <v>1038</v>
      </c>
      <c r="W17" s="255">
        <v>30</v>
      </c>
      <c r="X17" s="643" t="e">
        <f>#REF!*G17*M17*W17</f>
        <v>#REF!</v>
      </c>
      <c r="Y17" s="256">
        <f t="shared" si="0"/>
        <v>1035</v>
      </c>
      <c r="Z17" s="181">
        <f t="shared" si="1"/>
        <v>1035</v>
      </c>
      <c r="AA17" s="181">
        <f t="shared" si="2"/>
        <v>1035</v>
      </c>
      <c r="AB17" s="181">
        <f t="shared" si="3"/>
        <v>1035</v>
      </c>
      <c r="AC17" s="256" t="e">
        <f>#REF!*H17*M17*W17</f>
        <v>#REF!</v>
      </c>
      <c r="AD17" s="256">
        <f t="shared" si="4"/>
        <v>1035</v>
      </c>
      <c r="AE17" s="181">
        <f t="shared" si="5"/>
        <v>1035</v>
      </c>
      <c r="AF17" s="181">
        <f t="shared" si="6"/>
        <v>1035</v>
      </c>
      <c r="AG17" s="181">
        <f t="shared" si="7"/>
        <v>1035</v>
      </c>
      <c r="AH17" s="257" t="e">
        <f t="shared" si="8"/>
        <v>#REF!</v>
      </c>
      <c r="AI17" s="257">
        <f t="shared" si="8"/>
        <v>1</v>
      </c>
      <c r="AJ17" s="257">
        <f t="shared" si="8"/>
        <v>1</v>
      </c>
      <c r="AK17" s="257">
        <f t="shared" si="8"/>
        <v>1</v>
      </c>
      <c r="AL17" s="257">
        <f t="shared" si="8"/>
        <v>1</v>
      </c>
    </row>
    <row r="18" spans="1:38" s="639" customFormat="1" ht="187.5">
      <c r="A18" s="174">
        <v>13</v>
      </c>
      <c r="B18" s="644" t="s">
        <v>283</v>
      </c>
      <c r="C18" s="174">
        <v>1</v>
      </c>
      <c r="D18" s="174">
        <v>1</v>
      </c>
      <c r="E18" s="174">
        <v>1</v>
      </c>
      <c r="F18" s="174">
        <v>1</v>
      </c>
      <c r="G18" s="174">
        <v>3</v>
      </c>
      <c r="H18" s="174">
        <v>3</v>
      </c>
      <c r="I18" s="174">
        <v>3</v>
      </c>
      <c r="J18" s="174">
        <v>3</v>
      </c>
      <c r="K18" s="174">
        <v>3</v>
      </c>
      <c r="L18" s="174">
        <v>3</v>
      </c>
      <c r="M18" s="180"/>
      <c r="N18" s="255"/>
      <c r="O18" s="174">
        <v>11.5</v>
      </c>
      <c r="P18" s="178" t="s">
        <v>1038</v>
      </c>
      <c r="Q18" s="174">
        <v>11.5</v>
      </c>
      <c r="R18" s="178" t="s">
        <v>1038</v>
      </c>
      <c r="S18" s="174">
        <v>11.5</v>
      </c>
      <c r="T18" s="178" t="s">
        <v>1038</v>
      </c>
      <c r="U18" s="174">
        <v>11.5</v>
      </c>
      <c r="V18" s="178" t="s">
        <v>1038</v>
      </c>
      <c r="W18" s="255">
        <v>30</v>
      </c>
      <c r="X18" s="643" t="e">
        <f>#REF!*G18*M18*W18</f>
        <v>#REF!</v>
      </c>
      <c r="Y18" s="256">
        <f t="shared" si="0"/>
        <v>1035</v>
      </c>
      <c r="Z18" s="181">
        <f t="shared" si="1"/>
        <v>1035</v>
      </c>
      <c r="AA18" s="181">
        <f t="shared" si="2"/>
        <v>1035</v>
      </c>
      <c r="AB18" s="181">
        <f t="shared" si="3"/>
        <v>1035</v>
      </c>
      <c r="AC18" s="256" t="e">
        <f>#REF!*H18*M18*W18</f>
        <v>#REF!</v>
      </c>
      <c r="AD18" s="256">
        <f t="shared" si="4"/>
        <v>1035</v>
      </c>
      <c r="AE18" s="181">
        <f t="shared" si="5"/>
        <v>1035</v>
      </c>
      <c r="AF18" s="181">
        <f t="shared" si="6"/>
        <v>1035</v>
      </c>
      <c r="AG18" s="181">
        <f t="shared" si="7"/>
        <v>1035</v>
      </c>
      <c r="AH18" s="257" t="e">
        <f t="shared" si="8"/>
        <v>#REF!</v>
      </c>
      <c r="AI18" s="257">
        <f t="shared" si="8"/>
        <v>1</v>
      </c>
      <c r="AJ18" s="257">
        <f t="shared" si="8"/>
        <v>1</v>
      </c>
      <c r="AK18" s="257">
        <f t="shared" si="8"/>
        <v>1</v>
      </c>
      <c r="AL18" s="257">
        <f t="shared" si="8"/>
        <v>1</v>
      </c>
    </row>
    <row r="19" spans="1:38" s="639" customFormat="1" ht="131.25">
      <c r="A19" s="174">
        <v>14</v>
      </c>
      <c r="B19" s="644" t="s">
        <v>284</v>
      </c>
      <c r="C19" s="174">
        <v>1</v>
      </c>
      <c r="D19" s="174">
        <v>1</v>
      </c>
      <c r="E19" s="174">
        <v>1</v>
      </c>
      <c r="F19" s="174">
        <v>1</v>
      </c>
      <c r="G19" s="174">
        <v>1.5</v>
      </c>
      <c r="H19" s="174">
        <v>1.5</v>
      </c>
      <c r="I19" s="174">
        <v>1.5</v>
      </c>
      <c r="J19" s="174">
        <v>1.5</v>
      </c>
      <c r="K19" s="174">
        <v>1.5</v>
      </c>
      <c r="L19" s="174">
        <v>1.5</v>
      </c>
      <c r="M19" s="180"/>
      <c r="N19" s="255"/>
      <c r="O19" s="180">
        <v>9</v>
      </c>
      <c r="P19" s="178" t="s">
        <v>1035</v>
      </c>
      <c r="Q19" s="174">
        <v>9</v>
      </c>
      <c r="R19" s="178" t="s">
        <v>1035</v>
      </c>
      <c r="S19" s="174">
        <v>9</v>
      </c>
      <c r="T19" s="178" t="s">
        <v>1035</v>
      </c>
      <c r="U19" s="174">
        <v>9</v>
      </c>
      <c r="V19" s="178" t="s">
        <v>1035</v>
      </c>
      <c r="W19" s="255">
        <v>30</v>
      </c>
      <c r="X19" s="643" t="e">
        <f>#REF!*G19*M19*W19</f>
        <v>#REF!</v>
      </c>
      <c r="Y19" s="256">
        <f t="shared" si="0"/>
        <v>405</v>
      </c>
      <c r="Z19" s="181">
        <f t="shared" si="1"/>
        <v>405</v>
      </c>
      <c r="AA19" s="181">
        <f t="shared" si="2"/>
        <v>405</v>
      </c>
      <c r="AB19" s="181">
        <f t="shared" si="3"/>
        <v>405</v>
      </c>
      <c r="AC19" s="256" t="e">
        <f>#REF!*H19*M19*W19</f>
        <v>#REF!</v>
      </c>
      <c r="AD19" s="256">
        <f t="shared" si="4"/>
        <v>405</v>
      </c>
      <c r="AE19" s="181">
        <f t="shared" si="5"/>
        <v>405</v>
      </c>
      <c r="AF19" s="181">
        <f t="shared" si="6"/>
        <v>405</v>
      </c>
      <c r="AG19" s="181">
        <f t="shared" si="7"/>
        <v>405</v>
      </c>
      <c r="AH19" s="257" t="e">
        <f t="shared" si="8"/>
        <v>#REF!</v>
      </c>
      <c r="AI19" s="257">
        <f t="shared" si="8"/>
        <v>1</v>
      </c>
      <c r="AJ19" s="257">
        <f t="shared" si="8"/>
        <v>1</v>
      </c>
      <c r="AK19" s="257">
        <f t="shared" si="8"/>
        <v>1</v>
      </c>
      <c r="AL19" s="257">
        <f t="shared" si="8"/>
        <v>1</v>
      </c>
    </row>
    <row r="20" spans="1:38" s="639" customFormat="1" ht="131.25">
      <c r="A20" s="174">
        <v>15</v>
      </c>
      <c r="B20" s="644" t="s">
        <v>285</v>
      </c>
      <c r="C20" s="174">
        <v>1</v>
      </c>
      <c r="D20" s="174">
        <v>1</v>
      </c>
      <c r="E20" s="174">
        <v>1</v>
      </c>
      <c r="F20" s="174">
        <v>1</v>
      </c>
      <c r="G20" s="174">
        <v>2</v>
      </c>
      <c r="H20" s="174">
        <v>2</v>
      </c>
      <c r="I20" s="174">
        <v>2</v>
      </c>
      <c r="J20" s="174">
        <v>2</v>
      </c>
      <c r="K20" s="174">
        <v>2</v>
      </c>
      <c r="L20" s="174">
        <v>2</v>
      </c>
      <c r="M20" s="180">
        <v>3</v>
      </c>
      <c r="N20" s="255"/>
      <c r="O20" s="180">
        <v>9</v>
      </c>
      <c r="P20" s="178" t="s">
        <v>1035</v>
      </c>
      <c r="Q20" s="174">
        <v>9</v>
      </c>
      <c r="R20" s="178" t="s">
        <v>1035</v>
      </c>
      <c r="S20" s="174">
        <v>9</v>
      </c>
      <c r="T20" s="178" t="s">
        <v>1035</v>
      </c>
      <c r="U20" s="174">
        <v>9</v>
      </c>
      <c r="V20" s="178" t="s">
        <v>1035</v>
      </c>
      <c r="W20" s="255">
        <v>30</v>
      </c>
      <c r="X20" s="643" t="e">
        <f>#REF!*G20*M20*W20</f>
        <v>#REF!</v>
      </c>
      <c r="Y20" s="256">
        <f t="shared" si="0"/>
        <v>540</v>
      </c>
      <c r="Z20" s="181">
        <f t="shared" si="1"/>
        <v>540</v>
      </c>
      <c r="AA20" s="181">
        <f t="shared" si="2"/>
        <v>540</v>
      </c>
      <c r="AB20" s="181">
        <f t="shared" si="3"/>
        <v>540</v>
      </c>
      <c r="AC20" s="256" t="e">
        <f>#REF!*H20*M20*W20</f>
        <v>#REF!</v>
      </c>
      <c r="AD20" s="256">
        <f t="shared" si="4"/>
        <v>540</v>
      </c>
      <c r="AE20" s="181">
        <f t="shared" si="5"/>
        <v>540</v>
      </c>
      <c r="AF20" s="181">
        <f t="shared" si="6"/>
        <v>540</v>
      </c>
      <c r="AG20" s="181">
        <f t="shared" si="7"/>
        <v>540</v>
      </c>
      <c r="AH20" s="257" t="e">
        <f t="shared" si="8"/>
        <v>#REF!</v>
      </c>
      <c r="AI20" s="257">
        <f t="shared" si="8"/>
        <v>1</v>
      </c>
      <c r="AJ20" s="257">
        <f t="shared" si="8"/>
        <v>1</v>
      </c>
      <c r="AK20" s="257">
        <f t="shared" si="8"/>
        <v>1</v>
      </c>
      <c r="AL20" s="257">
        <f t="shared" si="8"/>
        <v>1</v>
      </c>
    </row>
    <row r="21" spans="1:38" s="639" customFormat="1" ht="131.25">
      <c r="A21" s="174">
        <v>16</v>
      </c>
      <c r="B21" s="644" t="s">
        <v>540</v>
      </c>
      <c r="C21" s="174">
        <v>2</v>
      </c>
      <c r="D21" s="174">
        <v>2</v>
      </c>
      <c r="E21" s="174">
        <v>2</v>
      </c>
      <c r="F21" s="174">
        <v>2</v>
      </c>
      <c r="G21" s="174">
        <v>1</v>
      </c>
      <c r="H21" s="174">
        <v>1</v>
      </c>
      <c r="I21" s="174">
        <v>1</v>
      </c>
      <c r="J21" s="174">
        <v>1</v>
      </c>
      <c r="K21" s="174">
        <v>1</v>
      </c>
      <c r="L21" s="174">
        <v>1</v>
      </c>
      <c r="M21" s="180"/>
      <c r="N21" s="255"/>
      <c r="O21" s="180">
        <v>9</v>
      </c>
      <c r="P21" s="178" t="s">
        <v>1035</v>
      </c>
      <c r="Q21" s="174">
        <v>9</v>
      </c>
      <c r="R21" s="178" t="s">
        <v>1035</v>
      </c>
      <c r="S21" s="174">
        <v>9</v>
      </c>
      <c r="T21" s="178" t="s">
        <v>1035</v>
      </c>
      <c r="U21" s="174">
        <v>9</v>
      </c>
      <c r="V21" s="178" t="s">
        <v>1035</v>
      </c>
      <c r="W21" s="255">
        <v>30</v>
      </c>
      <c r="X21" s="643" t="e">
        <f>#REF!*G21*M21*W21</f>
        <v>#REF!</v>
      </c>
      <c r="Y21" s="256">
        <f t="shared" si="0"/>
        <v>540</v>
      </c>
      <c r="Z21" s="181">
        <f t="shared" si="1"/>
        <v>540</v>
      </c>
      <c r="AA21" s="181">
        <f t="shared" si="2"/>
        <v>540</v>
      </c>
      <c r="AB21" s="181">
        <f t="shared" si="3"/>
        <v>540</v>
      </c>
      <c r="AC21" s="256" t="e">
        <f>#REF!*H21*M21*W21</f>
        <v>#REF!</v>
      </c>
      <c r="AD21" s="256">
        <f t="shared" si="4"/>
        <v>540</v>
      </c>
      <c r="AE21" s="181">
        <f t="shared" si="5"/>
        <v>540</v>
      </c>
      <c r="AF21" s="181">
        <f t="shared" si="6"/>
        <v>540</v>
      </c>
      <c r="AG21" s="181">
        <f t="shared" si="7"/>
        <v>540</v>
      </c>
      <c r="AH21" s="257" t="e">
        <f t="shared" si="8"/>
        <v>#REF!</v>
      </c>
      <c r="AI21" s="257">
        <f t="shared" si="8"/>
        <v>1</v>
      </c>
      <c r="AJ21" s="257">
        <f t="shared" si="8"/>
        <v>1</v>
      </c>
      <c r="AK21" s="257">
        <f t="shared" si="8"/>
        <v>1</v>
      </c>
      <c r="AL21" s="257">
        <f t="shared" si="8"/>
        <v>1</v>
      </c>
    </row>
    <row r="22" spans="1:38" s="639" customFormat="1" ht="131.25">
      <c r="A22" s="174">
        <v>17</v>
      </c>
      <c r="B22" s="644" t="s">
        <v>1040</v>
      </c>
      <c r="C22" s="174">
        <v>1</v>
      </c>
      <c r="D22" s="174">
        <v>1</v>
      </c>
      <c r="E22" s="174">
        <v>1</v>
      </c>
      <c r="F22" s="174">
        <v>1</v>
      </c>
      <c r="G22" s="174">
        <v>1</v>
      </c>
      <c r="H22" s="174">
        <v>1</v>
      </c>
      <c r="I22" s="174">
        <v>1</v>
      </c>
      <c r="J22" s="174">
        <v>1</v>
      </c>
      <c r="K22" s="174">
        <v>1</v>
      </c>
      <c r="L22" s="174">
        <v>1</v>
      </c>
      <c r="M22" s="180"/>
      <c r="N22" s="255"/>
      <c r="O22" s="180">
        <v>9</v>
      </c>
      <c r="P22" s="178" t="s">
        <v>1035</v>
      </c>
      <c r="Q22" s="180">
        <v>9</v>
      </c>
      <c r="R22" s="178" t="s">
        <v>1035</v>
      </c>
      <c r="S22" s="180">
        <v>9</v>
      </c>
      <c r="T22" s="178" t="s">
        <v>1035</v>
      </c>
      <c r="U22" s="180">
        <v>9</v>
      </c>
      <c r="V22" s="178" t="s">
        <v>1035</v>
      </c>
      <c r="W22" s="255">
        <v>30</v>
      </c>
      <c r="X22" s="643" t="e">
        <f>#REF!*G22*M22*W22</f>
        <v>#REF!</v>
      </c>
      <c r="Y22" s="256">
        <f t="shared" si="0"/>
        <v>270</v>
      </c>
      <c r="Z22" s="181">
        <f t="shared" si="1"/>
        <v>270</v>
      </c>
      <c r="AA22" s="181">
        <f t="shared" si="2"/>
        <v>270</v>
      </c>
      <c r="AB22" s="181">
        <f t="shared" si="3"/>
        <v>270</v>
      </c>
      <c r="AC22" s="256"/>
      <c r="AD22" s="256">
        <f t="shared" si="4"/>
        <v>270</v>
      </c>
      <c r="AE22" s="181">
        <f t="shared" si="5"/>
        <v>270</v>
      </c>
      <c r="AF22" s="181">
        <f t="shared" si="6"/>
        <v>270</v>
      </c>
      <c r="AG22" s="181">
        <f t="shared" si="7"/>
        <v>270</v>
      </c>
      <c r="AH22" s="257" t="e">
        <f t="shared" si="8"/>
        <v>#REF!</v>
      </c>
      <c r="AI22" s="257">
        <f t="shared" si="8"/>
        <v>1</v>
      </c>
      <c r="AJ22" s="257">
        <f t="shared" si="8"/>
        <v>1</v>
      </c>
      <c r="AK22" s="257">
        <f t="shared" si="8"/>
        <v>1</v>
      </c>
      <c r="AL22" s="257">
        <f t="shared" si="8"/>
        <v>1</v>
      </c>
    </row>
    <row r="23" spans="1:38" s="639" customFormat="1" ht="131.25">
      <c r="A23" s="174">
        <v>18</v>
      </c>
      <c r="B23" s="644" t="s">
        <v>541</v>
      </c>
      <c r="C23" s="174">
        <v>1</v>
      </c>
      <c r="D23" s="174">
        <v>1</v>
      </c>
      <c r="E23" s="174">
        <v>1</v>
      </c>
      <c r="F23" s="174">
        <v>1</v>
      </c>
      <c r="G23" s="174">
        <v>1</v>
      </c>
      <c r="H23" s="174">
        <v>1</v>
      </c>
      <c r="I23" s="174">
        <v>1</v>
      </c>
      <c r="J23" s="174">
        <v>1</v>
      </c>
      <c r="K23" s="174">
        <v>1</v>
      </c>
      <c r="L23" s="174">
        <v>1</v>
      </c>
      <c r="M23" s="180"/>
      <c r="N23" s="255"/>
      <c r="O23" s="180">
        <v>9</v>
      </c>
      <c r="P23" s="178" t="s">
        <v>1035</v>
      </c>
      <c r="Q23" s="174">
        <v>9</v>
      </c>
      <c r="R23" s="178" t="s">
        <v>1035</v>
      </c>
      <c r="S23" s="174">
        <v>9</v>
      </c>
      <c r="T23" s="178" t="s">
        <v>1035</v>
      </c>
      <c r="U23" s="174">
        <v>9</v>
      </c>
      <c r="V23" s="178" t="s">
        <v>1035</v>
      </c>
      <c r="W23" s="255">
        <v>30</v>
      </c>
      <c r="X23" s="643" t="e">
        <f>#REF!*G23*M23*W23</f>
        <v>#REF!</v>
      </c>
      <c r="Y23" s="256">
        <f t="shared" si="0"/>
        <v>270</v>
      </c>
      <c r="Z23" s="181">
        <f t="shared" si="1"/>
        <v>270</v>
      </c>
      <c r="AA23" s="181">
        <f t="shared" si="2"/>
        <v>270</v>
      </c>
      <c r="AB23" s="181">
        <f t="shared" si="3"/>
        <v>270</v>
      </c>
      <c r="AC23" s="256" t="e">
        <f>#REF!*H23*M23*W23</f>
        <v>#REF!</v>
      </c>
      <c r="AD23" s="256">
        <f t="shared" si="4"/>
        <v>270</v>
      </c>
      <c r="AE23" s="181">
        <f t="shared" si="5"/>
        <v>270</v>
      </c>
      <c r="AF23" s="181">
        <f t="shared" si="6"/>
        <v>270</v>
      </c>
      <c r="AG23" s="181">
        <f t="shared" si="7"/>
        <v>270</v>
      </c>
      <c r="AH23" s="257" t="e">
        <f t="shared" si="8"/>
        <v>#REF!</v>
      </c>
      <c r="AI23" s="257">
        <f t="shared" si="8"/>
        <v>1</v>
      </c>
      <c r="AJ23" s="257">
        <f t="shared" si="8"/>
        <v>1</v>
      </c>
      <c r="AK23" s="257">
        <f t="shared" si="8"/>
        <v>1</v>
      </c>
      <c r="AL23" s="257">
        <f t="shared" si="8"/>
        <v>1</v>
      </c>
    </row>
    <row r="24" spans="1:38" s="639" customFormat="1" ht="131.25">
      <c r="A24" s="174">
        <v>19</v>
      </c>
      <c r="B24" s="644" t="s">
        <v>542</v>
      </c>
      <c r="C24" s="174">
        <v>1</v>
      </c>
      <c r="D24" s="174">
        <v>1</v>
      </c>
      <c r="E24" s="174">
        <v>1</v>
      </c>
      <c r="F24" s="174">
        <v>1</v>
      </c>
      <c r="G24" s="174">
        <v>1</v>
      </c>
      <c r="H24" s="174">
        <v>1</v>
      </c>
      <c r="I24" s="174">
        <v>1</v>
      </c>
      <c r="J24" s="174">
        <v>1</v>
      </c>
      <c r="K24" s="174">
        <v>1</v>
      </c>
      <c r="L24" s="174">
        <v>1</v>
      </c>
      <c r="M24" s="180"/>
      <c r="N24" s="255"/>
      <c r="O24" s="180">
        <v>9</v>
      </c>
      <c r="P24" s="178" t="s">
        <v>1035</v>
      </c>
      <c r="Q24" s="174">
        <v>9</v>
      </c>
      <c r="R24" s="178" t="s">
        <v>1035</v>
      </c>
      <c r="S24" s="174">
        <v>9</v>
      </c>
      <c r="T24" s="178" t="s">
        <v>1035</v>
      </c>
      <c r="U24" s="174">
        <v>9</v>
      </c>
      <c r="V24" s="178" t="s">
        <v>1035</v>
      </c>
      <c r="W24" s="255">
        <v>30</v>
      </c>
      <c r="X24" s="643" t="e">
        <f>#REF!*G24*M24*W24</f>
        <v>#REF!</v>
      </c>
      <c r="Y24" s="256">
        <f t="shared" si="0"/>
        <v>270</v>
      </c>
      <c r="Z24" s="181">
        <f t="shared" si="1"/>
        <v>270</v>
      </c>
      <c r="AA24" s="181">
        <f t="shared" si="2"/>
        <v>270</v>
      </c>
      <c r="AB24" s="181">
        <f t="shared" si="3"/>
        <v>270</v>
      </c>
      <c r="AC24" s="256" t="e">
        <f>#REF!*H24*M24*W24</f>
        <v>#REF!</v>
      </c>
      <c r="AD24" s="256">
        <f t="shared" si="4"/>
        <v>270</v>
      </c>
      <c r="AE24" s="181">
        <f t="shared" si="5"/>
        <v>270</v>
      </c>
      <c r="AF24" s="181">
        <f t="shared" si="6"/>
        <v>270</v>
      </c>
      <c r="AG24" s="181">
        <f t="shared" si="7"/>
        <v>270</v>
      </c>
      <c r="AH24" s="257" t="e">
        <f t="shared" si="8"/>
        <v>#REF!</v>
      </c>
      <c r="AI24" s="257">
        <f t="shared" si="8"/>
        <v>1</v>
      </c>
      <c r="AJ24" s="257">
        <f t="shared" si="8"/>
        <v>1</v>
      </c>
      <c r="AK24" s="257">
        <f t="shared" si="8"/>
        <v>1</v>
      </c>
      <c r="AL24" s="257">
        <f t="shared" si="8"/>
        <v>1</v>
      </c>
    </row>
    <row r="25" spans="1:38" s="639" customFormat="1" ht="75" customHeight="1">
      <c r="A25" s="174">
        <v>20</v>
      </c>
      <c r="B25" s="644" t="s">
        <v>1632</v>
      </c>
      <c r="C25" s="174">
        <v>3</v>
      </c>
      <c r="D25" s="174">
        <v>3</v>
      </c>
      <c r="E25" s="174">
        <v>3</v>
      </c>
      <c r="F25" s="174">
        <v>3</v>
      </c>
      <c r="G25" s="174">
        <v>8</v>
      </c>
      <c r="H25" s="174">
        <v>8</v>
      </c>
      <c r="I25" s="174">
        <v>8</v>
      </c>
      <c r="J25" s="174">
        <v>8</v>
      </c>
      <c r="K25" s="174">
        <v>8</v>
      </c>
      <c r="L25" s="174">
        <v>8</v>
      </c>
      <c r="M25" s="180"/>
      <c r="N25" s="255"/>
      <c r="O25" s="180">
        <v>9</v>
      </c>
      <c r="P25" s="178" t="s">
        <v>1035</v>
      </c>
      <c r="Q25" s="174">
        <v>9</v>
      </c>
      <c r="R25" s="178" t="s">
        <v>1035</v>
      </c>
      <c r="S25" s="174">
        <v>9</v>
      </c>
      <c r="T25" s="178" t="s">
        <v>1035</v>
      </c>
      <c r="U25" s="174">
        <v>9</v>
      </c>
      <c r="V25" s="178" t="s">
        <v>1035</v>
      </c>
      <c r="W25" s="255">
        <v>30</v>
      </c>
      <c r="X25" s="643"/>
      <c r="Y25" s="256">
        <f t="shared" si="0"/>
        <v>6480</v>
      </c>
      <c r="Z25" s="181">
        <f t="shared" si="1"/>
        <v>6480</v>
      </c>
      <c r="AA25" s="181">
        <f t="shared" si="2"/>
        <v>6480</v>
      </c>
      <c r="AB25" s="181">
        <f t="shared" si="3"/>
        <v>6480</v>
      </c>
      <c r="AC25" s="256" t="e">
        <f>#REF!*H25*M25*W25</f>
        <v>#REF!</v>
      </c>
      <c r="AD25" s="256">
        <f t="shared" si="4"/>
        <v>6480</v>
      </c>
      <c r="AE25" s="181">
        <f t="shared" si="5"/>
        <v>6480</v>
      </c>
      <c r="AF25" s="181">
        <f t="shared" si="6"/>
        <v>6480</v>
      </c>
      <c r="AG25" s="181">
        <f t="shared" si="7"/>
        <v>6480</v>
      </c>
      <c r="AH25" s="257" t="e">
        <f t="shared" si="8"/>
        <v>#REF!</v>
      </c>
      <c r="AI25" s="257">
        <f t="shared" si="8"/>
        <v>1</v>
      </c>
      <c r="AJ25" s="257">
        <f t="shared" si="8"/>
        <v>1</v>
      </c>
      <c r="AK25" s="257">
        <f t="shared" si="8"/>
        <v>1</v>
      </c>
      <c r="AL25" s="257">
        <f t="shared" si="8"/>
        <v>1</v>
      </c>
    </row>
    <row r="26" spans="1:38" s="639" customFormat="1" ht="131.25">
      <c r="A26" s="174">
        <v>21</v>
      </c>
      <c r="B26" s="644" t="s">
        <v>286</v>
      </c>
      <c r="C26" s="174">
        <v>1</v>
      </c>
      <c r="D26" s="174">
        <v>1</v>
      </c>
      <c r="E26" s="174">
        <v>1</v>
      </c>
      <c r="F26" s="174">
        <v>1</v>
      </c>
      <c r="G26" s="174">
        <v>1.5</v>
      </c>
      <c r="H26" s="174">
        <v>1.5</v>
      </c>
      <c r="I26" s="174">
        <v>1.5</v>
      </c>
      <c r="J26" s="174">
        <v>1.5</v>
      </c>
      <c r="K26" s="174">
        <v>1.5</v>
      </c>
      <c r="L26" s="174">
        <v>1.5</v>
      </c>
      <c r="M26" s="180"/>
      <c r="N26" s="255"/>
      <c r="O26" s="180">
        <v>9</v>
      </c>
      <c r="P26" s="178" t="s">
        <v>1035</v>
      </c>
      <c r="Q26" s="174">
        <v>9</v>
      </c>
      <c r="R26" s="178" t="s">
        <v>1035</v>
      </c>
      <c r="S26" s="174">
        <v>9</v>
      </c>
      <c r="T26" s="178" t="s">
        <v>1035</v>
      </c>
      <c r="U26" s="174">
        <v>9</v>
      </c>
      <c r="V26" s="178" t="s">
        <v>1035</v>
      </c>
      <c r="W26" s="255">
        <v>30</v>
      </c>
      <c r="X26" s="643" t="e">
        <f>#REF!*G26*M26*W26</f>
        <v>#REF!</v>
      </c>
      <c r="Y26" s="256">
        <f t="shared" si="0"/>
        <v>405</v>
      </c>
      <c r="Z26" s="181">
        <f t="shared" si="1"/>
        <v>405</v>
      </c>
      <c r="AA26" s="181">
        <f t="shared" si="2"/>
        <v>405</v>
      </c>
      <c r="AB26" s="181">
        <f t="shared" si="3"/>
        <v>405</v>
      </c>
      <c r="AC26" s="256" t="e">
        <f>#REF!*H26*M26*W26</f>
        <v>#REF!</v>
      </c>
      <c r="AD26" s="256">
        <f t="shared" si="4"/>
        <v>405</v>
      </c>
      <c r="AE26" s="181">
        <f t="shared" si="5"/>
        <v>405</v>
      </c>
      <c r="AF26" s="181">
        <f t="shared" si="6"/>
        <v>405</v>
      </c>
      <c r="AG26" s="181">
        <f t="shared" si="7"/>
        <v>405</v>
      </c>
      <c r="AH26" s="257" t="e">
        <f t="shared" si="8"/>
        <v>#REF!</v>
      </c>
      <c r="AI26" s="257">
        <f t="shared" si="8"/>
        <v>1</v>
      </c>
      <c r="AJ26" s="257">
        <f t="shared" si="8"/>
        <v>1</v>
      </c>
      <c r="AK26" s="257">
        <f t="shared" si="8"/>
        <v>1</v>
      </c>
      <c r="AL26" s="257">
        <f t="shared" si="8"/>
        <v>1</v>
      </c>
    </row>
    <row r="27" spans="1:38" s="639" customFormat="1" ht="131.25">
      <c r="A27" s="174">
        <v>22</v>
      </c>
      <c r="B27" s="645" t="s">
        <v>287</v>
      </c>
      <c r="C27" s="182">
        <v>1</v>
      </c>
      <c r="D27" s="182">
        <v>1</v>
      </c>
      <c r="E27" s="182">
        <v>1</v>
      </c>
      <c r="F27" s="182">
        <v>1</v>
      </c>
      <c r="G27" s="182">
        <v>5.5</v>
      </c>
      <c r="H27" s="182">
        <v>5.5</v>
      </c>
      <c r="I27" s="182">
        <v>5.5</v>
      </c>
      <c r="J27" s="182">
        <v>5.5</v>
      </c>
      <c r="K27" s="182">
        <v>5.5</v>
      </c>
      <c r="L27" s="182">
        <v>5.5</v>
      </c>
      <c r="M27" s="183"/>
      <c r="N27" s="258"/>
      <c r="O27" s="183">
        <v>10</v>
      </c>
      <c r="P27" s="178" t="s">
        <v>1041</v>
      </c>
      <c r="Q27" s="182">
        <v>10</v>
      </c>
      <c r="R27" s="178" t="s">
        <v>1035</v>
      </c>
      <c r="S27" s="182">
        <v>10</v>
      </c>
      <c r="T27" s="178" t="s">
        <v>1035</v>
      </c>
      <c r="U27" s="182">
        <v>10</v>
      </c>
      <c r="V27" s="178" t="s">
        <v>1035</v>
      </c>
      <c r="W27" s="258">
        <v>30</v>
      </c>
      <c r="X27" s="643" t="e">
        <f>#REF!*G27*M27*W27</f>
        <v>#REF!</v>
      </c>
      <c r="Y27" s="259">
        <f t="shared" si="0"/>
        <v>1650</v>
      </c>
      <c r="Z27" s="184">
        <f t="shared" si="1"/>
        <v>1650</v>
      </c>
      <c r="AA27" s="184">
        <f t="shared" si="2"/>
        <v>1650</v>
      </c>
      <c r="AB27" s="184">
        <f t="shared" si="3"/>
        <v>1650</v>
      </c>
      <c r="AC27" s="256" t="e">
        <f>#REF!*H27*M27*W27</f>
        <v>#REF!</v>
      </c>
      <c r="AD27" s="259">
        <f t="shared" si="4"/>
        <v>1650</v>
      </c>
      <c r="AE27" s="184">
        <f t="shared" si="5"/>
        <v>1650</v>
      </c>
      <c r="AF27" s="184">
        <f t="shared" si="6"/>
        <v>1650</v>
      </c>
      <c r="AG27" s="184">
        <f t="shared" si="7"/>
        <v>1650</v>
      </c>
      <c r="AH27" s="257" t="e">
        <f t="shared" si="8"/>
        <v>#REF!</v>
      </c>
      <c r="AI27" s="260">
        <f t="shared" si="8"/>
        <v>1</v>
      </c>
      <c r="AJ27" s="260">
        <f t="shared" si="8"/>
        <v>1</v>
      </c>
      <c r="AK27" s="260">
        <f t="shared" si="8"/>
        <v>1</v>
      </c>
      <c r="AL27" s="260">
        <f t="shared" si="8"/>
        <v>1</v>
      </c>
    </row>
    <row r="28" spans="1:38" s="639" customFormat="1" ht="55.9" customHeight="1">
      <c r="A28" s="642" t="s">
        <v>18</v>
      </c>
      <c r="B28" s="775" t="s">
        <v>1042</v>
      </c>
      <c r="C28" s="776"/>
      <c r="D28" s="776"/>
      <c r="E28" s="776"/>
      <c r="F28" s="776"/>
      <c r="G28" s="776"/>
      <c r="H28" s="776"/>
      <c r="I28" s="776"/>
      <c r="J28" s="776"/>
      <c r="K28" s="776"/>
      <c r="L28" s="776"/>
      <c r="M28" s="776"/>
      <c r="N28" s="776"/>
      <c r="O28" s="776"/>
      <c r="P28" s="776"/>
      <c r="Q28" s="776"/>
      <c r="R28" s="776"/>
      <c r="S28" s="776"/>
      <c r="T28" s="776"/>
      <c r="U28" s="776"/>
      <c r="V28" s="776"/>
      <c r="W28" s="776"/>
      <c r="X28" s="776"/>
      <c r="Y28" s="776"/>
      <c r="Z28" s="776"/>
      <c r="AA28" s="776"/>
      <c r="AB28" s="776"/>
      <c r="AC28" s="776"/>
      <c r="AD28" s="776"/>
      <c r="AE28" s="776"/>
      <c r="AF28" s="776"/>
      <c r="AG28" s="776"/>
      <c r="AH28" s="776"/>
      <c r="AI28" s="776"/>
      <c r="AJ28" s="776"/>
      <c r="AK28" s="776"/>
      <c r="AL28" s="777"/>
    </row>
    <row r="29" spans="1:38" s="639" customFormat="1" ht="55.9" customHeight="1">
      <c r="A29" s="177">
        <v>1</v>
      </c>
      <c r="B29" s="646" t="s">
        <v>1043</v>
      </c>
      <c r="C29" s="176">
        <v>1</v>
      </c>
      <c r="D29" s="176">
        <v>1</v>
      </c>
      <c r="E29" s="176">
        <v>1</v>
      </c>
      <c r="F29" s="176">
        <v>1</v>
      </c>
      <c r="G29" s="176">
        <v>2.2000000000000002</v>
      </c>
      <c r="H29" s="176">
        <v>2.2000000000000002</v>
      </c>
      <c r="I29" s="176">
        <v>2.2000000000000002</v>
      </c>
      <c r="J29" s="176">
        <v>2.2000000000000002</v>
      </c>
      <c r="K29" s="176">
        <v>2.2000000000000002</v>
      </c>
      <c r="L29" s="176">
        <v>2.2000000000000002</v>
      </c>
      <c r="M29" s="177"/>
      <c r="N29" s="176"/>
      <c r="O29" s="177">
        <v>9</v>
      </c>
      <c r="P29" s="185" t="s">
        <v>1044</v>
      </c>
      <c r="Q29" s="176">
        <v>9</v>
      </c>
      <c r="R29" s="185" t="s">
        <v>1044</v>
      </c>
      <c r="S29" s="176">
        <v>9</v>
      </c>
      <c r="T29" s="185" t="s">
        <v>1044</v>
      </c>
      <c r="U29" s="176">
        <v>9</v>
      </c>
      <c r="V29" s="185" t="s">
        <v>1044</v>
      </c>
      <c r="W29" s="185">
        <v>30</v>
      </c>
      <c r="X29" s="647"/>
      <c r="Y29" s="261">
        <f t="shared" ref="Y29:Y34" si="9">C29*G29*O29*W29</f>
        <v>594</v>
      </c>
      <c r="Z29" s="186">
        <f t="shared" ref="Z29:Z34" si="10">D29*G29*Q29*W29</f>
        <v>594</v>
      </c>
      <c r="AA29" s="186">
        <f t="shared" ref="AA29:AA34" si="11">E29*G29*S29*W29</f>
        <v>594</v>
      </c>
      <c r="AB29" s="179">
        <f t="shared" ref="AB29:AB34" si="12">F29*G29*U29*W29</f>
        <v>594</v>
      </c>
      <c r="AC29" s="253"/>
      <c r="AD29" s="253">
        <f t="shared" ref="AD29:AD34" si="13">C29*I29*O29*W29</f>
        <v>594</v>
      </c>
      <c r="AE29" s="179">
        <f t="shared" ref="AE29:AE34" si="14">D29*J29*Q29*W29</f>
        <v>594</v>
      </c>
      <c r="AF29" s="179">
        <f t="shared" ref="AF29:AF34" si="15">E29*L29*S29*W29</f>
        <v>594</v>
      </c>
      <c r="AG29" s="179">
        <f t="shared" ref="AG29:AG34" si="16">F29*L29*U29*W29</f>
        <v>594</v>
      </c>
      <c r="AH29" s="254"/>
      <c r="AI29" s="254">
        <f t="shared" ref="AI29:AL34" si="17">AD29/Y29</f>
        <v>1</v>
      </c>
      <c r="AJ29" s="254">
        <f t="shared" si="17"/>
        <v>1</v>
      </c>
      <c r="AK29" s="254">
        <f t="shared" si="17"/>
        <v>1</v>
      </c>
      <c r="AL29" s="254">
        <f t="shared" si="17"/>
        <v>1</v>
      </c>
    </row>
    <row r="30" spans="1:38" s="639" customFormat="1" ht="55.9" customHeight="1">
      <c r="A30" s="180">
        <v>2</v>
      </c>
      <c r="B30" s="648" t="s">
        <v>1045</v>
      </c>
      <c r="C30" s="174">
        <v>1</v>
      </c>
      <c r="D30" s="174">
        <v>1</v>
      </c>
      <c r="E30" s="174">
        <v>1</v>
      </c>
      <c r="F30" s="174">
        <v>1</v>
      </c>
      <c r="G30" s="174">
        <v>3.5</v>
      </c>
      <c r="H30" s="174">
        <v>3.5</v>
      </c>
      <c r="I30" s="174">
        <v>3.5</v>
      </c>
      <c r="J30" s="174">
        <v>3.5</v>
      </c>
      <c r="K30" s="174">
        <v>3.5</v>
      </c>
      <c r="L30" s="174">
        <v>3.5</v>
      </c>
      <c r="M30" s="174">
        <v>3.5</v>
      </c>
      <c r="N30" s="174">
        <v>3.5</v>
      </c>
      <c r="O30" s="177">
        <v>9</v>
      </c>
      <c r="P30" s="185" t="s">
        <v>1044</v>
      </c>
      <c r="Q30" s="176">
        <v>9</v>
      </c>
      <c r="R30" s="185" t="s">
        <v>1044</v>
      </c>
      <c r="S30" s="176">
        <v>9</v>
      </c>
      <c r="T30" s="185" t="s">
        <v>1044</v>
      </c>
      <c r="U30" s="176">
        <v>9</v>
      </c>
      <c r="V30" s="185" t="s">
        <v>1044</v>
      </c>
      <c r="W30" s="258">
        <v>30</v>
      </c>
      <c r="X30" s="643"/>
      <c r="Y30" s="259">
        <f t="shared" si="9"/>
        <v>945</v>
      </c>
      <c r="Z30" s="184">
        <f t="shared" si="10"/>
        <v>945</v>
      </c>
      <c r="AA30" s="184">
        <f t="shared" si="11"/>
        <v>945</v>
      </c>
      <c r="AB30" s="179">
        <f t="shared" si="12"/>
        <v>945</v>
      </c>
      <c r="AC30" s="256"/>
      <c r="AD30" s="253">
        <f t="shared" si="13"/>
        <v>945</v>
      </c>
      <c r="AE30" s="179">
        <f t="shared" si="14"/>
        <v>945</v>
      </c>
      <c r="AF30" s="179">
        <f t="shared" si="15"/>
        <v>945</v>
      </c>
      <c r="AG30" s="179">
        <f t="shared" si="16"/>
        <v>945</v>
      </c>
      <c r="AH30" s="257"/>
      <c r="AI30" s="254">
        <f t="shared" si="17"/>
        <v>1</v>
      </c>
      <c r="AJ30" s="257">
        <f t="shared" si="17"/>
        <v>1</v>
      </c>
      <c r="AK30" s="254">
        <f t="shared" si="17"/>
        <v>1</v>
      </c>
      <c r="AL30" s="254">
        <f t="shared" si="17"/>
        <v>1</v>
      </c>
    </row>
    <row r="31" spans="1:38" s="639" customFormat="1" ht="55.9" customHeight="1">
      <c r="A31" s="177">
        <v>3</v>
      </c>
      <c r="B31" s="648" t="s">
        <v>1046</v>
      </c>
      <c r="C31" s="174">
        <v>1</v>
      </c>
      <c r="D31" s="174">
        <v>1</v>
      </c>
      <c r="E31" s="174">
        <v>1</v>
      </c>
      <c r="F31" s="174">
        <v>1</v>
      </c>
      <c r="G31" s="174">
        <v>5.7</v>
      </c>
      <c r="H31" s="174">
        <v>5.7</v>
      </c>
      <c r="I31" s="174">
        <v>5.7</v>
      </c>
      <c r="J31" s="174">
        <v>5.7</v>
      </c>
      <c r="K31" s="174">
        <v>5.7</v>
      </c>
      <c r="L31" s="174">
        <v>5.7</v>
      </c>
      <c r="M31" s="180"/>
      <c r="N31" s="174"/>
      <c r="O31" s="177">
        <v>9</v>
      </c>
      <c r="P31" s="185" t="s">
        <v>1044</v>
      </c>
      <c r="Q31" s="176">
        <v>9</v>
      </c>
      <c r="R31" s="185" t="s">
        <v>1044</v>
      </c>
      <c r="S31" s="176">
        <v>9</v>
      </c>
      <c r="T31" s="185" t="s">
        <v>1044</v>
      </c>
      <c r="U31" s="176">
        <v>9</v>
      </c>
      <c r="V31" s="185" t="s">
        <v>1044</v>
      </c>
      <c r="W31" s="258">
        <v>30</v>
      </c>
      <c r="X31" s="643"/>
      <c r="Y31" s="259">
        <f t="shared" si="9"/>
        <v>1539.0000000000002</v>
      </c>
      <c r="Z31" s="184">
        <f t="shared" si="10"/>
        <v>1539.0000000000002</v>
      </c>
      <c r="AA31" s="184">
        <f t="shared" si="11"/>
        <v>1539.0000000000002</v>
      </c>
      <c r="AB31" s="179">
        <f t="shared" si="12"/>
        <v>1539.0000000000002</v>
      </c>
      <c r="AC31" s="256"/>
      <c r="AD31" s="253">
        <f t="shared" si="13"/>
        <v>1539.0000000000002</v>
      </c>
      <c r="AE31" s="179">
        <f t="shared" si="14"/>
        <v>1539.0000000000002</v>
      </c>
      <c r="AF31" s="179">
        <f t="shared" si="15"/>
        <v>1539.0000000000002</v>
      </c>
      <c r="AG31" s="179">
        <f t="shared" si="16"/>
        <v>1539.0000000000002</v>
      </c>
      <c r="AH31" s="257"/>
      <c r="AI31" s="254">
        <f t="shared" si="17"/>
        <v>1</v>
      </c>
      <c r="AJ31" s="257">
        <f t="shared" si="17"/>
        <v>1</v>
      </c>
      <c r="AK31" s="254">
        <f t="shared" si="17"/>
        <v>1</v>
      </c>
      <c r="AL31" s="254">
        <f t="shared" si="17"/>
        <v>1</v>
      </c>
    </row>
    <row r="32" spans="1:38" s="639" customFormat="1" ht="55.9" customHeight="1">
      <c r="A32" s="180">
        <v>4</v>
      </c>
      <c r="B32" s="648" t="s">
        <v>1047</v>
      </c>
      <c r="C32" s="174">
        <v>1</v>
      </c>
      <c r="D32" s="174">
        <v>1</v>
      </c>
      <c r="E32" s="174">
        <v>1</v>
      </c>
      <c r="F32" s="174">
        <v>1</v>
      </c>
      <c r="G32" s="174">
        <v>1.8</v>
      </c>
      <c r="H32" s="174">
        <v>1.8</v>
      </c>
      <c r="I32" s="174">
        <v>1.8</v>
      </c>
      <c r="J32" s="174">
        <v>1.8</v>
      </c>
      <c r="K32" s="174">
        <v>1.8</v>
      </c>
      <c r="L32" s="174">
        <v>1.8</v>
      </c>
      <c r="M32" s="180"/>
      <c r="N32" s="174"/>
      <c r="O32" s="177">
        <v>9</v>
      </c>
      <c r="P32" s="185" t="s">
        <v>1044</v>
      </c>
      <c r="Q32" s="176">
        <v>9</v>
      </c>
      <c r="R32" s="185" t="s">
        <v>1044</v>
      </c>
      <c r="S32" s="176">
        <v>9</v>
      </c>
      <c r="T32" s="185" t="s">
        <v>1044</v>
      </c>
      <c r="U32" s="176">
        <v>9</v>
      </c>
      <c r="V32" s="185" t="s">
        <v>1044</v>
      </c>
      <c r="W32" s="258">
        <v>30</v>
      </c>
      <c r="X32" s="643"/>
      <c r="Y32" s="259">
        <f t="shared" si="9"/>
        <v>486</v>
      </c>
      <c r="Z32" s="184">
        <f t="shared" si="10"/>
        <v>486</v>
      </c>
      <c r="AA32" s="184">
        <f t="shared" si="11"/>
        <v>486</v>
      </c>
      <c r="AB32" s="179">
        <f t="shared" si="12"/>
        <v>486</v>
      </c>
      <c r="AC32" s="256"/>
      <c r="AD32" s="253">
        <f t="shared" si="13"/>
        <v>486</v>
      </c>
      <c r="AE32" s="179">
        <f t="shared" si="14"/>
        <v>486</v>
      </c>
      <c r="AF32" s="179">
        <f t="shared" si="15"/>
        <v>486</v>
      </c>
      <c r="AG32" s="179">
        <f t="shared" si="16"/>
        <v>486</v>
      </c>
      <c r="AH32" s="257"/>
      <c r="AI32" s="254">
        <f t="shared" si="17"/>
        <v>1</v>
      </c>
      <c r="AJ32" s="257">
        <f t="shared" si="17"/>
        <v>1</v>
      </c>
      <c r="AK32" s="254">
        <f t="shared" si="17"/>
        <v>1</v>
      </c>
      <c r="AL32" s="254">
        <f t="shared" si="17"/>
        <v>1</v>
      </c>
    </row>
    <row r="33" spans="1:38" s="639" customFormat="1" ht="55.9" customHeight="1">
      <c r="A33" s="177">
        <v>5</v>
      </c>
      <c r="B33" s="648" t="s">
        <v>1048</v>
      </c>
      <c r="C33" s="174">
        <v>1</v>
      </c>
      <c r="D33" s="174">
        <v>1</v>
      </c>
      <c r="E33" s="174">
        <v>1</v>
      </c>
      <c r="F33" s="174">
        <v>1</v>
      </c>
      <c r="G33" s="174">
        <v>0.93</v>
      </c>
      <c r="H33" s="174">
        <v>0.93</v>
      </c>
      <c r="I33" s="174">
        <v>0.93</v>
      </c>
      <c r="J33" s="174">
        <v>0.93</v>
      </c>
      <c r="K33" s="174">
        <v>0.93</v>
      </c>
      <c r="L33" s="174">
        <v>0.93</v>
      </c>
      <c r="M33" s="180"/>
      <c r="N33" s="174"/>
      <c r="O33" s="177">
        <v>9</v>
      </c>
      <c r="P33" s="185" t="s">
        <v>1044</v>
      </c>
      <c r="Q33" s="176">
        <v>9</v>
      </c>
      <c r="R33" s="185" t="s">
        <v>1044</v>
      </c>
      <c r="S33" s="176">
        <v>9</v>
      </c>
      <c r="T33" s="185" t="s">
        <v>1044</v>
      </c>
      <c r="U33" s="176">
        <v>9</v>
      </c>
      <c r="V33" s="185" t="s">
        <v>1044</v>
      </c>
      <c r="W33" s="258">
        <v>30</v>
      </c>
      <c r="X33" s="643"/>
      <c r="Y33" s="259">
        <f t="shared" si="9"/>
        <v>251.10000000000002</v>
      </c>
      <c r="Z33" s="184">
        <f t="shared" si="10"/>
        <v>251.10000000000002</v>
      </c>
      <c r="AA33" s="184">
        <f t="shared" si="11"/>
        <v>251.10000000000002</v>
      </c>
      <c r="AB33" s="179">
        <f t="shared" si="12"/>
        <v>251.10000000000002</v>
      </c>
      <c r="AC33" s="256"/>
      <c r="AD33" s="253">
        <f t="shared" si="13"/>
        <v>251.10000000000002</v>
      </c>
      <c r="AE33" s="179">
        <f t="shared" si="14"/>
        <v>251.10000000000002</v>
      </c>
      <c r="AF33" s="179">
        <f t="shared" si="15"/>
        <v>251.10000000000002</v>
      </c>
      <c r="AG33" s="179">
        <f t="shared" si="16"/>
        <v>251.10000000000002</v>
      </c>
      <c r="AH33" s="257"/>
      <c r="AI33" s="254">
        <f t="shared" si="17"/>
        <v>1</v>
      </c>
      <c r="AJ33" s="257">
        <f t="shared" si="17"/>
        <v>1</v>
      </c>
      <c r="AK33" s="254">
        <f t="shared" si="17"/>
        <v>1</v>
      </c>
      <c r="AL33" s="254">
        <f t="shared" si="17"/>
        <v>1</v>
      </c>
    </row>
    <row r="34" spans="1:38" s="639" customFormat="1" ht="55.9" customHeight="1">
      <c r="A34" s="180">
        <v>6</v>
      </c>
      <c r="B34" s="648" t="s">
        <v>1049</v>
      </c>
      <c r="C34" s="174">
        <v>1</v>
      </c>
      <c r="D34" s="174">
        <v>1</v>
      </c>
      <c r="E34" s="174">
        <v>1</v>
      </c>
      <c r="F34" s="174">
        <v>1</v>
      </c>
      <c r="G34" s="174">
        <v>0.97</v>
      </c>
      <c r="H34" s="174">
        <v>0.97</v>
      </c>
      <c r="I34" s="174">
        <v>0.97</v>
      </c>
      <c r="J34" s="174">
        <v>0.97</v>
      </c>
      <c r="K34" s="174">
        <v>0.97</v>
      </c>
      <c r="L34" s="174">
        <v>0.97</v>
      </c>
      <c r="M34" s="180"/>
      <c r="N34" s="174"/>
      <c r="O34" s="177">
        <v>9</v>
      </c>
      <c r="P34" s="185" t="s">
        <v>1044</v>
      </c>
      <c r="Q34" s="176">
        <v>9</v>
      </c>
      <c r="R34" s="185" t="s">
        <v>1044</v>
      </c>
      <c r="S34" s="176">
        <v>9</v>
      </c>
      <c r="T34" s="185" t="s">
        <v>1044</v>
      </c>
      <c r="U34" s="176">
        <v>9</v>
      </c>
      <c r="V34" s="185" t="s">
        <v>1044</v>
      </c>
      <c r="W34" s="258">
        <v>30</v>
      </c>
      <c r="X34" s="643"/>
      <c r="Y34" s="259">
        <f t="shared" si="9"/>
        <v>261.90000000000003</v>
      </c>
      <c r="Z34" s="184">
        <f t="shared" si="10"/>
        <v>261.90000000000003</v>
      </c>
      <c r="AA34" s="184">
        <f t="shared" si="11"/>
        <v>261.90000000000003</v>
      </c>
      <c r="AB34" s="179">
        <f t="shared" si="12"/>
        <v>261.90000000000003</v>
      </c>
      <c r="AC34" s="256"/>
      <c r="AD34" s="253">
        <f t="shared" si="13"/>
        <v>261.90000000000003</v>
      </c>
      <c r="AE34" s="179">
        <f t="shared" si="14"/>
        <v>261.90000000000003</v>
      </c>
      <c r="AF34" s="179">
        <f t="shared" si="15"/>
        <v>261.90000000000003</v>
      </c>
      <c r="AG34" s="179">
        <f t="shared" si="16"/>
        <v>261.90000000000003</v>
      </c>
      <c r="AH34" s="257"/>
      <c r="AI34" s="254">
        <f t="shared" si="17"/>
        <v>1</v>
      </c>
      <c r="AJ34" s="257">
        <f t="shared" si="17"/>
        <v>1</v>
      </c>
      <c r="AK34" s="254">
        <f t="shared" si="17"/>
        <v>1</v>
      </c>
      <c r="AL34" s="254">
        <f t="shared" si="17"/>
        <v>1</v>
      </c>
    </row>
    <row r="35" spans="1:38" s="639" customFormat="1" ht="55.9" customHeight="1">
      <c r="A35" s="642" t="s">
        <v>24</v>
      </c>
      <c r="B35" s="775" t="s">
        <v>1050</v>
      </c>
      <c r="C35" s="776"/>
      <c r="D35" s="776"/>
      <c r="E35" s="776"/>
      <c r="F35" s="776"/>
      <c r="G35" s="776"/>
      <c r="H35" s="776"/>
      <c r="I35" s="776"/>
      <c r="J35" s="776"/>
      <c r="K35" s="776"/>
      <c r="L35" s="776"/>
      <c r="M35" s="776"/>
      <c r="N35" s="776"/>
      <c r="O35" s="776"/>
      <c r="P35" s="776"/>
      <c r="Q35" s="776"/>
      <c r="R35" s="776"/>
      <c r="S35" s="776"/>
      <c r="T35" s="776"/>
      <c r="U35" s="776"/>
      <c r="V35" s="776"/>
      <c r="W35" s="776"/>
      <c r="X35" s="776"/>
      <c r="Y35" s="776"/>
      <c r="Z35" s="776"/>
      <c r="AA35" s="776"/>
      <c r="AB35" s="776"/>
      <c r="AC35" s="776"/>
      <c r="AD35" s="776"/>
      <c r="AE35" s="776"/>
      <c r="AF35" s="776"/>
      <c r="AG35" s="776"/>
      <c r="AH35" s="776"/>
      <c r="AI35" s="776"/>
      <c r="AJ35" s="776"/>
      <c r="AK35" s="776"/>
      <c r="AL35" s="777"/>
    </row>
    <row r="36" spans="1:38" s="652" customFormat="1" ht="55.9" customHeight="1">
      <c r="A36" s="187">
        <v>1</v>
      </c>
      <c r="B36" s="649" t="s">
        <v>1051</v>
      </c>
      <c r="C36" s="188">
        <v>1</v>
      </c>
      <c r="D36" s="188">
        <v>1</v>
      </c>
      <c r="E36" s="188">
        <v>1</v>
      </c>
      <c r="F36" s="188">
        <v>1</v>
      </c>
      <c r="G36" s="188">
        <v>1.1000000000000001</v>
      </c>
      <c r="H36" s="188">
        <v>1.1000000000000001</v>
      </c>
      <c r="I36" s="188">
        <v>1.1000000000000001</v>
      </c>
      <c r="J36" s="188">
        <v>1.1000000000000001</v>
      </c>
      <c r="K36" s="188">
        <v>1.1000000000000001</v>
      </c>
      <c r="L36" s="188">
        <v>1.1000000000000001</v>
      </c>
      <c r="M36" s="187"/>
      <c r="N36" s="188"/>
      <c r="O36" s="189">
        <v>13</v>
      </c>
      <c r="P36" s="178" t="s">
        <v>1052</v>
      </c>
      <c r="Q36" s="190">
        <v>13</v>
      </c>
      <c r="R36" s="178" t="s">
        <v>1052</v>
      </c>
      <c r="S36" s="190">
        <v>13</v>
      </c>
      <c r="T36" s="178" t="s">
        <v>1052</v>
      </c>
      <c r="U36" s="190">
        <v>13</v>
      </c>
      <c r="V36" s="178" t="s">
        <v>1052</v>
      </c>
      <c r="W36" s="262">
        <v>30</v>
      </c>
      <c r="X36" s="650"/>
      <c r="Y36" s="263">
        <f>C36*G36*O36*W36</f>
        <v>429</v>
      </c>
      <c r="Z36" s="191">
        <f>D36*G36*Q36*W36</f>
        <v>429</v>
      </c>
      <c r="AA36" s="191">
        <f>E36*G36*S36*W36</f>
        <v>429</v>
      </c>
      <c r="AB36" s="192">
        <f>F36*G36*U36*W36</f>
        <v>429</v>
      </c>
      <c r="AC36" s="651"/>
      <c r="AD36" s="264">
        <f>C36*I36*O36*W36</f>
        <v>429</v>
      </c>
      <c r="AE36" s="192">
        <f>D36*J36*Q36*W36</f>
        <v>429</v>
      </c>
      <c r="AF36" s="192">
        <f>E36*L36*S36*W36</f>
        <v>429</v>
      </c>
      <c r="AG36" s="192">
        <f>F36*L36*U36*W36</f>
        <v>429</v>
      </c>
      <c r="AH36" s="266"/>
      <c r="AI36" s="265">
        <f t="shared" ref="AI36:AL38" si="18">AD36/Y36</f>
        <v>1</v>
      </c>
      <c r="AJ36" s="266">
        <f t="shared" si="18"/>
        <v>1</v>
      </c>
      <c r="AK36" s="265">
        <f t="shared" si="18"/>
        <v>1</v>
      </c>
      <c r="AL36" s="265">
        <f t="shared" si="18"/>
        <v>1</v>
      </c>
    </row>
    <row r="37" spans="1:38" s="652" customFormat="1" ht="55.9" customHeight="1">
      <c r="A37" s="187">
        <v>2</v>
      </c>
      <c r="B37" s="649" t="s">
        <v>1053</v>
      </c>
      <c r="C37" s="188">
        <v>1</v>
      </c>
      <c r="D37" s="188">
        <v>1</v>
      </c>
      <c r="E37" s="188">
        <v>1</v>
      </c>
      <c r="F37" s="188">
        <v>1</v>
      </c>
      <c r="G37" s="188">
        <v>2.8</v>
      </c>
      <c r="H37" s="188">
        <v>2.8</v>
      </c>
      <c r="I37" s="188">
        <v>2.8</v>
      </c>
      <c r="J37" s="188">
        <v>2.8</v>
      </c>
      <c r="K37" s="188">
        <v>2.8</v>
      </c>
      <c r="L37" s="188">
        <v>2.8</v>
      </c>
      <c r="M37" s="187"/>
      <c r="N37" s="188"/>
      <c r="O37" s="189">
        <v>13</v>
      </c>
      <c r="P37" s="178" t="s">
        <v>1052</v>
      </c>
      <c r="Q37" s="190">
        <v>13</v>
      </c>
      <c r="R37" s="178" t="s">
        <v>1052</v>
      </c>
      <c r="S37" s="190">
        <v>13</v>
      </c>
      <c r="T37" s="178" t="s">
        <v>1052</v>
      </c>
      <c r="U37" s="190">
        <v>13</v>
      </c>
      <c r="V37" s="178" t="s">
        <v>1052</v>
      </c>
      <c r="W37" s="262">
        <v>30</v>
      </c>
      <c r="X37" s="650"/>
      <c r="Y37" s="263">
        <f>C37*G37*O37*W37</f>
        <v>1092</v>
      </c>
      <c r="Z37" s="191">
        <f>D37*G37*Q37*W37</f>
        <v>1092</v>
      </c>
      <c r="AA37" s="191">
        <f>E37*G37*S37*W37</f>
        <v>1092</v>
      </c>
      <c r="AB37" s="192">
        <f>F37*G37*U37*W37</f>
        <v>1092</v>
      </c>
      <c r="AC37" s="651"/>
      <c r="AD37" s="264">
        <f>C37*I37*O37*W37</f>
        <v>1092</v>
      </c>
      <c r="AE37" s="192">
        <f>D37*J37*Q37*W37</f>
        <v>1092</v>
      </c>
      <c r="AF37" s="192">
        <f>E37*L37*S37*W37</f>
        <v>1092</v>
      </c>
      <c r="AG37" s="192">
        <f>F37*L37*U37*W37</f>
        <v>1092</v>
      </c>
      <c r="AH37" s="266"/>
      <c r="AI37" s="265">
        <f t="shared" si="18"/>
        <v>1</v>
      </c>
      <c r="AJ37" s="266">
        <f t="shared" si="18"/>
        <v>1</v>
      </c>
      <c r="AK37" s="265">
        <f t="shared" si="18"/>
        <v>1</v>
      </c>
      <c r="AL37" s="265">
        <f t="shared" si="18"/>
        <v>1</v>
      </c>
    </row>
    <row r="38" spans="1:38" s="652" customFormat="1" ht="55.9" customHeight="1">
      <c r="A38" s="187">
        <v>3</v>
      </c>
      <c r="B38" s="649" t="s">
        <v>1054</v>
      </c>
      <c r="C38" s="188">
        <v>1</v>
      </c>
      <c r="D38" s="188">
        <v>1</v>
      </c>
      <c r="E38" s="188">
        <v>1</v>
      </c>
      <c r="F38" s="188">
        <v>1</v>
      </c>
      <c r="G38" s="188">
        <v>3.8</v>
      </c>
      <c r="H38" s="188">
        <v>3.8</v>
      </c>
      <c r="I38" s="188">
        <v>3.8</v>
      </c>
      <c r="J38" s="188">
        <v>3.8</v>
      </c>
      <c r="K38" s="188">
        <v>3.8</v>
      </c>
      <c r="L38" s="188">
        <v>3.8</v>
      </c>
      <c r="M38" s="187"/>
      <c r="N38" s="188"/>
      <c r="O38" s="189">
        <v>13</v>
      </c>
      <c r="P38" s="178" t="s">
        <v>1052</v>
      </c>
      <c r="Q38" s="190">
        <v>13</v>
      </c>
      <c r="R38" s="178" t="s">
        <v>1052</v>
      </c>
      <c r="S38" s="190">
        <v>13</v>
      </c>
      <c r="T38" s="178" t="s">
        <v>1052</v>
      </c>
      <c r="U38" s="190">
        <v>13</v>
      </c>
      <c r="V38" s="178" t="s">
        <v>1052</v>
      </c>
      <c r="W38" s="262">
        <v>30</v>
      </c>
      <c r="X38" s="650"/>
      <c r="Y38" s="263">
        <f>C38*G38*O38*W38</f>
        <v>1482</v>
      </c>
      <c r="Z38" s="191">
        <f>D38*G38*Q38*W38</f>
        <v>1482</v>
      </c>
      <c r="AA38" s="191">
        <f>E38*G38*S38*W38</f>
        <v>1482</v>
      </c>
      <c r="AB38" s="192">
        <f>F38*G38*U38*W38</f>
        <v>1482</v>
      </c>
      <c r="AC38" s="651"/>
      <c r="AD38" s="264">
        <f>C38*I38*O38*W38</f>
        <v>1482</v>
      </c>
      <c r="AE38" s="192">
        <f>D38*J38*Q38*W38</f>
        <v>1482</v>
      </c>
      <c r="AF38" s="192">
        <f>E38*L38*S38*W38</f>
        <v>1482</v>
      </c>
      <c r="AG38" s="192">
        <f>F38*L38*U38*W38</f>
        <v>1482</v>
      </c>
      <c r="AH38" s="266"/>
      <c r="AI38" s="265">
        <f t="shared" si="18"/>
        <v>1</v>
      </c>
      <c r="AJ38" s="266">
        <f t="shared" si="18"/>
        <v>1</v>
      </c>
      <c r="AK38" s="265">
        <f t="shared" si="18"/>
        <v>1</v>
      </c>
      <c r="AL38" s="265">
        <f t="shared" si="18"/>
        <v>1</v>
      </c>
    </row>
    <row r="39" spans="1:38" s="639" customFormat="1" ht="55.9" customHeight="1">
      <c r="A39" s="642" t="s">
        <v>30</v>
      </c>
      <c r="B39" s="775" t="s">
        <v>1055</v>
      </c>
      <c r="C39" s="776"/>
      <c r="D39" s="776"/>
      <c r="E39" s="776"/>
      <c r="F39" s="776"/>
      <c r="G39" s="776"/>
      <c r="H39" s="776"/>
      <c r="I39" s="776"/>
      <c r="J39" s="776"/>
      <c r="K39" s="776"/>
      <c r="L39" s="776"/>
      <c r="M39" s="776"/>
      <c r="N39" s="776"/>
      <c r="O39" s="776"/>
      <c r="P39" s="776"/>
      <c r="Q39" s="776"/>
      <c r="R39" s="776"/>
      <c r="S39" s="776"/>
      <c r="T39" s="776"/>
      <c r="U39" s="776"/>
      <c r="V39" s="776"/>
      <c r="W39" s="776"/>
      <c r="X39" s="776"/>
      <c r="Y39" s="776"/>
      <c r="Z39" s="776"/>
      <c r="AA39" s="776"/>
      <c r="AB39" s="776"/>
      <c r="AC39" s="776"/>
      <c r="AD39" s="776"/>
      <c r="AE39" s="776"/>
      <c r="AF39" s="776"/>
      <c r="AG39" s="776"/>
      <c r="AH39" s="776"/>
      <c r="AI39" s="776"/>
      <c r="AJ39" s="776"/>
      <c r="AK39" s="776"/>
      <c r="AL39" s="777"/>
    </row>
    <row r="40" spans="1:38" s="652" customFormat="1" ht="55.9" customHeight="1">
      <c r="A40" s="187">
        <v>1</v>
      </c>
      <c r="B40" s="649" t="s">
        <v>1056</v>
      </c>
      <c r="C40" s="188">
        <v>30</v>
      </c>
      <c r="D40" s="188">
        <v>30</v>
      </c>
      <c r="E40" s="188">
        <v>30</v>
      </c>
      <c r="F40" s="188">
        <v>30</v>
      </c>
      <c r="G40" s="188">
        <v>0.01</v>
      </c>
      <c r="H40" s="188">
        <v>0.01</v>
      </c>
      <c r="I40" s="188">
        <v>0.01</v>
      </c>
      <c r="J40" s="188">
        <v>0.01</v>
      </c>
      <c r="K40" s="188">
        <v>0.01</v>
      </c>
      <c r="L40" s="188">
        <v>0.01</v>
      </c>
      <c r="M40" s="187"/>
      <c r="N40" s="188"/>
      <c r="O40" s="189">
        <v>2</v>
      </c>
      <c r="P40" s="178" t="s">
        <v>1057</v>
      </c>
      <c r="Q40" s="189">
        <v>2</v>
      </c>
      <c r="R40" s="178" t="s">
        <v>1057</v>
      </c>
      <c r="S40" s="189">
        <v>2</v>
      </c>
      <c r="T40" s="178" t="s">
        <v>1057</v>
      </c>
      <c r="U40" s="189">
        <v>2</v>
      </c>
      <c r="V40" s="178" t="s">
        <v>1057</v>
      </c>
      <c r="W40" s="262">
        <v>30</v>
      </c>
      <c r="X40" s="650"/>
      <c r="Y40" s="263">
        <f>C40*G40*O40*W40</f>
        <v>18</v>
      </c>
      <c r="Z40" s="191">
        <f>D40*G40*Q40*W40</f>
        <v>18</v>
      </c>
      <c r="AA40" s="191">
        <f>E40*G40*S40*W40</f>
        <v>18</v>
      </c>
      <c r="AB40" s="192">
        <f>F40*G40*U40*W40</f>
        <v>18</v>
      </c>
      <c r="AC40" s="651"/>
      <c r="AD40" s="264">
        <f>C40*I40*O40*W40</f>
        <v>18</v>
      </c>
      <c r="AE40" s="192">
        <f>D40*J40*Q40*W40</f>
        <v>18</v>
      </c>
      <c r="AF40" s="192">
        <f>E40*L40*S40*W40</f>
        <v>18</v>
      </c>
      <c r="AG40" s="192">
        <f>F40*L40*U40*W40</f>
        <v>18</v>
      </c>
      <c r="AH40" s="266"/>
      <c r="AI40" s="265">
        <f t="shared" ref="AI40:AL42" si="19">AD40/Y40</f>
        <v>1</v>
      </c>
      <c r="AJ40" s="266">
        <f t="shared" si="19"/>
        <v>1</v>
      </c>
      <c r="AK40" s="265">
        <f t="shared" si="19"/>
        <v>1</v>
      </c>
      <c r="AL40" s="265">
        <f t="shared" si="19"/>
        <v>1</v>
      </c>
    </row>
    <row r="41" spans="1:38" s="652" customFormat="1" ht="55.9" customHeight="1">
      <c r="A41" s="187">
        <v>2</v>
      </c>
      <c r="B41" s="649" t="s">
        <v>1058</v>
      </c>
      <c r="C41" s="188">
        <v>28</v>
      </c>
      <c r="D41" s="188">
        <v>28</v>
      </c>
      <c r="E41" s="188">
        <v>28</v>
      </c>
      <c r="F41" s="188">
        <v>28</v>
      </c>
      <c r="G41" s="188">
        <v>3.0000000000000001E-3</v>
      </c>
      <c r="H41" s="188">
        <v>3.0000000000000001E-3</v>
      </c>
      <c r="I41" s="188">
        <v>3.0000000000000001E-3</v>
      </c>
      <c r="J41" s="188">
        <v>3.0000000000000001E-3</v>
      </c>
      <c r="K41" s="188">
        <v>3.0000000000000001E-3</v>
      </c>
      <c r="L41" s="188">
        <v>3.0000000000000001E-3</v>
      </c>
      <c r="M41" s="187"/>
      <c r="N41" s="188"/>
      <c r="O41" s="189">
        <v>2</v>
      </c>
      <c r="P41" s="178" t="s">
        <v>1057</v>
      </c>
      <c r="Q41" s="189">
        <v>2</v>
      </c>
      <c r="R41" s="178" t="s">
        <v>1057</v>
      </c>
      <c r="S41" s="189">
        <v>2</v>
      </c>
      <c r="T41" s="178" t="s">
        <v>1057</v>
      </c>
      <c r="U41" s="189">
        <v>2</v>
      </c>
      <c r="V41" s="178" t="s">
        <v>1057</v>
      </c>
      <c r="W41" s="262">
        <v>30</v>
      </c>
      <c r="X41" s="650"/>
      <c r="Y41" s="263">
        <f t="shared" ref="Y41:Y42" si="20">C41*G41*O41*W41</f>
        <v>5.04</v>
      </c>
      <c r="Z41" s="191">
        <f t="shared" ref="Z41:Z42" si="21">D41*G41*Q41*W41</f>
        <v>5.04</v>
      </c>
      <c r="AA41" s="191">
        <f t="shared" ref="AA41:AA42" si="22">E41*G41*S41*W41</f>
        <v>5.04</v>
      </c>
      <c r="AB41" s="192">
        <f t="shared" ref="AB41:AB42" si="23">F41*G41*U41*W41</f>
        <v>5.04</v>
      </c>
      <c r="AC41" s="651"/>
      <c r="AD41" s="264">
        <f t="shared" ref="AD41:AD42" si="24">C41*I41*O41*W41</f>
        <v>5.04</v>
      </c>
      <c r="AE41" s="192">
        <f t="shared" ref="AE41:AE42" si="25">D41*J41*Q41*W41</f>
        <v>5.04</v>
      </c>
      <c r="AF41" s="192">
        <f t="shared" ref="AF41:AF42" si="26">E41*L41*S41*W41</f>
        <v>5.04</v>
      </c>
      <c r="AG41" s="192">
        <f t="shared" ref="AG41:AG42" si="27">F41*L41*U41*W41</f>
        <v>5.04</v>
      </c>
      <c r="AH41" s="266"/>
      <c r="AI41" s="265">
        <f t="shared" si="19"/>
        <v>1</v>
      </c>
      <c r="AJ41" s="266">
        <f t="shared" si="19"/>
        <v>1</v>
      </c>
      <c r="AK41" s="265">
        <f t="shared" si="19"/>
        <v>1</v>
      </c>
      <c r="AL41" s="265">
        <f t="shared" si="19"/>
        <v>1</v>
      </c>
    </row>
    <row r="42" spans="1:38" s="652" customFormat="1" ht="55.9" customHeight="1">
      <c r="A42" s="187">
        <v>3</v>
      </c>
      <c r="B42" s="649" t="s">
        <v>1059</v>
      </c>
      <c r="C42" s="188">
        <v>54</v>
      </c>
      <c r="D42" s="188">
        <v>54</v>
      </c>
      <c r="E42" s="188">
        <v>54</v>
      </c>
      <c r="F42" s="188">
        <v>54</v>
      </c>
      <c r="G42" s="188">
        <v>6.0000000000000001E-3</v>
      </c>
      <c r="H42" s="188">
        <v>6.0000000000000001E-3</v>
      </c>
      <c r="I42" s="188">
        <v>6.0000000000000001E-3</v>
      </c>
      <c r="J42" s="188">
        <v>6.0000000000000001E-3</v>
      </c>
      <c r="K42" s="188">
        <v>6.0000000000000001E-3</v>
      </c>
      <c r="L42" s="188">
        <v>6.0000000000000001E-3</v>
      </c>
      <c r="M42" s="187"/>
      <c r="N42" s="188"/>
      <c r="O42" s="189">
        <v>2</v>
      </c>
      <c r="P42" s="178" t="s">
        <v>1057</v>
      </c>
      <c r="Q42" s="189">
        <v>2</v>
      </c>
      <c r="R42" s="178" t="s">
        <v>1057</v>
      </c>
      <c r="S42" s="189">
        <v>2</v>
      </c>
      <c r="T42" s="178" t="s">
        <v>1057</v>
      </c>
      <c r="U42" s="189">
        <v>2</v>
      </c>
      <c r="V42" s="178" t="s">
        <v>1057</v>
      </c>
      <c r="W42" s="262">
        <v>30</v>
      </c>
      <c r="X42" s="650"/>
      <c r="Y42" s="263">
        <f t="shared" si="20"/>
        <v>19.440000000000001</v>
      </c>
      <c r="Z42" s="191">
        <f t="shared" si="21"/>
        <v>19.440000000000001</v>
      </c>
      <c r="AA42" s="191">
        <f t="shared" si="22"/>
        <v>19.440000000000001</v>
      </c>
      <c r="AB42" s="192">
        <f t="shared" si="23"/>
        <v>19.440000000000001</v>
      </c>
      <c r="AC42" s="651"/>
      <c r="AD42" s="264">
        <f t="shared" si="24"/>
        <v>19.440000000000001</v>
      </c>
      <c r="AE42" s="192">
        <f t="shared" si="25"/>
        <v>19.440000000000001</v>
      </c>
      <c r="AF42" s="192">
        <f t="shared" si="26"/>
        <v>19.440000000000001</v>
      </c>
      <c r="AG42" s="192">
        <f t="shared" si="27"/>
        <v>19.440000000000001</v>
      </c>
      <c r="AH42" s="266"/>
      <c r="AI42" s="265">
        <f t="shared" si="19"/>
        <v>1</v>
      </c>
      <c r="AJ42" s="266">
        <f t="shared" si="19"/>
        <v>1</v>
      </c>
      <c r="AK42" s="265">
        <f t="shared" si="19"/>
        <v>1</v>
      </c>
      <c r="AL42" s="265">
        <f t="shared" si="19"/>
        <v>1</v>
      </c>
    </row>
    <row r="43" spans="1:38" s="652" customFormat="1" ht="55.9" customHeight="1">
      <c r="A43" s="653" t="s">
        <v>39</v>
      </c>
      <c r="B43" s="769" t="s">
        <v>1060</v>
      </c>
      <c r="C43" s="770"/>
      <c r="D43" s="770"/>
      <c r="E43" s="770"/>
      <c r="F43" s="770"/>
      <c r="G43" s="770"/>
      <c r="H43" s="770"/>
      <c r="I43" s="770"/>
      <c r="J43" s="770"/>
      <c r="K43" s="770"/>
      <c r="L43" s="770"/>
      <c r="M43" s="770"/>
      <c r="N43" s="770"/>
      <c r="O43" s="770"/>
      <c r="P43" s="770"/>
      <c r="Q43" s="770"/>
      <c r="R43" s="770"/>
      <c r="S43" s="770"/>
      <c r="T43" s="770"/>
      <c r="U43" s="770"/>
      <c r="V43" s="770"/>
      <c r="W43" s="770"/>
      <c r="X43" s="770"/>
      <c r="Y43" s="770"/>
      <c r="Z43" s="770"/>
      <c r="AA43" s="770"/>
      <c r="AB43" s="770"/>
      <c r="AC43" s="770"/>
      <c r="AD43" s="770"/>
      <c r="AE43" s="770"/>
      <c r="AF43" s="770"/>
      <c r="AG43" s="770"/>
      <c r="AH43" s="770"/>
      <c r="AI43" s="770"/>
      <c r="AJ43" s="770"/>
      <c r="AK43" s="770"/>
      <c r="AL43" s="771"/>
    </row>
    <row r="44" spans="1:38" s="652" customFormat="1" ht="55.9" customHeight="1">
      <c r="A44" s="187">
        <v>1</v>
      </c>
      <c r="B44" s="649" t="s">
        <v>1061</v>
      </c>
      <c r="C44" s="188">
        <v>118</v>
      </c>
      <c r="D44" s="188">
        <v>118</v>
      </c>
      <c r="E44" s="188">
        <v>118</v>
      </c>
      <c r="F44" s="188">
        <v>118</v>
      </c>
      <c r="G44" s="188">
        <v>3.0000000000000001E-3</v>
      </c>
      <c r="H44" s="188">
        <v>3.0000000000000001E-3</v>
      </c>
      <c r="I44" s="188">
        <v>3.0000000000000001E-3</v>
      </c>
      <c r="J44" s="188">
        <v>3.0000000000000001E-3</v>
      </c>
      <c r="K44" s="188">
        <v>3.0000000000000001E-3</v>
      </c>
      <c r="L44" s="188">
        <v>3.0000000000000001E-3</v>
      </c>
      <c r="M44" s="187"/>
      <c r="N44" s="188"/>
      <c r="O44" s="189">
        <v>5</v>
      </c>
      <c r="P44" s="178" t="s">
        <v>1062</v>
      </c>
      <c r="Q44" s="189">
        <v>5</v>
      </c>
      <c r="R44" s="178" t="s">
        <v>1062</v>
      </c>
      <c r="S44" s="189">
        <v>5</v>
      </c>
      <c r="T44" s="178" t="s">
        <v>1062</v>
      </c>
      <c r="U44" s="189">
        <v>5</v>
      </c>
      <c r="V44" s="178" t="s">
        <v>1062</v>
      </c>
      <c r="W44" s="262">
        <v>30</v>
      </c>
      <c r="X44" s="650"/>
      <c r="Y44" s="263">
        <f>C44*G44*O44*W44</f>
        <v>53.1</v>
      </c>
      <c r="Z44" s="191">
        <f>D44*G44*Q44*W44</f>
        <v>53.1</v>
      </c>
      <c r="AA44" s="191">
        <f>E44*G44*S44*W44</f>
        <v>53.1</v>
      </c>
      <c r="AB44" s="192">
        <f>F44*G44*U44*W44</f>
        <v>53.1</v>
      </c>
      <c r="AC44" s="651"/>
      <c r="AD44" s="264">
        <f>C44*I44*O44*W44</f>
        <v>53.1</v>
      </c>
      <c r="AE44" s="192">
        <f>D44*J44*Q44*W44</f>
        <v>53.1</v>
      </c>
      <c r="AF44" s="192">
        <f>E44*L44*S44*W44</f>
        <v>53.1</v>
      </c>
      <c r="AG44" s="192">
        <f>F44*L44*U44*W44</f>
        <v>53.1</v>
      </c>
      <c r="AH44" s="266"/>
      <c r="AI44" s="265">
        <f t="shared" ref="AI44:AL45" si="28">AD44/Y44</f>
        <v>1</v>
      </c>
      <c r="AJ44" s="266">
        <f t="shared" si="28"/>
        <v>1</v>
      </c>
      <c r="AK44" s="265">
        <f t="shared" si="28"/>
        <v>1</v>
      </c>
      <c r="AL44" s="265">
        <f t="shared" si="28"/>
        <v>1</v>
      </c>
    </row>
    <row r="45" spans="1:38" s="652" customFormat="1" ht="55.9" customHeight="1">
      <c r="A45" s="187">
        <v>2</v>
      </c>
      <c r="B45" s="649" t="s">
        <v>1063</v>
      </c>
      <c r="C45" s="188">
        <v>10</v>
      </c>
      <c r="D45" s="188">
        <v>10</v>
      </c>
      <c r="E45" s="188">
        <v>10</v>
      </c>
      <c r="F45" s="188">
        <v>10</v>
      </c>
      <c r="G45" s="188">
        <v>5.0000000000000001E-3</v>
      </c>
      <c r="H45" s="188">
        <v>5.0000000000000001E-3</v>
      </c>
      <c r="I45" s="188">
        <v>5.0000000000000001E-3</v>
      </c>
      <c r="J45" s="188">
        <v>5.0000000000000001E-3</v>
      </c>
      <c r="K45" s="188">
        <v>5.0000000000000001E-3</v>
      </c>
      <c r="L45" s="188">
        <v>5.0000000000000001E-3</v>
      </c>
      <c r="M45" s="187"/>
      <c r="N45" s="188"/>
      <c r="O45" s="189">
        <v>5</v>
      </c>
      <c r="P45" s="178" t="s">
        <v>1062</v>
      </c>
      <c r="Q45" s="189">
        <v>5</v>
      </c>
      <c r="R45" s="178" t="s">
        <v>1062</v>
      </c>
      <c r="S45" s="189">
        <v>5</v>
      </c>
      <c r="T45" s="178" t="s">
        <v>1062</v>
      </c>
      <c r="U45" s="189">
        <v>5</v>
      </c>
      <c r="V45" s="178" t="s">
        <v>1062</v>
      </c>
      <c r="W45" s="262">
        <v>30</v>
      </c>
      <c r="X45" s="650"/>
      <c r="Y45" s="263">
        <f>C45*G45*O45*W45</f>
        <v>7.5</v>
      </c>
      <c r="Z45" s="191">
        <f>D45*G45*Q45*W45</f>
        <v>7.5</v>
      </c>
      <c r="AA45" s="191">
        <f>E45*G45*S45*W45</f>
        <v>7.5</v>
      </c>
      <c r="AB45" s="192">
        <f>F45*G45*U45*W45</f>
        <v>7.5</v>
      </c>
      <c r="AC45" s="651"/>
      <c r="AD45" s="264">
        <f>C45*I45*O45*W45</f>
        <v>7.5</v>
      </c>
      <c r="AE45" s="192">
        <f>D45*J45*Q45*W45</f>
        <v>7.5</v>
      </c>
      <c r="AF45" s="192">
        <f>E45*L45*S45*W45</f>
        <v>7.5</v>
      </c>
      <c r="AG45" s="192">
        <f>F45*L45*U45*W45</f>
        <v>7.5</v>
      </c>
      <c r="AH45" s="266"/>
      <c r="AI45" s="265">
        <f t="shared" si="28"/>
        <v>1</v>
      </c>
      <c r="AJ45" s="266">
        <f t="shared" si="28"/>
        <v>1</v>
      </c>
      <c r="AK45" s="265">
        <f t="shared" si="28"/>
        <v>1</v>
      </c>
      <c r="AL45" s="265">
        <f t="shared" si="28"/>
        <v>1</v>
      </c>
    </row>
    <row r="46" spans="1:38" s="654" customFormat="1" ht="55.9" customHeight="1">
      <c r="A46" s="653" t="s">
        <v>44</v>
      </c>
      <c r="B46" s="769" t="s">
        <v>1064</v>
      </c>
      <c r="C46" s="770"/>
      <c r="D46" s="770"/>
      <c r="E46" s="770"/>
      <c r="F46" s="770"/>
      <c r="G46" s="770"/>
      <c r="H46" s="770"/>
      <c r="I46" s="770"/>
      <c r="J46" s="770"/>
      <c r="K46" s="770"/>
      <c r="L46" s="770"/>
      <c r="M46" s="770"/>
      <c r="N46" s="770"/>
      <c r="O46" s="770"/>
      <c r="P46" s="770"/>
      <c r="Q46" s="770"/>
      <c r="R46" s="770"/>
      <c r="S46" s="770"/>
      <c r="T46" s="770"/>
      <c r="U46" s="770"/>
      <c r="V46" s="770"/>
      <c r="W46" s="770"/>
      <c r="X46" s="770"/>
      <c r="Y46" s="770"/>
      <c r="Z46" s="770"/>
      <c r="AA46" s="770"/>
      <c r="AB46" s="770"/>
      <c r="AC46" s="770"/>
      <c r="AD46" s="770"/>
      <c r="AE46" s="770"/>
      <c r="AF46" s="770"/>
      <c r="AG46" s="770"/>
      <c r="AH46" s="770"/>
      <c r="AI46" s="770"/>
      <c r="AJ46" s="770"/>
      <c r="AK46" s="770"/>
      <c r="AL46" s="771"/>
    </row>
    <row r="47" spans="1:38" s="652" customFormat="1" ht="55.9" customHeight="1">
      <c r="A47" s="187">
        <v>1</v>
      </c>
      <c r="B47" s="649" t="s">
        <v>1065</v>
      </c>
      <c r="C47" s="188">
        <v>1</v>
      </c>
      <c r="D47" s="188">
        <v>1</v>
      </c>
      <c r="E47" s="188">
        <v>1</v>
      </c>
      <c r="F47" s="188">
        <v>1</v>
      </c>
      <c r="G47" s="188">
        <v>0.56000000000000005</v>
      </c>
      <c r="H47" s="188">
        <v>0.56000000000000005</v>
      </c>
      <c r="I47" s="188">
        <v>0.56000000000000005</v>
      </c>
      <c r="J47" s="188">
        <v>0.56000000000000005</v>
      </c>
      <c r="K47" s="188">
        <v>0.56000000000000005</v>
      </c>
      <c r="L47" s="188">
        <v>0.56000000000000005</v>
      </c>
      <c r="M47" s="187"/>
      <c r="N47" s="188"/>
      <c r="O47" s="189">
        <v>5</v>
      </c>
      <c r="P47" s="178" t="s">
        <v>1062</v>
      </c>
      <c r="Q47" s="189">
        <v>5</v>
      </c>
      <c r="R47" s="178" t="s">
        <v>1062</v>
      </c>
      <c r="S47" s="189">
        <v>5</v>
      </c>
      <c r="T47" s="178" t="s">
        <v>1062</v>
      </c>
      <c r="U47" s="189">
        <v>5</v>
      </c>
      <c r="V47" s="178" t="s">
        <v>1062</v>
      </c>
      <c r="W47" s="262">
        <v>30</v>
      </c>
      <c r="X47" s="650"/>
      <c r="Y47" s="263">
        <f>C47*G47*O47*W47</f>
        <v>84.000000000000014</v>
      </c>
      <c r="Z47" s="191">
        <f>D47*G47*Q47*W47</f>
        <v>84.000000000000014</v>
      </c>
      <c r="AA47" s="191">
        <f>E47*G47*S47*W47</f>
        <v>84.000000000000014</v>
      </c>
      <c r="AB47" s="192">
        <f>F47*G47*U47*W47</f>
        <v>84.000000000000014</v>
      </c>
      <c r="AC47" s="651"/>
      <c r="AD47" s="264">
        <f>C47*I47*O47*W47</f>
        <v>84.000000000000014</v>
      </c>
      <c r="AE47" s="192">
        <f>D47*J47*Q47*W47</f>
        <v>84.000000000000014</v>
      </c>
      <c r="AF47" s="192">
        <f>E47*L47*S47*W47</f>
        <v>84.000000000000014</v>
      </c>
      <c r="AG47" s="192">
        <f>F47*L47*U47*W47</f>
        <v>84.000000000000014</v>
      </c>
      <c r="AH47" s="266"/>
      <c r="AI47" s="265">
        <f t="shared" ref="AI47:AL47" si="29">AD47/Y47</f>
        <v>1</v>
      </c>
      <c r="AJ47" s="266">
        <f t="shared" si="29"/>
        <v>1</v>
      </c>
      <c r="AK47" s="265">
        <f t="shared" si="29"/>
        <v>1</v>
      </c>
      <c r="AL47" s="265">
        <f t="shared" si="29"/>
        <v>1</v>
      </c>
    </row>
    <row r="48" spans="1:38" s="654" customFormat="1" ht="55.9" customHeight="1">
      <c r="A48" s="653" t="s">
        <v>47</v>
      </c>
      <c r="B48" s="769" t="s">
        <v>1066</v>
      </c>
      <c r="C48" s="770"/>
      <c r="D48" s="770"/>
      <c r="E48" s="770"/>
      <c r="F48" s="770"/>
      <c r="G48" s="770"/>
      <c r="H48" s="770"/>
      <c r="I48" s="770"/>
      <c r="J48" s="770"/>
      <c r="K48" s="770"/>
      <c r="L48" s="770"/>
      <c r="M48" s="770"/>
      <c r="N48" s="770"/>
      <c r="O48" s="770"/>
      <c r="P48" s="770"/>
      <c r="Q48" s="770"/>
      <c r="R48" s="770"/>
      <c r="S48" s="770"/>
      <c r="T48" s="770"/>
      <c r="U48" s="770"/>
      <c r="V48" s="770"/>
      <c r="W48" s="770"/>
      <c r="X48" s="770"/>
      <c r="Y48" s="770"/>
      <c r="Z48" s="770"/>
      <c r="AA48" s="770"/>
      <c r="AB48" s="770"/>
      <c r="AC48" s="770"/>
      <c r="AD48" s="770"/>
      <c r="AE48" s="770"/>
      <c r="AF48" s="770"/>
      <c r="AG48" s="770"/>
      <c r="AH48" s="770"/>
      <c r="AI48" s="770"/>
      <c r="AJ48" s="770"/>
      <c r="AK48" s="770"/>
      <c r="AL48" s="771"/>
    </row>
    <row r="49" spans="1:38" s="652" customFormat="1" ht="55.9" customHeight="1">
      <c r="A49" s="187">
        <v>1</v>
      </c>
      <c r="B49" s="649" t="s">
        <v>1066</v>
      </c>
      <c r="C49" s="188">
        <v>1</v>
      </c>
      <c r="D49" s="188">
        <v>1</v>
      </c>
      <c r="E49" s="188">
        <v>1</v>
      </c>
      <c r="F49" s="188">
        <v>1</v>
      </c>
      <c r="G49" s="188">
        <v>3.95</v>
      </c>
      <c r="H49" s="188">
        <v>3.95</v>
      </c>
      <c r="I49" s="188">
        <v>2.5</v>
      </c>
      <c r="J49" s="188">
        <v>2.5</v>
      </c>
      <c r="K49" s="188">
        <v>3.95</v>
      </c>
      <c r="L49" s="188">
        <v>3.95</v>
      </c>
      <c r="M49" s="187"/>
      <c r="N49" s="188"/>
      <c r="O49" s="189">
        <v>5</v>
      </c>
      <c r="P49" s="178" t="s">
        <v>1062</v>
      </c>
      <c r="Q49" s="189">
        <v>5</v>
      </c>
      <c r="R49" s="178" t="s">
        <v>1062</v>
      </c>
      <c r="S49" s="189">
        <v>5</v>
      </c>
      <c r="T49" s="178" t="s">
        <v>1062</v>
      </c>
      <c r="U49" s="189">
        <v>5</v>
      </c>
      <c r="V49" s="178" t="s">
        <v>1062</v>
      </c>
      <c r="W49" s="262">
        <v>30</v>
      </c>
      <c r="X49" s="650"/>
      <c r="Y49" s="263">
        <f>C49*G49*O49*W49</f>
        <v>592.5</v>
      </c>
      <c r="Z49" s="191">
        <f>D49*G49*Q49*W49</f>
        <v>592.5</v>
      </c>
      <c r="AA49" s="191">
        <f>E49*G49*S49*W49</f>
        <v>592.5</v>
      </c>
      <c r="AB49" s="192">
        <f>F49*G49*U49*W49</f>
        <v>592.5</v>
      </c>
      <c r="AC49" s="651"/>
      <c r="AD49" s="264">
        <f>C49*I49*O49*W49</f>
        <v>375</v>
      </c>
      <c r="AE49" s="192">
        <f>D49*J49*Q49*W49</f>
        <v>375</v>
      </c>
      <c r="AF49" s="192">
        <f>E49*L49*S49*W49</f>
        <v>592.5</v>
      </c>
      <c r="AG49" s="192">
        <f>F49*L49*U49*W49</f>
        <v>592.5</v>
      </c>
      <c r="AH49" s="266"/>
      <c r="AI49" s="265">
        <f t="shared" ref="AI49:AL49" si="30">AD49/Y49</f>
        <v>0.63291139240506333</v>
      </c>
      <c r="AJ49" s="266">
        <f t="shared" si="30"/>
        <v>0.63291139240506333</v>
      </c>
      <c r="AK49" s="265">
        <f t="shared" si="30"/>
        <v>1</v>
      </c>
      <c r="AL49" s="265">
        <f t="shared" si="30"/>
        <v>1</v>
      </c>
    </row>
    <row r="50" spans="1:38" s="654" customFormat="1" ht="55.9" customHeight="1">
      <c r="A50" s="653" t="s">
        <v>49</v>
      </c>
      <c r="B50" s="769" t="s">
        <v>1067</v>
      </c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0"/>
      <c r="V50" s="770"/>
      <c r="W50" s="770"/>
      <c r="X50" s="770"/>
      <c r="Y50" s="770"/>
      <c r="Z50" s="770"/>
      <c r="AA50" s="770"/>
      <c r="AB50" s="770"/>
      <c r="AC50" s="770"/>
      <c r="AD50" s="770"/>
      <c r="AE50" s="770"/>
      <c r="AF50" s="770"/>
      <c r="AG50" s="770"/>
      <c r="AH50" s="770"/>
      <c r="AI50" s="770"/>
      <c r="AJ50" s="770"/>
      <c r="AK50" s="770"/>
      <c r="AL50" s="771"/>
    </row>
    <row r="51" spans="1:38" s="652" customFormat="1" ht="55.9" customHeight="1">
      <c r="A51" s="200">
        <v>1</v>
      </c>
      <c r="B51" s="655" t="s">
        <v>1067</v>
      </c>
      <c r="C51" s="201">
        <v>1</v>
      </c>
      <c r="D51" s="201">
        <v>1</v>
      </c>
      <c r="E51" s="201">
        <v>1</v>
      </c>
      <c r="F51" s="201">
        <v>1</v>
      </c>
      <c r="G51" s="201">
        <v>9.85</v>
      </c>
      <c r="H51" s="201">
        <v>9.85</v>
      </c>
      <c r="I51" s="201">
        <v>6.5</v>
      </c>
      <c r="J51" s="201">
        <v>7.5</v>
      </c>
      <c r="K51" s="201">
        <v>8.5</v>
      </c>
      <c r="L51" s="201">
        <v>9.85</v>
      </c>
      <c r="M51" s="200"/>
      <c r="N51" s="201"/>
      <c r="O51" s="202">
        <v>5</v>
      </c>
      <c r="P51" s="267" t="s">
        <v>1062</v>
      </c>
      <c r="Q51" s="202">
        <v>5</v>
      </c>
      <c r="R51" s="267" t="s">
        <v>1062</v>
      </c>
      <c r="S51" s="202">
        <v>5</v>
      </c>
      <c r="T51" s="267" t="s">
        <v>1062</v>
      </c>
      <c r="U51" s="202">
        <v>5</v>
      </c>
      <c r="V51" s="267" t="s">
        <v>1062</v>
      </c>
      <c r="W51" s="262">
        <v>30</v>
      </c>
      <c r="X51" s="656"/>
      <c r="Y51" s="263">
        <f>C51*G51*O51*W51</f>
        <v>1477.5</v>
      </c>
      <c r="Z51" s="191">
        <f>D51*G51*Q51*W51</f>
        <v>1477.5</v>
      </c>
      <c r="AA51" s="191">
        <f>E51*G51*S51*W51</f>
        <v>1477.5</v>
      </c>
      <c r="AB51" s="203">
        <f>F51*G51*U51*W51</f>
        <v>1477.5</v>
      </c>
      <c r="AC51" s="263"/>
      <c r="AD51" s="268">
        <f>C51*I51*O51*W51</f>
        <v>975</v>
      </c>
      <c r="AE51" s="203">
        <f>D51*J51*Q51*W51</f>
        <v>1125</v>
      </c>
      <c r="AF51" s="203">
        <f>E51*L51*S51*W51</f>
        <v>1477.5</v>
      </c>
      <c r="AG51" s="203">
        <f>F51*L51*U51*W51</f>
        <v>1477.5</v>
      </c>
      <c r="AH51" s="270"/>
      <c r="AI51" s="269">
        <f t="shared" ref="AI51:AL51" si="31">AD51/Y51</f>
        <v>0.65989847715736039</v>
      </c>
      <c r="AJ51" s="270">
        <f t="shared" si="31"/>
        <v>0.76142131979695427</v>
      </c>
      <c r="AK51" s="269">
        <f t="shared" si="31"/>
        <v>1</v>
      </c>
      <c r="AL51" s="269">
        <f t="shared" si="31"/>
        <v>1</v>
      </c>
    </row>
    <row r="52" spans="1:38" s="271" customFormat="1" ht="75">
      <c r="A52" s="657" t="s">
        <v>407</v>
      </c>
      <c r="B52" s="658" t="s">
        <v>1633</v>
      </c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  <c r="AA52" s="659"/>
      <c r="AB52" s="659"/>
      <c r="AC52" s="659"/>
      <c r="AD52" s="659"/>
      <c r="AE52" s="659"/>
      <c r="AF52" s="659"/>
      <c r="AG52" s="659"/>
      <c r="AH52" s="659"/>
      <c r="AI52" s="659"/>
      <c r="AJ52" s="659"/>
      <c r="AK52" s="659"/>
      <c r="AL52" s="660"/>
    </row>
    <row r="53" spans="1:38" s="652" customFormat="1" ht="55.9" customHeight="1">
      <c r="A53" s="189">
        <v>1</v>
      </c>
      <c r="B53" s="661" t="s">
        <v>1634</v>
      </c>
      <c r="C53" s="190">
        <v>1</v>
      </c>
      <c r="D53" s="190">
        <v>1</v>
      </c>
      <c r="E53" s="190">
        <v>1</v>
      </c>
      <c r="F53" s="190">
        <v>1</v>
      </c>
      <c r="G53" s="176">
        <v>11.8</v>
      </c>
      <c r="H53" s="176">
        <v>11.8</v>
      </c>
      <c r="I53" s="176">
        <v>11.8</v>
      </c>
      <c r="J53" s="176">
        <v>11.8</v>
      </c>
      <c r="K53" s="176">
        <v>11.8</v>
      </c>
      <c r="L53" s="176">
        <v>11.8</v>
      </c>
      <c r="M53" s="189"/>
      <c r="N53" s="190"/>
      <c r="O53" s="190">
        <v>9</v>
      </c>
      <c r="P53" s="190" t="s">
        <v>1044</v>
      </c>
      <c r="Q53" s="190">
        <v>9</v>
      </c>
      <c r="R53" s="190" t="s">
        <v>1044</v>
      </c>
      <c r="S53" s="190">
        <v>9</v>
      </c>
      <c r="T53" s="190" t="s">
        <v>1044</v>
      </c>
      <c r="U53" s="190">
        <v>9</v>
      </c>
      <c r="V53" s="190" t="s">
        <v>1044</v>
      </c>
      <c r="W53" s="267">
        <v>30</v>
      </c>
      <c r="X53" s="662"/>
      <c r="Y53" s="268">
        <f t="shared" ref="Y53:Y57" si="32">C53*G53*O53*W53</f>
        <v>3186</v>
      </c>
      <c r="Z53" s="203">
        <f t="shared" ref="Z53:Z57" si="33">D53*G53*Q53*W53</f>
        <v>3186</v>
      </c>
      <c r="AA53" s="203">
        <f t="shared" ref="AA53:AA57" si="34">E53*G53*S53*W53</f>
        <v>3186</v>
      </c>
      <c r="AB53" s="203">
        <f t="shared" ref="AB53:AB57" si="35">F53*G53*U53*W53</f>
        <v>3186</v>
      </c>
      <c r="AC53" s="268"/>
      <c r="AD53" s="268">
        <f t="shared" ref="AD53:AD57" si="36">C53*I53*O53*W53</f>
        <v>3186</v>
      </c>
      <c r="AE53" s="203">
        <f t="shared" ref="AE53:AE57" si="37">D53*J53*Q53*W53</f>
        <v>3186</v>
      </c>
      <c r="AF53" s="203">
        <f t="shared" ref="AF53:AF57" si="38">E53*L53*S53*W53</f>
        <v>3186</v>
      </c>
      <c r="AG53" s="203">
        <f t="shared" ref="AG53:AG57" si="39">F53*L53*U53*W53</f>
        <v>3186</v>
      </c>
      <c r="AH53" s="269"/>
      <c r="AI53" s="269">
        <f t="shared" ref="AI53:AL57" si="40">AD53/Y53</f>
        <v>1</v>
      </c>
      <c r="AJ53" s="269">
        <f t="shared" si="40"/>
        <v>1</v>
      </c>
      <c r="AK53" s="269">
        <f t="shared" si="40"/>
        <v>1</v>
      </c>
      <c r="AL53" s="269">
        <f t="shared" si="40"/>
        <v>1</v>
      </c>
    </row>
    <row r="54" spans="1:38" s="652" customFormat="1" ht="55.9" customHeight="1">
      <c r="A54" s="187">
        <v>2</v>
      </c>
      <c r="B54" s="663" t="s">
        <v>1635</v>
      </c>
      <c r="C54" s="188">
        <v>1</v>
      </c>
      <c r="D54" s="188">
        <v>1</v>
      </c>
      <c r="E54" s="188">
        <v>1</v>
      </c>
      <c r="F54" s="188">
        <v>1</v>
      </c>
      <c r="G54" s="174">
        <v>35</v>
      </c>
      <c r="H54" s="174">
        <v>35</v>
      </c>
      <c r="I54" s="174">
        <v>35</v>
      </c>
      <c r="J54" s="174">
        <v>35</v>
      </c>
      <c r="K54" s="174">
        <v>35</v>
      </c>
      <c r="L54" s="174">
        <v>35</v>
      </c>
      <c r="M54" s="187"/>
      <c r="N54" s="188"/>
      <c r="O54" s="188">
        <v>9</v>
      </c>
      <c r="P54" s="188" t="s">
        <v>1044</v>
      </c>
      <c r="Q54" s="188">
        <v>9</v>
      </c>
      <c r="R54" s="188" t="s">
        <v>1044</v>
      </c>
      <c r="S54" s="188">
        <v>9</v>
      </c>
      <c r="T54" s="188" t="s">
        <v>1044</v>
      </c>
      <c r="U54" s="188">
        <v>9</v>
      </c>
      <c r="V54" s="188" t="s">
        <v>1044</v>
      </c>
      <c r="W54" s="262">
        <v>30</v>
      </c>
      <c r="X54" s="650"/>
      <c r="Y54" s="263">
        <f t="shared" si="32"/>
        <v>9450</v>
      </c>
      <c r="Z54" s="191">
        <f t="shared" si="33"/>
        <v>9450</v>
      </c>
      <c r="AA54" s="191">
        <f t="shared" si="34"/>
        <v>9450</v>
      </c>
      <c r="AB54" s="203">
        <f t="shared" si="35"/>
        <v>9450</v>
      </c>
      <c r="AC54" s="263"/>
      <c r="AD54" s="268">
        <f t="shared" si="36"/>
        <v>9450</v>
      </c>
      <c r="AE54" s="203">
        <f t="shared" si="37"/>
        <v>9450</v>
      </c>
      <c r="AF54" s="203">
        <f t="shared" si="38"/>
        <v>9450</v>
      </c>
      <c r="AG54" s="203">
        <f t="shared" si="39"/>
        <v>9450</v>
      </c>
      <c r="AH54" s="270"/>
      <c r="AI54" s="269">
        <f t="shared" si="40"/>
        <v>1</v>
      </c>
      <c r="AJ54" s="270">
        <f t="shared" si="40"/>
        <v>1</v>
      </c>
      <c r="AK54" s="269">
        <f t="shared" si="40"/>
        <v>1</v>
      </c>
      <c r="AL54" s="269">
        <f t="shared" si="40"/>
        <v>1</v>
      </c>
    </row>
    <row r="55" spans="1:38" s="652" customFormat="1" ht="55.9" customHeight="1">
      <c r="A55" s="189">
        <v>3</v>
      </c>
      <c r="B55" s="663" t="s">
        <v>1636</v>
      </c>
      <c r="C55" s="188">
        <v>1</v>
      </c>
      <c r="D55" s="188">
        <v>1</v>
      </c>
      <c r="E55" s="188">
        <v>1</v>
      </c>
      <c r="F55" s="188">
        <v>1</v>
      </c>
      <c r="G55" s="174">
        <v>11.2</v>
      </c>
      <c r="H55" s="174">
        <v>11.2</v>
      </c>
      <c r="I55" s="174">
        <v>11.2</v>
      </c>
      <c r="J55" s="174">
        <v>11.2</v>
      </c>
      <c r="K55" s="174">
        <v>11.2</v>
      </c>
      <c r="L55" s="174">
        <v>11.2</v>
      </c>
      <c r="M55" s="187"/>
      <c r="N55" s="188"/>
      <c r="O55" s="188">
        <v>9</v>
      </c>
      <c r="P55" s="188" t="s">
        <v>1044</v>
      </c>
      <c r="Q55" s="188">
        <v>9</v>
      </c>
      <c r="R55" s="188" t="s">
        <v>1044</v>
      </c>
      <c r="S55" s="188">
        <v>9</v>
      </c>
      <c r="T55" s="188" t="s">
        <v>1044</v>
      </c>
      <c r="U55" s="188">
        <v>9</v>
      </c>
      <c r="V55" s="188" t="s">
        <v>1044</v>
      </c>
      <c r="W55" s="262">
        <v>30</v>
      </c>
      <c r="X55" s="650"/>
      <c r="Y55" s="263">
        <f t="shared" si="32"/>
        <v>3024</v>
      </c>
      <c r="Z55" s="191">
        <f t="shared" si="33"/>
        <v>3024</v>
      </c>
      <c r="AA55" s="191">
        <f t="shared" si="34"/>
        <v>3024</v>
      </c>
      <c r="AB55" s="203">
        <f t="shared" si="35"/>
        <v>3024</v>
      </c>
      <c r="AC55" s="263"/>
      <c r="AD55" s="268">
        <f t="shared" si="36"/>
        <v>3024</v>
      </c>
      <c r="AE55" s="203">
        <f t="shared" si="37"/>
        <v>3024</v>
      </c>
      <c r="AF55" s="203">
        <f t="shared" si="38"/>
        <v>3024</v>
      </c>
      <c r="AG55" s="203">
        <f t="shared" si="39"/>
        <v>3024</v>
      </c>
      <c r="AH55" s="270"/>
      <c r="AI55" s="269">
        <f t="shared" si="40"/>
        <v>1</v>
      </c>
      <c r="AJ55" s="270">
        <f t="shared" si="40"/>
        <v>1</v>
      </c>
      <c r="AK55" s="269">
        <f t="shared" si="40"/>
        <v>1</v>
      </c>
      <c r="AL55" s="269">
        <f t="shared" si="40"/>
        <v>1</v>
      </c>
    </row>
    <row r="56" spans="1:38" s="652" customFormat="1" ht="55.9" customHeight="1">
      <c r="A56" s="187">
        <v>4</v>
      </c>
      <c r="B56" s="663" t="s">
        <v>1637</v>
      </c>
      <c r="C56" s="188">
        <v>1</v>
      </c>
      <c r="D56" s="188">
        <v>1</v>
      </c>
      <c r="E56" s="188">
        <v>1</v>
      </c>
      <c r="F56" s="188">
        <v>1</v>
      </c>
      <c r="G56" s="174">
        <v>14.5</v>
      </c>
      <c r="H56" s="174">
        <v>14.5</v>
      </c>
      <c r="I56" s="174">
        <v>14.5</v>
      </c>
      <c r="J56" s="174">
        <v>14.5</v>
      </c>
      <c r="K56" s="174">
        <v>14.5</v>
      </c>
      <c r="L56" s="174">
        <v>14.5</v>
      </c>
      <c r="M56" s="187"/>
      <c r="N56" s="188"/>
      <c r="O56" s="188">
        <v>9</v>
      </c>
      <c r="P56" s="188" t="s">
        <v>1044</v>
      </c>
      <c r="Q56" s="188">
        <v>9</v>
      </c>
      <c r="R56" s="188" t="s">
        <v>1044</v>
      </c>
      <c r="S56" s="188">
        <v>9</v>
      </c>
      <c r="T56" s="188" t="s">
        <v>1044</v>
      </c>
      <c r="U56" s="188">
        <v>9</v>
      </c>
      <c r="V56" s="188" t="s">
        <v>1044</v>
      </c>
      <c r="W56" s="262">
        <v>30</v>
      </c>
      <c r="X56" s="650"/>
      <c r="Y56" s="263">
        <f t="shared" si="32"/>
        <v>3915</v>
      </c>
      <c r="Z56" s="191">
        <f t="shared" si="33"/>
        <v>3915</v>
      </c>
      <c r="AA56" s="191">
        <f t="shared" si="34"/>
        <v>3915</v>
      </c>
      <c r="AB56" s="203">
        <f t="shared" si="35"/>
        <v>3915</v>
      </c>
      <c r="AC56" s="263"/>
      <c r="AD56" s="268">
        <f t="shared" si="36"/>
        <v>3915</v>
      </c>
      <c r="AE56" s="203">
        <f t="shared" si="37"/>
        <v>3915</v>
      </c>
      <c r="AF56" s="203">
        <f t="shared" si="38"/>
        <v>3915</v>
      </c>
      <c r="AG56" s="203">
        <f t="shared" si="39"/>
        <v>3915</v>
      </c>
      <c r="AH56" s="270"/>
      <c r="AI56" s="269">
        <f t="shared" si="40"/>
        <v>1</v>
      </c>
      <c r="AJ56" s="270">
        <f t="shared" si="40"/>
        <v>1</v>
      </c>
      <c r="AK56" s="269">
        <f t="shared" si="40"/>
        <v>1</v>
      </c>
      <c r="AL56" s="269">
        <f t="shared" si="40"/>
        <v>1</v>
      </c>
    </row>
    <row r="57" spans="1:38" s="652" customFormat="1" ht="55.9" customHeight="1">
      <c r="A57" s="189">
        <v>5</v>
      </c>
      <c r="B57" s="663" t="s">
        <v>1638</v>
      </c>
      <c r="C57" s="188">
        <v>1</v>
      </c>
      <c r="D57" s="188">
        <v>1</v>
      </c>
      <c r="E57" s="188">
        <v>1</v>
      </c>
      <c r="F57" s="188">
        <v>1</v>
      </c>
      <c r="G57" s="174">
        <v>14.5</v>
      </c>
      <c r="H57" s="174">
        <v>14.5</v>
      </c>
      <c r="I57" s="174">
        <v>14.5</v>
      </c>
      <c r="J57" s="174">
        <v>14.5</v>
      </c>
      <c r="K57" s="174">
        <v>14.5</v>
      </c>
      <c r="L57" s="174">
        <v>14.5</v>
      </c>
      <c r="M57" s="187"/>
      <c r="N57" s="188"/>
      <c r="O57" s="188">
        <v>9</v>
      </c>
      <c r="P57" s="188" t="s">
        <v>1044</v>
      </c>
      <c r="Q57" s="188">
        <v>9</v>
      </c>
      <c r="R57" s="188" t="s">
        <v>1044</v>
      </c>
      <c r="S57" s="188">
        <v>9</v>
      </c>
      <c r="T57" s="188" t="s">
        <v>1044</v>
      </c>
      <c r="U57" s="188">
        <v>9</v>
      </c>
      <c r="V57" s="188" t="s">
        <v>1044</v>
      </c>
      <c r="W57" s="262">
        <v>30</v>
      </c>
      <c r="X57" s="650"/>
      <c r="Y57" s="263">
        <f t="shared" si="32"/>
        <v>3915</v>
      </c>
      <c r="Z57" s="191">
        <f t="shared" si="33"/>
        <v>3915</v>
      </c>
      <c r="AA57" s="191">
        <f t="shared" si="34"/>
        <v>3915</v>
      </c>
      <c r="AB57" s="203">
        <f t="shared" si="35"/>
        <v>3915</v>
      </c>
      <c r="AC57" s="263"/>
      <c r="AD57" s="268">
        <f t="shared" si="36"/>
        <v>3915</v>
      </c>
      <c r="AE57" s="203">
        <f t="shared" si="37"/>
        <v>3915</v>
      </c>
      <c r="AF57" s="203">
        <f t="shared" si="38"/>
        <v>3915</v>
      </c>
      <c r="AG57" s="203">
        <f t="shared" si="39"/>
        <v>3915</v>
      </c>
      <c r="AH57" s="270"/>
      <c r="AI57" s="269">
        <f t="shared" si="40"/>
        <v>1</v>
      </c>
      <c r="AJ57" s="270">
        <f t="shared" si="40"/>
        <v>1</v>
      </c>
      <c r="AK57" s="269">
        <f t="shared" si="40"/>
        <v>1</v>
      </c>
      <c r="AL57" s="269">
        <f t="shared" si="40"/>
        <v>1</v>
      </c>
    </row>
    <row r="58" spans="1:38" s="652" customFormat="1" ht="55.9" customHeight="1">
      <c r="A58" s="657" t="s">
        <v>408</v>
      </c>
      <c r="B58" s="772" t="s">
        <v>1068</v>
      </c>
      <c r="C58" s="773"/>
      <c r="D58" s="773"/>
      <c r="E58" s="773"/>
      <c r="F58" s="773"/>
      <c r="G58" s="773"/>
      <c r="H58" s="773"/>
      <c r="I58" s="773"/>
      <c r="J58" s="773"/>
      <c r="K58" s="773"/>
      <c r="L58" s="773"/>
      <c r="M58" s="773"/>
      <c r="N58" s="773"/>
      <c r="O58" s="773"/>
      <c r="P58" s="773"/>
      <c r="Q58" s="773"/>
      <c r="R58" s="773"/>
      <c r="S58" s="773"/>
      <c r="T58" s="773"/>
      <c r="U58" s="773"/>
      <c r="V58" s="773"/>
      <c r="W58" s="773"/>
      <c r="X58" s="773"/>
      <c r="Y58" s="773"/>
      <c r="Z58" s="773"/>
      <c r="AA58" s="773"/>
      <c r="AB58" s="773"/>
      <c r="AC58" s="773"/>
      <c r="AD58" s="773"/>
      <c r="AE58" s="773"/>
      <c r="AF58" s="773"/>
      <c r="AG58" s="773"/>
      <c r="AH58" s="773"/>
      <c r="AI58" s="773"/>
      <c r="AJ58" s="773"/>
      <c r="AK58" s="773"/>
      <c r="AL58" s="774"/>
    </row>
    <row r="59" spans="1:38" s="652" customFormat="1" ht="55.9" customHeight="1">
      <c r="A59" s="187">
        <v>1</v>
      </c>
      <c r="B59" s="649" t="s">
        <v>1069</v>
      </c>
      <c r="C59" s="188">
        <v>72</v>
      </c>
      <c r="D59" s="188">
        <v>72</v>
      </c>
      <c r="E59" s="188">
        <v>72</v>
      </c>
      <c r="F59" s="188">
        <v>72</v>
      </c>
      <c r="G59" s="188">
        <v>6.0000000000000001E-3</v>
      </c>
      <c r="H59" s="188">
        <v>6.0000000000000001E-3</v>
      </c>
      <c r="I59" s="188">
        <v>6.0000000000000001E-3</v>
      </c>
      <c r="J59" s="188">
        <v>6.0000000000000001E-3</v>
      </c>
      <c r="K59" s="188">
        <v>6.0000000000000001E-3</v>
      </c>
      <c r="L59" s="188">
        <v>6.0000000000000001E-3</v>
      </c>
      <c r="M59" s="187"/>
      <c r="N59" s="188"/>
      <c r="O59" s="189">
        <v>3</v>
      </c>
      <c r="P59" s="178" t="s">
        <v>1070</v>
      </c>
      <c r="Q59" s="189">
        <v>3</v>
      </c>
      <c r="R59" s="178" t="s">
        <v>1070</v>
      </c>
      <c r="S59" s="189">
        <v>3</v>
      </c>
      <c r="T59" s="178" t="s">
        <v>1070</v>
      </c>
      <c r="U59" s="189">
        <v>3</v>
      </c>
      <c r="V59" s="178" t="s">
        <v>1070</v>
      </c>
      <c r="W59" s="262">
        <v>30</v>
      </c>
      <c r="X59" s="650"/>
      <c r="Y59" s="263">
        <f>C59*G59*O59*W59</f>
        <v>38.880000000000003</v>
      </c>
      <c r="Z59" s="191">
        <f>D59*G59*Q59*W59</f>
        <v>38.880000000000003</v>
      </c>
      <c r="AA59" s="191">
        <f>E59*G59*S59*W59</f>
        <v>38.880000000000003</v>
      </c>
      <c r="AB59" s="192">
        <f>F59*G59*U59*W59</f>
        <v>38.880000000000003</v>
      </c>
      <c r="AC59" s="651"/>
      <c r="AD59" s="264">
        <f>C59*I59*O59*W59</f>
        <v>38.880000000000003</v>
      </c>
      <c r="AE59" s="192">
        <f>D59*J59*Q59*W59</f>
        <v>38.880000000000003</v>
      </c>
      <c r="AF59" s="192">
        <f>E59*L59*S59*W59</f>
        <v>38.880000000000003</v>
      </c>
      <c r="AG59" s="192">
        <f>F59*L59*U59*W59</f>
        <v>38.880000000000003</v>
      </c>
      <c r="AH59" s="266"/>
      <c r="AI59" s="265">
        <f t="shared" ref="AI59:AL61" si="41">AD59/Y59</f>
        <v>1</v>
      </c>
      <c r="AJ59" s="266">
        <f t="shared" si="41"/>
        <v>1</v>
      </c>
      <c r="AK59" s="265">
        <f t="shared" si="41"/>
        <v>1</v>
      </c>
      <c r="AL59" s="265">
        <f t="shared" si="41"/>
        <v>1</v>
      </c>
    </row>
    <row r="60" spans="1:38" s="652" customFormat="1" ht="55.9" customHeight="1">
      <c r="A60" s="187">
        <v>2</v>
      </c>
      <c r="B60" s="649" t="s">
        <v>1071</v>
      </c>
      <c r="C60" s="188">
        <v>19</v>
      </c>
      <c r="D60" s="188">
        <v>19</v>
      </c>
      <c r="E60" s="188">
        <v>19</v>
      </c>
      <c r="F60" s="188">
        <v>19</v>
      </c>
      <c r="G60" s="188">
        <v>6.0000000000000001E-3</v>
      </c>
      <c r="H60" s="188">
        <v>6.0000000000000001E-3</v>
      </c>
      <c r="I60" s="188">
        <v>6.0000000000000001E-3</v>
      </c>
      <c r="J60" s="188">
        <v>6.0000000000000001E-3</v>
      </c>
      <c r="K60" s="188">
        <v>6.0000000000000001E-3</v>
      </c>
      <c r="L60" s="188">
        <v>6.0000000000000001E-3</v>
      </c>
      <c r="M60" s="187"/>
      <c r="N60" s="188"/>
      <c r="O60" s="189">
        <v>3</v>
      </c>
      <c r="P60" s="178" t="s">
        <v>1070</v>
      </c>
      <c r="Q60" s="189">
        <v>3</v>
      </c>
      <c r="R60" s="178" t="s">
        <v>1070</v>
      </c>
      <c r="S60" s="189">
        <v>3</v>
      </c>
      <c r="T60" s="178" t="s">
        <v>1070</v>
      </c>
      <c r="U60" s="189">
        <v>3</v>
      </c>
      <c r="V60" s="178" t="s">
        <v>1070</v>
      </c>
      <c r="W60" s="262">
        <v>31</v>
      </c>
      <c r="X60" s="650"/>
      <c r="Y60" s="263">
        <f>C60*G60*O60*W60</f>
        <v>10.602</v>
      </c>
      <c r="Z60" s="191">
        <f>D60*G60*Q60*W60</f>
        <v>10.602</v>
      </c>
      <c r="AA60" s="191">
        <f>E60*G60*S60*W60</f>
        <v>10.602</v>
      </c>
      <c r="AB60" s="192">
        <f>F60*G60*U60*W60</f>
        <v>10.602</v>
      </c>
      <c r="AC60" s="651"/>
      <c r="AD60" s="264">
        <f>C60*I60*O60*W60</f>
        <v>10.602</v>
      </c>
      <c r="AE60" s="192">
        <f>D60*J60*Q60*W60</f>
        <v>10.602</v>
      </c>
      <c r="AF60" s="192">
        <f>E60*L60*S60*W60</f>
        <v>10.602</v>
      </c>
      <c r="AG60" s="192">
        <f>F60*L60*U60*W60</f>
        <v>10.602</v>
      </c>
      <c r="AH60" s="266"/>
      <c r="AI60" s="265">
        <f t="shared" si="41"/>
        <v>1</v>
      </c>
      <c r="AJ60" s="266">
        <f t="shared" si="41"/>
        <v>1</v>
      </c>
      <c r="AK60" s="265">
        <f t="shared" si="41"/>
        <v>1</v>
      </c>
      <c r="AL60" s="265">
        <f t="shared" si="41"/>
        <v>1</v>
      </c>
    </row>
    <row r="61" spans="1:38" s="652" customFormat="1" ht="55.9" customHeight="1">
      <c r="A61" s="187">
        <v>3</v>
      </c>
      <c r="B61" s="649" t="s">
        <v>1072</v>
      </c>
      <c r="C61" s="188">
        <v>15</v>
      </c>
      <c r="D61" s="188">
        <v>15</v>
      </c>
      <c r="E61" s="188">
        <v>15</v>
      </c>
      <c r="F61" s="188">
        <v>15</v>
      </c>
      <c r="G61" s="188">
        <v>3.5999999999999997E-2</v>
      </c>
      <c r="H61" s="188">
        <v>3.5999999999999997E-2</v>
      </c>
      <c r="I61" s="188">
        <v>3.5999999999999997E-2</v>
      </c>
      <c r="J61" s="188">
        <v>3.5999999999999997E-2</v>
      </c>
      <c r="K61" s="188">
        <v>3.5999999999999997E-2</v>
      </c>
      <c r="L61" s="188">
        <v>3.5999999999999997E-2</v>
      </c>
      <c r="M61" s="187"/>
      <c r="N61" s="188"/>
      <c r="O61" s="189">
        <v>3</v>
      </c>
      <c r="P61" s="178" t="s">
        <v>1057</v>
      </c>
      <c r="Q61" s="189">
        <v>3</v>
      </c>
      <c r="R61" s="178" t="s">
        <v>1070</v>
      </c>
      <c r="S61" s="189">
        <v>3</v>
      </c>
      <c r="T61" s="178" t="s">
        <v>1070</v>
      </c>
      <c r="U61" s="189">
        <v>3</v>
      </c>
      <c r="V61" s="178" t="s">
        <v>1070</v>
      </c>
      <c r="W61" s="262">
        <v>30</v>
      </c>
      <c r="X61" s="650"/>
      <c r="Y61" s="263">
        <f>C61*G61*O61*W61</f>
        <v>48.599999999999987</v>
      </c>
      <c r="Z61" s="191">
        <f>D61*G61*Q61*W61</f>
        <v>48.599999999999987</v>
      </c>
      <c r="AA61" s="191">
        <f>E61*G61*S61*W61</f>
        <v>48.599999999999987</v>
      </c>
      <c r="AB61" s="192">
        <f>F61*G61*U61*W61</f>
        <v>48.599999999999987</v>
      </c>
      <c r="AC61" s="651"/>
      <c r="AD61" s="264">
        <f>C61*I61*O61*W61</f>
        <v>48.599999999999987</v>
      </c>
      <c r="AE61" s="192">
        <f>D61*J61*Q61*W61</f>
        <v>48.599999999999987</v>
      </c>
      <c r="AF61" s="192">
        <f>E61*L61*S61*W61</f>
        <v>48.599999999999987</v>
      </c>
      <c r="AG61" s="192">
        <f>F61*L61*U61*W61</f>
        <v>48.599999999999987</v>
      </c>
      <c r="AH61" s="266"/>
      <c r="AI61" s="265">
        <f t="shared" si="41"/>
        <v>1</v>
      </c>
      <c r="AJ61" s="266">
        <f t="shared" si="41"/>
        <v>1</v>
      </c>
      <c r="AK61" s="265">
        <f t="shared" si="41"/>
        <v>1</v>
      </c>
      <c r="AL61" s="265">
        <f t="shared" si="41"/>
        <v>1</v>
      </c>
    </row>
    <row r="62" spans="1:38" s="664" customFormat="1" ht="55.15" customHeight="1">
      <c r="A62" s="642" t="s">
        <v>409</v>
      </c>
      <c r="B62" s="775" t="s">
        <v>1073</v>
      </c>
      <c r="C62" s="776"/>
      <c r="D62" s="776"/>
      <c r="E62" s="776"/>
      <c r="F62" s="776"/>
      <c r="G62" s="776"/>
      <c r="H62" s="776"/>
      <c r="I62" s="776"/>
      <c r="J62" s="776"/>
      <c r="K62" s="776"/>
      <c r="L62" s="776"/>
      <c r="M62" s="776"/>
      <c r="N62" s="776"/>
      <c r="O62" s="776"/>
      <c r="P62" s="776"/>
      <c r="Q62" s="776"/>
      <c r="R62" s="776"/>
      <c r="S62" s="776"/>
      <c r="T62" s="776"/>
      <c r="U62" s="776"/>
      <c r="V62" s="776"/>
      <c r="W62" s="776"/>
      <c r="X62" s="776"/>
      <c r="Y62" s="776"/>
      <c r="Z62" s="776"/>
      <c r="AA62" s="776"/>
      <c r="AB62" s="776"/>
      <c r="AC62" s="776"/>
      <c r="AD62" s="776"/>
      <c r="AE62" s="776"/>
      <c r="AF62" s="776"/>
      <c r="AG62" s="776"/>
      <c r="AH62" s="776"/>
      <c r="AI62" s="776"/>
      <c r="AJ62" s="776"/>
      <c r="AK62" s="776"/>
      <c r="AL62" s="777"/>
    </row>
    <row r="63" spans="1:38" s="652" customFormat="1" ht="55.9" customHeight="1">
      <c r="A63" s="187">
        <v>1</v>
      </c>
      <c r="B63" s="649" t="s">
        <v>1074</v>
      </c>
      <c r="C63" s="188">
        <v>1</v>
      </c>
      <c r="D63" s="188">
        <v>1</v>
      </c>
      <c r="E63" s="188">
        <v>1</v>
      </c>
      <c r="F63" s="188">
        <v>1</v>
      </c>
      <c r="G63" s="188">
        <v>2.9</v>
      </c>
      <c r="H63" s="188">
        <v>2.9</v>
      </c>
      <c r="I63" s="188">
        <v>2.9</v>
      </c>
      <c r="J63" s="188">
        <v>2.9</v>
      </c>
      <c r="K63" s="188">
        <v>2.9</v>
      </c>
      <c r="L63" s="188">
        <v>2.9</v>
      </c>
      <c r="M63" s="685"/>
      <c r="N63" s="685"/>
      <c r="O63" s="189">
        <v>5</v>
      </c>
      <c r="P63" s="178" t="s">
        <v>1062</v>
      </c>
      <c r="Q63" s="190">
        <v>5</v>
      </c>
      <c r="R63" s="178" t="s">
        <v>1062</v>
      </c>
      <c r="S63" s="190">
        <v>5</v>
      </c>
      <c r="T63" s="178" t="s">
        <v>1062</v>
      </c>
      <c r="U63" s="190">
        <v>5</v>
      </c>
      <c r="V63" s="178" t="s">
        <v>1062</v>
      </c>
      <c r="W63" s="262">
        <v>30</v>
      </c>
      <c r="X63" s="684"/>
      <c r="Y63" s="263">
        <f t="shared" ref="Y63:Y81" si="42">C63*G63*O63*W63</f>
        <v>435</v>
      </c>
      <c r="Z63" s="191">
        <f t="shared" ref="Z63:Z81" si="43">D63*G63*Q63*W63</f>
        <v>435</v>
      </c>
      <c r="AA63" s="191">
        <f t="shared" ref="AA63:AA81" si="44">E63*G63*S63*W63</f>
        <v>435</v>
      </c>
      <c r="AB63" s="192">
        <f t="shared" ref="AB63:AB81" si="45">F63*G63*U63*W63</f>
        <v>435</v>
      </c>
      <c r="AC63" s="684"/>
      <c r="AD63" s="264">
        <f t="shared" ref="AD63:AD81" si="46">C63*I63*O63*W63</f>
        <v>435</v>
      </c>
      <c r="AE63" s="192">
        <f t="shared" ref="AE63:AE81" si="47">D63*J63*Q63*W63</f>
        <v>435</v>
      </c>
      <c r="AF63" s="192">
        <f t="shared" ref="AF63:AF81" si="48">E63*L63*S63*W63</f>
        <v>435</v>
      </c>
      <c r="AG63" s="192">
        <f t="shared" ref="AG63:AG81" si="49">F63*L63*U63*W63</f>
        <v>435</v>
      </c>
      <c r="AH63" s="684"/>
      <c r="AI63" s="265">
        <f t="shared" ref="AI63:AL81" si="50">AD63/Y63</f>
        <v>1</v>
      </c>
      <c r="AJ63" s="266">
        <f t="shared" si="50"/>
        <v>1</v>
      </c>
      <c r="AK63" s="265">
        <f t="shared" si="50"/>
        <v>1</v>
      </c>
      <c r="AL63" s="265">
        <f t="shared" si="50"/>
        <v>1</v>
      </c>
    </row>
    <row r="64" spans="1:38" s="652" customFormat="1" ht="55.9" customHeight="1">
      <c r="A64" s="187">
        <v>2</v>
      </c>
      <c r="B64" s="649" t="s">
        <v>1075</v>
      </c>
      <c r="C64" s="188">
        <v>1</v>
      </c>
      <c r="D64" s="188">
        <v>1</v>
      </c>
      <c r="E64" s="188">
        <v>1</v>
      </c>
      <c r="F64" s="188">
        <v>1</v>
      </c>
      <c r="G64" s="188">
        <v>2.4</v>
      </c>
      <c r="H64" s="188">
        <v>2.4</v>
      </c>
      <c r="I64" s="188">
        <v>2.4</v>
      </c>
      <c r="J64" s="188">
        <v>2.4</v>
      </c>
      <c r="K64" s="188">
        <v>2.4</v>
      </c>
      <c r="L64" s="188">
        <v>2.4</v>
      </c>
      <c r="M64" s="685"/>
      <c r="N64" s="685"/>
      <c r="O64" s="189">
        <v>5</v>
      </c>
      <c r="P64" s="178" t="s">
        <v>1062</v>
      </c>
      <c r="Q64" s="190">
        <v>5</v>
      </c>
      <c r="R64" s="178" t="s">
        <v>1062</v>
      </c>
      <c r="S64" s="190">
        <v>5</v>
      </c>
      <c r="T64" s="178" t="s">
        <v>1062</v>
      </c>
      <c r="U64" s="190">
        <v>5</v>
      </c>
      <c r="V64" s="178" t="s">
        <v>1062</v>
      </c>
      <c r="W64" s="262">
        <v>30</v>
      </c>
      <c r="X64" s="684"/>
      <c r="Y64" s="263">
        <f t="shared" si="42"/>
        <v>360</v>
      </c>
      <c r="Z64" s="191">
        <f t="shared" si="43"/>
        <v>360</v>
      </c>
      <c r="AA64" s="191">
        <f t="shared" si="44"/>
        <v>360</v>
      </c>
      <c r="AB64" s="192">
        <f t="shared" si="45"/>
        <v>360</v>
      </c>
      <c r="AC64" s="684"/>
      <c r="AD64" s="264">
        <f t="shared" si="46"/>
        <v>360</v>
      </c>
      <c r="AE64" s="192">
        <f t="shared" si="47"/>
        <v>360</v>
      </c>
      <c r="AF64" s="192">
        <f t="shared" si="48"/>
        <v>360</v>
      </c>
      <c r="AG64" s="192">
        <f t="shared" si="49"/>
        <v>360</v>
      </c>
      <c r="AH64" s="684"/>
      <c r="AI64" s="265">
        <f t="shared" si="50"/>
        <v>1</v>
      </c>
      <c r="AJ64" s="266">
        <f t="shared" si="50"/>
        <v>1</v>
      </c>
      <c r="AK64" s="265">
        <f t="shared" si="50"/>
        <v>1</v>
      </c>
      <c r="AL64" s="265">
        <f t="shared" si="50"/>
        <v>1</v>
      </c>
    </row>
    <row r="65" spans="1:38" s="652" customFormat="1" ht="55.9" customHeight="1">
      <c r="A65" s="187">
        <v>3</v>
      </c>
      <c r="B65" s="649" t="s">
        <v>1076</v>
      </c>
      <c r="C65" s="188">
        <v>1</v>
      </c>
      <c r="D65" s="188">
        <v>1</v>
      </c>
      <c r="E65" s="188">
        <v>1</v>
      </c>
      <c r="F65" s="188">
        <v>1</v>
      </c>
      <c r="G65" s="188">
        <v>3.9</v>
      </c>
      <c r="H65" s="188">
        <v>3.9</v>
      </c>
      <c r="I65" s="188">
        <v>3.9</v>
      </c>
      <c r="J65" s="188">
        <v>3.9</v>
      </c>
      <c r="K65" s="188">
        <v>3.9</v>
      </c>
      <c r="L65" s="188">
        <v>3.9</v>
      </c>
      <c r="M65" s="685"/>
      <c r="N65" s="685"/>
      <c r="O65" s="189">
        <v>5</v>
      </c>
      <c r="P65" s="178" t="s">
        <v>1062</v>
      </c>
      <c r="Q65" s="190">
        <v>5</v>
      </c>
      <c r="R65" s="178" t="s">
        <v>1062</v>
      </c>
      <c r="S65" s="190">
        <v>5</v>
      </c>
      <c r="T65" s="178" t="s">
        <v>1062</v>
      </c>
      <c r="U65" s="190">
        <v>5</v>
      </c>
      <c r="V65" s="178" t="s">
        <v>1062</v>
      </c>
      <c r="W65" s="262">
        <v>30</v>
      </c>
      <c r="X65" s="684"/>
      <c r="Y65" s="263">
        <f t="shared" si="42"/>
        <v>585</v>
      </c>
      <c r="Z65" s="191">
        <f t="shared" si="43"/>
        <v>585</v>
      </c>
      <c r="AA65" s="191">
        <f t="shared" si="44"/>
        <v>585</v>
      </c>
      <c r="AB65" s="192">
        <f t="shared" si="45"/>
        <v>585</v>
      </c>
      <c r="AC65" s="684"/>
      <c r="AD65" s="264">
        <f t="shared" si="46"/>
        <v>585</v>
      </c>
      <c r="AE65" s="192">
        <f t="shared" si="47"/>
        <v>585</v>
      </c>
      <c r="AF65" s="192">
        <f t="shared" si="48"/>
        <v>585</v>
      </c>
      <c r="AG65" s="192">
        <f t="shared" si="49"/>
        <v>585</v>
      </c>
      <c r="AH65" s="684"/>
      <c r="AI65" s="265">
        <f t="shared" si="50"/>
        <v>1</v>
      </c>
      <c r="AJ65" s="266">
        <f t="shared" si="50"/>
        <v>1</v>
      </c>
      <c r="AK65" s="265">
        <f t="shared" si="50"/>
        <v>1</v>
      </c>
      <c r="AL65" s="265">
        <f t="shared" si="50"/>
        <v>1</v>
      </c>
    </row>
    <row r="66" spans="1:38" s="652" customFormat="1" ht="55.9" customHeight="1">
      <c r="A66" s="187">
        <v>4</v>
      </c>
      <c r="B66" s="649" t="s">
        <v>1077</v>
      </c>
      <c r="C66" s="188">
        <v>1</v>
      </c>
      <c r="D66" s="188">
        <v>1</v>
      </c>
      <c r="E66" s="188">
        <v>1</v>
      </c>
      <c r="F66" s="188">
        <v>1</v>
      </c>
      <c r="G66" s="188">
        <v>2.1</v>
      </c>
      <c r="H66" s="188">
        <v>2.1</v>
      </c>
      <c r="I66" s="188">
        <v>2.1</v>
      </c>
      <c r="J66" s="188">
        <v>2.1</v>
      </c>
      <c r="K66" s="188">
        <v>2.1</v>
      </c>
      <c r="L66" s="188">
        <v>2.1</v>
      </c>
      <c r="M66" s="685"/>
      <c r="N66" s="685"/>
      <c r="O66" s="189">
        <v>5</v>
      </c>
      <c r="P66" s="178" t="s">
        <v>1062</v>
      </c>
      <c r="Q66" s="190">
        <v>5</v>
      </c>
      <c r="R66" s="178" t="s">
        <v>1062</v>
      </c>
      <c r="S66" s="190">
        <v>5</v>
      </c>
      <c r="T66" s="178" t="s">
        <v>1062</v>
      </c>
      <c r="U66" s="190">
        <v>5</v>
      </c>
      <c r="V66" s="178" t="s">
        <v>1062</v>
      </c>
      <c r="W66" s="262">
        <v>30</v>
      </c>
      <c r="X66" s="684"/>
      <c r="Y66" s="263">
        <f t="shared" si="42"/>
        <v>315</v>
      </c>
      <c r="Z66" s="191">
        <f t="shared" si="43"/>
        <v>315</v>
      </c>
      <c r="AA66" s="191">
        <f t="shared" si="44"/>
        <v>315</v>
      </c>
      <c r="AB66" s="192">
        <f t="shared" si="45"/>
        <v>315</v>
      </c>
      <c r="AC66" s="684"/>
      <c r="AD66" s="264">
        <f t="shared" si="46"/>
        <v>315</v>
      </c>
      <c r="AE66" s="192">
        <f t="shared" si="47"/>
        <v>315</v>
      </c>
      <c r="AF66" s="192">
        <f t="shared" si="48"/>
        <v>315</v>
      </c>
      <c r="AG66" s="192">
        <f t="shared" si="49"/>
        <v>315</v>
      </c>
      <c r="AH66" s="684"/>
      <c r="AI66" s="265">
        <f t="shared" si="50"/>
        <v>1</v>
      </c>
      <c r="AJ66" s="266">
        <f t="shared" si="50"/>
        <v>1</v>
      </c>
      <c r="AK66" s="265">
        <f t="shared" si="50"/>
        <v>1</v>
      </c>
      <c r="AL66" s="265">
        <f t="shared" si="50"/>
        <v>1</v>
      </c>
    </row>
    <row r="67" spans="1:38" s="652" customFormat="1" ht="55.9" customHeight="1">
      <c r="A67" s="187">
        <v>5</v>
      </c>
      <c r="B67" s="649" t="s">
        <v>1078</v>
      </c>
      <c r="C67" s="188">
        <v>1</v>
      </c>
      <c r="D67" s="188">
        <v>1</v>
      </c>
      <c r="E67" s="188">
        <v>1</v>
      </c>
      <c r="F67" s="188">
        <v>1</v>
      </c>
      <c r="G67" s="188">
        <v>0.37</v>
      </c>
      <c r="H67" s="188">
        <v>0.37</v>
      </c>
      <c r="I67" s="188">
        <v>0.37</v>
      </c>
      <c r="J67" s="188">
        <v>0.37</v>
      </c>
      <c r="K67" s="188">
        <v>0.37</v>
      </c>
      <c r="L67" s="188">
        <v>0.37</v>
      </c>
      <c r="M67" s="685"/>
      <c r="N67" s="685"/>
      <c r="O67" s="189">
        <v>5</v>
      </c>
      <c r="P67" s="178" t="s">
        <v>1062</v>
      </c>
      <c r="Q67" s="190">
        <v>5</v>
      </c>
      <c r="R67" s="178" t="s">
        <v>1062</v>
      </c>
      <c r="S67" s="190">
        <v>5</v>
      </c>
      <c r="T67" s="178" t="s">
        <v>1062</v>
      </c>
      <c r="U67" s="190">
        <v>5</v>
      </c>
      <c r="V67" s="178" t="s">
        <v>1062</v>
      </c>
      <c r="W67" s="262">
        <v>30</v>
      </c>
      <c r="X67" s="684"/>
      <c r="Y67" s="263">
        <f t="shared" si="42"/>
        <v>55.5</v>
      </c>
      <c r="Z67" s="191">
        <f t="shared" si="43"/>
        <v>55.5</v>
      </c>
      <c r="AA67" s="191">
        <f t="shared" si="44"/>
        <v>55.5</v>
      </c>
      <c r="AB67" s="192">
        <f t="shared" si="45"/>
        <v>55.5</v>
      </c>
      <c r="AC67" s="684"/>
      <c r="AD67" s="264">
        <f t="shared" si="46"/>
        <v>55.5</v>
      </c>
      <c r="AE67" s="192">
        <f t="shared" si="47"/>
        <v>55.5</v>
      </c>
      <c r="AF67" s="192">
        <f t="shared" si="48"/>
        <v>55.5</v>
      </c>
      <c r="AG67" s="192">
        <f t="shared" si="49"/>
        <v>55.5</v>
      </c>
      <c r="AH67" s="684"/>
      <c r="AI67" s="265">
        <f t="shared" si="50"/>
        <v>1</v>
      </c>
      <c r="AJ67" s="266">
        <f t="shared" si="50"/>
        <v>1</v>
      </c>
      <c r="AK67" s="265">
        <f t="shared" si="50"/>
        <v>1</v>
      </c>
      <c r="AL67" s="265">
        <f t="shared" si="50"/>
        <v>1</v>
      </c>
    </row>
    <row r="68" spans="1:38" s="652" customFormat="1" ht="55.9" customHeight="1">
      <c r="A68" s="187">
        <v>6</v>
      </c>
      <c r="B68" s="649" t="s">
        <v>1079</v>
      </c>
      <c r="C68" s="188">
        <v>1</v>
      </c>
      <c r="D68" s="188">
        <v>1</v>
      </c>
      <c r="E68" s="188">
        <v>1</v>
      </c>
      <c r="F68" s="188">
        <v>1</v>
      </c>
      <c r="G68" s="188">
        <v>3.2</v>
      </c>
      <c r="H68" s="188">
        <v>3.2</v>
      </c>
      <c r="I68" s="188">
        <v>3.2</v>
      </c>
      <c r="J68" s="188">
        <v>3.2</v>
      </c>
      <c r="K68" s="188">
        <v>3.2</v>
      </c>
      <c r="L68" s="188">
        <v>3.2</v>
      </c>
      <c r="M68" s="685"/>
      <c r="N68" s="685"/>
      <c r="O68" s="189">
        <v>5</v>
      </c>
      <c r="P68" s="178" t="s">
        <v>1062</v>
      </c>
      <c r="Q68" s="190">
        <v>5</v>
      </c>
      <c r="R68" s="178" t="s">
        <v>1062</v>
      </c>
      <c r="S68" s="190">
        <v>5</v>
      </c>
      <c r="T68" s="178" t="s">
        <v>1062</v>
      </c>
      <c r="U68" s="190">
        <v>5</v>
      </c>
      <c r="V68" s="178" t="s">
        <v>1062</v>
      </c>
      <c r="W68" s="262">
        <v>30</v>
      </c>
      <c r="X68" s="684"/>
      <c r="Y68" s="263">
        <f t="shared" si="42"/>
        <v>480</v>
      </c>
      <c r="Z68" s="191">
        <f t="shared" si="43"/>
        <v>480</v>
      </c>
      <c r="AA68" s="191">
        <f t="shared" si="44"/>
        <v>480</v>
      </c>
      <c r="AB68" s="192">
        <f t="shared" si="45"/>
        <v>480</v>
      </c>
      <c r="AC68" s="684"/>
      <c r="AD68" s="264">
        <f t="shared" si="46"/>
        <v>480</v>
      </c>
      <c r="AE68" s="192">
        <f t="shared" si="47"/>
        <v>480</v>
      </c>
      <c r="AF68" s="192">
        <f t="shared" si="48"/>
        <v>480</v>
      </c>
      <c r="AG68" s="192">
        <f t="shared" si="49"/>
        <v>480</v>
      </c>
      <c r="AH68" s="684"/>
      <c r="AI68" s="265">
        <f t="shared" si="50"/>
        <v>1</v>
      </c>
      <c r="AJ68" s="266">
        <f t="shared" si="50"/>
        <v>1</v>
      </c>
      <c r="AK68" s="265">
        <f t="shared" si="50"/>
        <v>1</v>
      </c>
      <c r="AL68" s="265">
        <f t="shared" si="50"/>
        <v>1</v>
      </c>
    </row>
    <row r="69" spans="1:38" s="652" customFormat="1" ht="55.9" customHeight="1">
      <c r="A69" s="187">
        <v>7</v>
      </c>
      <c r="B69" s="649" t="s">
        <v>1080</v>
      </c>
      <c r="C69" s="188">
        <v>1</v>
      </c>
      <c r="D69" s="188">
        <v>1</v>
      </c>
      <c r="E69" s="188">
        <v>1</v>
      </c>
      <c r="F69" s="188">
        <v>1</v>
      </c>
      <c r="G69" s="188">
        <v>2.8</v>
      </c>
      <c r="H69" s="188">
        <v>2.8</v>
      </c>
      <c r="I69" s="188">
        <v>2.8</v>
      </c>
      <c r="J69" s="188">
        <v>2.8</v>
      </c>
      <c r="K69" s="188">
        <v>2.8</v>
      </c>
      <c r="L69" s="188">
        <v>2.8</v>
      </c>
      <c r="M69" s="685"/>
      <c r="N69" s="685"/>
      <c r="O69" s="189">
        <v>5</v>
      </c>
      <c r="P69" s="178" t="s">
        <v>1062</v>
      </c>
      <c r="Q69" s="190">
        <v>5</v>
      </c>
      <c r="R69" s="178" t="s">
        <v>1062</v>
      </c>
      <c r="S69" s="190">
        <v>5</v>
      </c>
      <c r="T69" s="178" t="s">
        <v>1062</v>
      </c>
      <c r="U69" s="190">
        <v>5</v>
      </c>
      <c r="V69" s="178" t="s">
        <v>1062</v>
      </c>
      <c r="W69" s="262">
        <v>30</v>
      </c>
      <c r="X69" s="684"/>
      <c r="Y69" s="263">
        <f t="shared" si="42"/>
        <v>420</v>
      </c>
      <c r="Z69" s="191">
        <f t="shared" si="43"/>
        <v>420</v>
      </c>
      <c r="AA69" s="191">
        <f t="shared" si="44"/>
        <v>420</v>
      </c>
      <c r="AB69" s="192">
        <f t="shared" si="45"/>
        <v>420</v>
      </c>
      <c r="AC69" s="684"/>
      <c r="AD69" s="264">
        <f t="shared" si="46"/>
        <v>420</v>
      </c>
      <c r="AE69" s="192">
        <f t="shared" si="47"/>
        <v>420</v>
      </c>
      <c r="AF69" s="192">
        <f t="shared" si="48"/>
        <v>420</v>
      </c>
      <c r="AG69" s="192">
        <f t="shared" si="49"/>
        <v>420</v>
      </c>
      <c r="AH69" s="684"/>
      <c r="AI69" s="265">
        <f t="shared" si="50"/>
        <v>1</v>
      </c>
      <c r="AJ69" s="266">
        <f t="shared" si="50"/>
        <v>1</v>
      </c>
      <c r="AK69" s="265">
        <f t="shared" si="50"/>
        <v>1</v>
      </c>
      <c r="AL69" s="265">
        <f t="shared" si="50"/>
        <v>1</v>
      </c>
    </row>
    <row r="70" spans="1:38" s="652" customFormat="1" ht="55.9" customHeight="1">
      <c r="A70" s="187">
        <v>8</v>
      </c>
      <c r="B70" s="649" t="s">
        <v>1081</v>
      </c>
      <c r="C70" s="188">
        <v>1</v>
      </c>
      <c r="D70" s="188">
        <v>1</v>
      </c>
      <c r="E70" s="188">
        <v>1</v>
      </c>
      <c r="F70" s="188">
        <v>1</v>
      </c>
      <c r="G70" s="188">
        <v>0.78</v>
      </c>
      <c r="H70" s="188">
        <v>0.78</v>
      </c>
      <c r="I70" s="188">
        <v>0.78</v>
      </c>
      <c r="J70" s="188">
        <v>0.78</v>
      </c>
      <c r="K70" s="188">
        <v>0.78</v>
      </c>
      <c r="L70" s="188">
        <v>0.78</v>
      </c>
      <c r="M70" s="685"/>
      <c r="N70" s="685"/>
      <c r="O70" s="189">
        <v>5</v>
      </c>
      <c r="P70" s="178" t="s">
        <v>1062</v>
      </c>
      <c r="Q70" s="190">
        <v>5</v>
      </c>
      <c r="R70" s="178" t="s">
        <v>1062</v>
      </c>
      <c r="S70" s="190">
        <v>5</v>
      </c>
      <c r="T70" s="178" t="s">
        <v>1062</v>
      </c>
      <c r="U70" s="190">
        <v>5</v>
      </c>
      <c r="V70" s="178" t="s">
        <v>1062</v>
      </c>
      <c r="W70" s="262">
        <v>30</v>
      </c>
      <c r="X70" s="684"/>
      <c r="Y70" s="263">
        <f t="shared" si="42"/>
        <v>117.00000000000001</v>
      </c>
      <c r="Z70" s="191">
        <f t="shared" si="43"/>
        <v>117.00000000000001</v>
      </c>
      <c r="AA70" s="191">
        <f t="shared" si="44"/>
        <v>117.00000000000001</v>
      </c>
      <c r="AB70" s="192">
        <f t="shared" si="45"/>
        <v>117.00000000000001</v>
      </c>
      <c r="AC70" s="684"/>
      <c r="AD70" s="264">
        <f t="shared" si="46"/>
        <v>117.00000000000001</v>
      </c>
      <c r="AE70" s="192">
        <f t="shared" si="47"/>
        <v>117.00000000000001</v>
      </c>
      <c r="AF70" s="192">
        <f t="shared" si="48"/>
        <v>117.00000000000001</v>
      </c>
      <c r="AG70" s="192">
        <f t="shared" si="49"/>
        <v>117.00000000000001</v>
      </c>
      <c r="AH70" s="684"/>
      <c r="AI70" s="265">
        <f t="shared" si="50"/>
        <v>1</v>
      </c>
      <c r="AJ70" s="266">
        <f t="shared" si="50"/>
        <v>1</v>
      </c>
      <c r="AK70" s="265">
        <f t="shared" si="50"/>
        <v>1</v>
      </c>
      <c r="AL70" s="265">
        <f t="shared" si="50"/>
        <v>1</v>
      </c>
    </row>
    <row r="71" spans="1:38" s="652" customFormat="1" ht="55.9" customHeight="1">
      <c r="A71" s="187">
        <v>9</v>
      </c>
      <c r="B71" s="649" t="s">
        <v>1082</v>
      </c>
      <c r="C71" s="188">
        <v>1</v>
      </c>
      <c r="D71" s="188">
        <v>1</v>
      </c>
      <c r="E71" s="188">
        <v>1</v>
      </c>
      <c r="F71" s="188">
        <v>1</v>
      </c>
      <c r="G71" s="188">
        <v>1.8</v>
      </c>
      <c r="H71" s="188">
        <v>1.8</v>
      </c>
      <c r="I71" s="188">
        <v>1.8</v>
      </c>
      <c r="J71" s="188">
        <v>1.8</v>
      </c>
      <c r="K71" s="188">
        <v>1.8</v>
      </c>
      <c r="L71" s="188">
        <v>1.8</v>
      </c>
      <c r="M71" s="685"/>
      <c r="N71" s="685"/>
      <c r="O71" s="189">
        <v>5</v>
      </c>
      <c r="P71" s="178" t="s">
        <v>1062</v>
      </c>
      <c r="Q71" s="190">
        <v>5</v>
      </c>
      <c r="R71" s="178" t="s">
        <v>1062</v>
      </c>
      <c r="S71" s="190">
        <v>5</v>
      </c>
      <c r="T71" s="178" t="s">
        <v>1062</v>
      </c>
      <c r="U71" s="190">
        <v>5</v>
      </c>
      <c r="V71" s="178" t="s">
        <v>1062</v>
      </c>
      <c r="W71" s="262">
        <v>30</v>
      </c>
      <c r="X71" s="684"/>
      <c r="Y71" s="263">
        <f t="shared" si="42"/>
        <v>270</v>
      </c>
      <c r="Z71" s="191">
        <f t="shared" si="43"/>
        <v>270</v>
      </c>
      <c r="AA71" s="191">
        <f t="shared" si="44"/>
        <v>270</v>
      </c>
      <c r="AB71" s="192">
        <f t="shared" si="45"/>
        <v>270</v>
      </c>
      <c r="AC71" s="684"/>
      <c r="AD71" s="264">
        <f t="shared" si="46"/>
        <v>270</v>
      </c>
      <c r="AE71" s="192">
        <f t="shared" si="47"/>
        <v>270</v>
      </c>
      <c r="AF71" s="192">
        <f t="shared" si="48"/>
        <v>270</v>
      </c>
      <c r="AG71" s="192">
        <f t="shared" si="49"/>
        <v>270</v>
      </c>
      <c r="AH71" s="684"/>
      <c r="AI71" s="265">
        <f t="shared" si="50"/>
        <v>1</v>
      </c>
      <c r="AJ71" s="266">
        <f t="shared" si="50"/>
        <v>1</v>
      </c>
      <c r="AK71" s="265">
        <f t="shared" si="50"/>
        <v>1</v>
      </c>
      <c r="AL71" s="265">
        <f t="shared" si="50"/>
        <v>1</v>
      </c>
    </row>
    <row r="72" spans="1:38" s="652" customFormat="1" ht="55.9" customHeight="1">
      <c r="A72" s="187">
        <v>10</v>
      </c>
      <c r="B72" s="649" t="s">
        <v>1083</v>
      </c>
      <c r="C72" s="188">
        <v>1</v>
      </c>
      <c r="D72" s="188">
        <v>1</v>
      </c>
      <c r="E72" s="188">
        <v>1</v>
      </c>
      <c r="F72" s="188">
        <v>1</v>
      </c>
      <c r="G72" s="188">
        <v>3.1</v>
      </c>
      <c r="H72" s="188">
        <v>3.1</v>
      </c>
      <c r="I72" s="188">
        <v>3.1</v>
      </c>
      <c r="J72" s="188">
        <v>3.1</v>
      </c>
      <c r="K72" s="188">
        <v>3.1</v>
      </c>
      <c r="L72" s="188">
        <v>3.1</v>
      </c>
      <c r="M72" s="187"/>
      <c r="N72" s="188"/>
      <c r="O72" s="189">
        <v>5</v>
      </c>
      <c r="P72" s="178" t="s">
        <v>1062</v>
      </c>
      <c r="Q72" s="190">
        <v>5</v>
      </c>
      <c r="R72" s="178" t="s">
        <v>1062</v>
      </c>
      <c r="S72" s="190">
        <v>5</v>
      </c>
      <c r="T72" s="178" t="s">
        <v>1062</v>
      </c>
      <c r="U72" s="190">
        <v>5</v>
      </c>
      <c r="V72" s="178" t="s">
        <v>1062</v>
      </c>
      <c r="W72" s="262">
        <v>30</v>
      </c>
      <c r="X72" s="650"/>
      <c r="Y72" s="263">
        <f t="shared" si="42"/>
        <v>465</v>
      </c>
      <c r="Z72" s="191">
        <f t="shared" si="43"/>
        <v>465</v>
      </c>
      <c r="AA72" s="191">
        <f t="shared" si="44"/>
        <v>465</v>
      </c>
      <c r="AB72" s="192">
        <f t="shared" si="45"/>
        <v>465</v>
      </c>
      <c r="AC72" s="651"/>
      <c r="AD72" s="264">
        <f t="shared" si="46"/>
        <v>465</v>
      </c>
      <c r="AE72" s="192">
        <f t="shared" si="47"/>
        <v>465</v>
      </c>
      <c r="AF72" s="192">
        <f t="shared" si="48"/>
        <v>465</v>
      </c>
      <c r="AG72" s="192">
        <f t="shared" si="49"/>
        <v>465</v>
      </c>
      <c r="AH72" s="266"/>
      <c r="AI72" s="265">
        <f t="shared" si="50"/>
        <v>1</v>
      </c>
      <c r="AJ72" s="266">
        <f t="shared" si="50"/>
        <v>1</v>
      </c>
      <c r="AK72" s="265">
        <f t="shared" si="50"/>
        <v>1</v>
      </c>
      <c r="AL72" s="265">
        <f t="shared" si="50"/>
        <v>1</v>
      </c>
    </row>
    <row r="73" spans="1:38" s="652" customFormat="1" ht="55.9" customHeight="1">
      <c r="A73" s="187">
        <v>11</v>
      </c>
      <c r="B73" s="649" t="s">
        <v>1084</v>
      </c>
      <c r="C73" s="188">
        <v>1</v>
      </c>
      <c r="D73" s="188">
        <v>1</v>
      </c>
      <c r="E73" s="188">
        <v>1</v>
      </c>
      <c r="F73" s="188">
        <v>1</v>
      </c>
      <c r="G73" s="188">
        <v>2.9</v>
      </c>
      <c r="H73" s="188">
        <v>2.9</v>
      </c>
      <c r="I73" s="188">
        <v>2.9</v>
      </c>
      <c r="J73" s="188">
        <v>2.9</v>
      </c>
      <c r="K73" s="188">
        <v>2.9</v>
      </c>
      <c r="L73" s="188">
        <v>2.9</v>
      </c>
      <c r="M73" s="187"/>
      <c r="N73" s="188"/>
      <c r="O73" s="189">
        <v>5</v>
      </c>
      <c r="P73" s="178" t="s">
        <v>1062</v>
      </c>
      <c r="Q73" s="190">
        <v>5</v>
      </c>
      <c r="R73" s="178" t="s">
        <v>1062</v>
      </c>
      <c r="S73" s="190">
        <v>5</v>
      </c>
      <c r="T73" s="178" t="s">
        <v>1062</v>
      </c>
      <c r="U73" s="190">
        <v>5</v>
      </c>
      <c r="V73" s="178" t="s">
        <v>1062</v>
      </c>
      <c r="W73" s="262">
        <v>30</v>
      </c>
      <c r="X73" s="650"/>
      <c r="Y73" s="263">
        <f t="shared" si="42"/>
        <v>435</v>
      </c>
      <c r="Z73" s="191">
        <f t="shared" si="43"/>
        <v>435</v>
      </c>
      <c r="AA73" s="191">
        <f t="shared" si="44"/>
        <v>435</v>
      </c>
      <c r="AB73" s="192">
        <f t="shared" si="45"/>
        <v>435</v>
      </c>
      <c r="AC73" s="651"/>
      <c r="AD73" s="264">
        <f t="shared" si="46"/>
        <v>435</v>
      </c>
      <c r="AE73" s="192">
        <f t="shared" si="47"/>
        <v>435</v>
      </c>
      <c r="AF73" s="192">
        <f t="shared" si="48"/>
        <v>435</v>
      </c>
      <c r="AG73" s="192">
        <f t="shared" si="49"/>
        <v>435</v>
      </c>
      <c r="AH73" s="266"/>
      <c r="AI73" s="265">
        <f t="shared" si="50"/>
        <v>1</v>
      </c>
      <c r="AJ73" s="266">
        <f t="shared" si="50"/>
        <v>1</v>
      </c>
      <c r="AK73" s="265">
        <f t="shared" si="50"/>
        <v>1</v>
      </c>
      <c r="AL73" s="265">
        <f t="shared" si="50"/>
        <v>1</v>
      </c>
    </row>
    <row r="74" spans="1:38" s="652" customFormat="1" ht="55.9" customHeight="1">
      <c r="A74" s="187">
        <v>12</v>
      </c>
      <c r="B74" s="649" t="s">
        <v>1085</v>
      </c>
      <c r="C74" s="188">
        <v>1</v>
      </c>
      <c r="D74" s="188">
        <v>1</v>
      </c>
      <c r="E74" s="188">
        <v>1</v>
      </c>
      <c r="F74" s="188">
        <v>1</v>
      </c>
      <c r="G74" s="188">
        <v>5</v>
      </c>
      <c r="H74" s="188">
        <v>5</v>
      </c>
      <c r="I74" s="188">
        <v>5</v>
      </c>
      <c r="J74" s="188">
        <v>5</v>
      </c>
      <c r="K74" s="188">
        <v>5</v>
      </c>
      <c r="L74" s="188">
        <v>5</v>
      </c>
      <c r="M74" s="187"/>
      <c r="N74" s="188"/>
      <c r="O74" s="189">
        <v>5</v>
      </c>
      <c r="P74" s="178" t="s">
        <v>1062</v>
      </c>
      <c r="Q74" s="190">
        <v>5</v>
      </c>
      <c r="R74" s="178" t="s">
        <v>1062</v>
      </c>
      <c r="S74" s="190">
        <v>5</v>
      </c>
      <c r="T74" s="178" t="s">
        <v>1062</v>
      </c>
      <c r="U74" s="190">
        <v>5</v>
      </c>
      <c r="V74" s="178" t="s">
        <v>1062</v>
      </c>
      <c r="W74" s="262">
        <v>30</v>
      </c>
      <c r="X74" s="650"/>
      <c r="Y74" s="263">
        <f t="shared" si="42"/>
        <v>750</v>
      </c>
      <c r="Z74" s="191">
        <f t="shared" si="43"/>
        <v>750</v>
      </c>
      <c r="AA74" s="191">
        <f t="shared" si="44"/>
        <v>750</v>
      </c>
      <c r="AB74" s="192">
        <f t="shared" si="45"/>
        <v>750</v>
      </c>
      <c r="AC74" s="651"/>
      <c r="AD74" s="264">
        <f t="shared" si="46"/>
        <v>750</v>
      </c>
      <c r="AE74" s="192">
        <f t="shared" si="47"/>
        <v>750</v>
      </c>
      <c r="AF74" s="192">
        <f t="shared" si="48"/>
        <v>750</v>
      </c>
      <c r="AG74" s="192">
        <f t="shared" si="49"/>
        <v>750</v>
      </c>
      <c r="AH74" s="266"/>
      <c r="AI74" s="265">
        <f t="shared" si="50"/>
        <v>1</v>
      </c>
      <c r="AJ74" s="266">
        <f t="shared" si="50"/>
        <v>1</v>
      </c>
      <c r="AK74" s="265">
        <f t="shared" si="50"/>
        <v>1</v>
      </c>
      <c r="AL74" s="265">
        <f t="shared" si="50"/>
        <v>1</v>
      </c>
    </row>
    <row r="75" spans="1:38" s="652" customFormat="1" ht="55.9" customHeight="1">
      <c r="A75" s="187">
        <v>13</v>
      </c>
      <c r="B75" s="649" t="s">
        <v>1086</v>
      </c>
      <c r="C75" s="188">
        <v>1</v>
      </c>
      <c r="D75" s="188">
        <v>1</v>
      </c>
      <c r="E75" s="188">
        <v>1</v>
      </c>
      <c r="F75" s="188">
        <v>1</v>
      </c>
      <c r="G75" s="188">
        <v>0.49</v>
      </c>
      <c r="H75" s="188">
        <v>0.49</v>
      </c>
      <c r="I75" s="188">
        <v>0.49</v>
      </c>
      <c r="J75" s="188">
        <v>0.49</v>
      </c>
      <c r="K75" s="188">
        <v>0.49</v>
      </c>
      <c r="L75" s="188">
        <v>0.49</v>
      </c>
      <c r="M75" s="187"/>
      <c r="N75" s="188"/>
      <c r="O75" s="189">
        <v>5</v>
      </c>
      <c r="P75" s="178" t="s">
        <v>1062</v>
      </c>
      <c r="Q75" s="190">
        <v>5</v>
      </c>
      <c r="R75" s="178" t="s">
        <v>1062</v>
      </c>
      <c r="S75" s="190">
        <v>5</v>
      </c>
      <c r="T75" s="178" t="s">
        <v>1062</v>
      </c>
      <c r="U75" s="190">
        <v>5</v>
      </c>
      <c r="V75" s="178" t="s">
        <v>1062</v>
      </c>
      <c r="W75" s="262">
        <v>30</v>
      </c>
      <c r="X75" s="650"/>
      <c r="Y75" s="263">
        <f t="shared" si="42"/>
        <v>73.5</v>
      </c>
      <c r="Z75" s="191">
        <f t="shared" si="43"/>
        <v>73.5</v>
      </c>
      <c r="AA75" s="191">
        <f t="shared" si="44"/>
        <v>73.5</v>
      </c>
      <c r="AB75" s="192">
        <f t="shared" si="45"/>
        <v>73.5</v>
      </c>
      <c r="AC75" s="651"/>
      <c r="AD75" s="264">
        <f t="shared" si="46"/>
        <v>73.5</v>
      </c>
      <c r="AE75" s="192">
        <f t="shared" si="47"/>
        <v>73.5</v>
      </c>
      <c r="AF75" s="192">
        <f t="shared" si="48"/>
        <v>73.5</v>
      </c>
      <c r="AG75" s="192">
        <f t="shared" si="49"/>
        <v>73.5</v>
      </c>
      <c r="AH75" s="266"/>
      <c r="AI75" s="265">
        <f t="shared" si="50"/>
        <v>1</v>
      </c>
      <c r="AJ75" s="266">
        <f t="shared" si="50"/>
        <v>1</v>
      </c>
      <c r="AK75" s="265">
        <f t="shared" si="50"/>
        <v>1</v>
      </c>
      <c r="AL75" s="265">
        <f t="shared" si="50"/>
        <v>1</v>
      </c>
    </row>
    <row r="76" spans="1:38" s="652" customFormat="1" ht="55.9" customHeight="1">
      <c r="A76" s="187">
        <v>14</v>
      </c>
      <c r="B76" s="649" t="s">
        <v>1087</v>
      </c>
      <c r="C76" s="188">
        <v>1</v>
      </c>
      <c r="D76" s="188">
        <v>1</v>
      </c>
      <c r="E76" s="188">
        <v>1</v>
      </c>
      <c r="F76" s="188">
        <v>1</v>
      </c>
      <c r="G76" s="188">
        <v>0.54</v>
      </c>
      <c r="H76" s="188">
        <v>0.54</v>
      </c>
      <c r="I76" s="188">
        <v>0.54</v>
      </c>
      <c r="J76" s="188">
        <v>0.54</v>
      </c>
      <c r="K76" s="188">
        <v>0.54</v>
      </c>
      <c r="L76" s="188">
        <v>0.54</v>
      </c>
      <c r="M76" s="187"/>
      <c r="N76" s="188"/>
      <c r="O76" s="189">
        <v>5</v>
      </c>
      <c r="P76" s="178" t="s">
        <v>1062</v>
      </c>
      <c r="Q76" s="190">
        <v>5</v>
      </c>
      <c r="R76" s="178" t="s">
        <v>1062</v>
      </c>
      <c r="S76" s="190">
        <v>5</v>
      </c>
      <c r="T76" s="178" t="s">
        <v>1062</v>
      </c>
      <c r="U76" s="190">
        <v>5</v>
      </c>
      <c r="V76" s="178" t="s">
        <v>1062</v>
      </c>
      <c r="W76" s="262">
        <v>30</v>
      </c>
      <c r="X76" s="650"/>
      <c r="Y76" s="263">
        <f t="shared" si="42"/>
        <v>81</v>
      </c>
      <c r="Z76" s="191">
        <f t="shared" si="43"/>
        <v>81</v>
      </c>
      <c r="AA76" s="191">
        <f t="shared" si="44"/>
        <v>81</v>
      </c>
      <c r="AB76" s="192">
        <f t="shared" si="45"/>
        <v>81</v>
      </c>
      <c r="AC76" s="651"/>
      <c r="AD76" s="264">
        <f t="shared" si="46"/>
        <v>81</v>
      </c>
      <c r="AE76" s="192">
        <f t="shared" si="47"/>
        <v>81</v>
      </c>
      <c r="AF76" s="192">
        <f t="shared" si="48"/>
        <v>81</v>
      </c>
      <c r="AG76" s="192">
        <f t="shared" si="49"/>
        <v>81</v>
      </c>
      <c r="AH76" s="266"/>
      <c r="AI76" s="265">
        <f t="shared" si="50"/>
        <v>1</v>
      </c>
      <c r="AJ76" s="266">
        <f t="shared" si="50"/>
        <v>1</v>
      </c>
      <c r="AK76" s="265">
        <f t="shared" si="50"/>
        <v>1</v>
      </c>
      <c r="AL76" s="265">
        <f t="shared" si="50"/>
        <v>1</v>
      </c>
    </row>
    <row r="77" spans="1:38" s="652" customFormat="1" ht="55.9" customHeight="1">
      <c r="A77" s="187">
        <v>15</v>
      </c>
      <c r="B77" s="649" t="s">
        <v>1088</v>
      </c>
      <c r="C77" s="188">
        <v>1</v>
      </c>
      <c r="D77" s="188">
        <v>1</v>
      </c>
      <c r="E77" s="188">
        <v>1</v>
      </c>
      <c r="F77" s="188">
        <v>1</v>
      </c>
      <c r="G77" s="188">
        <v>0.41</v>
      </c>
      <c r="H77" s="188">
        <v>0.41</v>
      </c>
      <c r="I77" s="188">
        <v>0.41</v>
      </c>
      <c r="J77" s="188">
        <v>0.41</v>
      </c>
      <c r="K77" s="188">
        <v>0.41</v>
      </c>
      <c r="L77" s="188">
        <v>0.41</v>
      </c>
      <c r="M77" s="187"/>
      <c r="N77" s="188"/>
      <c r="O77" s="189">
        <v>5</v>
      </c>
      <c r="P77" s="178" t="s">
        <v>1062</v>
      </c>
      <c r="Q77" s="190">
        <v>5</v>
      </c>
      <c r="R77" s="178" t="s">
        <v>1062</v>
      </c>
      <c r="S77" s="190">
        <v>5</v>
      </c>
      <c r="T77" s="178" t="s">
        <v>1062</v>
      </c>
      <c r="U77" s="190">
        <v>5</v>
      </c>
      <c r="V77" s="178" t="s">
        <v>1062</v>
      </c>
      <c r="W77" s="262">
        <v>30</v>
      </c>
      <c r="X77" s="650"/>
      <c r="Y77" s="263">
        <f t="shared" si="42"/>
        <v>61.499999999999993</v>
      </c>
      <c r="Z77" s="191">
        <f t="shared" si="43"/>
        <v>61.499999999999993</v>
      </c>
      <c r="AA77" s="191">
        <f t="shared" si="44"/>
        <v>61.499999999999993</v>
      </c>
      <c r="AB77" s="192">
        <f t="shared" si="45"/>
        <v>61.499999999999993</v>
      </c>
      <c r="AC77" s="651"/>
      <c r="AD77" s="264">
        <f t="shared" si="46"/>
        <v>61.499999999999993</v>
      </c>
      <c r="AE77" s="192">
        <f t="shared" si="47"/>
        <v>61.499999999999993</v>
      </c>
      <c r="AF77" s="192">
        <f t="shared" si="48"/>
        <v>61.499999999999993</v>
      </c>
      <c r="AG77" s="192">
        <f t="shared" si="49"/>
        <v>61.499999999999993</v>
      </c>
      <c r="AH77" s="266"/>
      <c r="AI77" s="265">
        <f t="shared" si="50"/>
        <v>1</v>
      </c>
      <c r="AJ77" s="266">
        <f t="shared" si="50"/>
        <v>1</v>
      </c>
      <c r="AK77" s="265">
        <f t="shared" si="50"/>
        <v>1</v>
      </c>
      <c r="AL77" s="265">
        <f t="shared" si="50"/>
        <v>1</v>
      </c>
    </row>
    <row r="78" spans="1:38" s="652" customFormat="1" ht="55.9" customHeight="1">
      <c r="A78" s="187">
        <v>16</v>
      </c>
      <c r="B78" s="649" t="s">
        <v>1089</v>
      </c>
      <c r="C78" s="188">
        <v>1</v>
      </c>
      <c r="D78" s="188">
        <v>1</v>
      </c>
      <c r="E78" s="188">
        <v>1</v>
      </c>
      <c r="F78" s="188">
        <v>1</v>
      </c>
      <c r="G78" s="188">
        <v>4.0999999999999996</v>
      </c>
      <c r="H78" s="188">
        <v>4.0999999999999996</v>
      </c>
      <c r="I78" s="188">
        <v>4.0999999999999996</v>
      </c>
      <c r="J78" s="188">
        <v>4.0999999999999996</v>
      </c>
      <c r="K78" s="188">
        <v>4.0999999999999996</v>
      </c>
      <c r="L78" s="188">
        <v>4.0999999999999996</v>
      </c>
      <c r="M78" s="187"/>
      <c r="N78" s="188"/>
      <c r="O78" s="189">
        <v>5</v>
      </c>
      <c r="P78" s="178" t="s">
        <v>1062</v>
      </c>
      <c r="Q78" s="190">
        <v>5</v>
      </c>
      <c r="R78" s="178" t="s">
        <v>1062</v>
      </c>
      <c r="S78" s="190">
        <v>5</v>
      </c>
      <c r="T78" s="178" t="s">
        <v>1062</v>
      </c>
      <c r="U78" s="190">
        <v>5</v>
      </c>
      <c r="V78" s="178" t="s">
        <v>1062</v>
      </c>
      <c r="W78" s="262">
        <v>30</v>
      </c>
      <c r="X78" s="650"/>
      <c r="Y78" s="263">
        <f t="shared" si="42"/>
        <v>615</v>
      </c>
      <c r="Z78" s="191">
        <f t="shared" si="43"/>
        <v>615</v>
      </c>
      <c r="AA78" s="191">
        <f t="shared" si="44"/>
        <v>615</v>
      </c>
      <c r="AB78" s="192">
        <f t="shared" si="45"/>
        <v>615</v>
      </c>
      <c r="AC78" s="651"/>
      <c r="AD78" s="264">
        <f t="shared" si="46"/>
        <v>615</v>
      </c>
      <c r="AE78" s="192">
        <f t="shared" si="47"/>
        <v>615</v>
      </c>
      <c r="AF78" s="192">
        <f t="shared" si="48"/>
        <v>615</v>
      </c>
      <c r="AG78" s="192">
        <f t="shared" si="49"/>
        <v>615</v>
      </c>
      <c r="AH78" s="266"/>
      <c r="AI78" s="265">
        <f t="shared" si="50"/>
        <v>1</v>
      </c>
      <c r="AJ78" s="266">
        <f t="shared" si="50"/>
        <v>1</v>
      </c>
      <c r="AK78" s="265">
        <f t="shared" si="50"/>
        <v>1</v>
      </c>
      <c r="AL78" s="265">
        <f t="shared" si="50"/>
        <v>1</v>
      </c>
    </row>
    <row r="79" spans="1:38" s="652" customFormat="1" ht="55.9" customHeight="1">
      <c r="A79" s="187">
        <v>17</v>
      </c>
      <c r="B79" s="649" t="s">
        <v>1090</v>
      </c>
      <c r="C79" s="188">
        <v>1</v>
      </c>
      <c r="D79" s="188">
        <v>1</v>
      </c>
      <c r="E79" s="188">
        <v>1</v>
      </c>
      <c r="F79" s="188">
        <v>1</v>
      </c>
      <c r="G79" s="188">
        <v>1.6</v>
      </c>
      <c r="H79" s="188">
        <v>1.6</v>
      </c>
      <c r="I79" s="188">
        <v>1.6</v>
      </c>
      <c r="J79" s="188">
        <v>1.6</v>
      </c>
      <c r="K79" s="188">
        <v>1.6</v>
      </c>
      <c r="L79" s="188">
        <v>1.6</v>
      </c>
      <c r="M79" s="187"/>
      <c r="N79" s="188"/>
      <c r="O79" s="189">
        <v>5</v>
      </c>
      <c r="P79" s="178" t="s">
        <v>1062</v>
      </c>
      <c r="Q79" s="190">
        <v>5</v>
      </c>
      <c r="R79" s="178" t="s">
        <v>1062</v>
      </c>
      <c r="S79" s="190">
        <v>5</v>
      </c>
      <c r="T79" s="178" t="s">
        <v>1062</v>
      </c>
      <c r="U79" s="190">
        <v>5</v>
      </c>
      <c r="V79" s="178" t="s">
        <v>1062</v>
      </c>
      <c r="W79" s="262">
        <v>30</v>
      </c>
      <c r="X79" s="650"/>
      <c r="Y79" s="263">
        <f t="shared" si="42"/>
        <v>240</v>
      </c>
      <c r="Z79" s="191">
        <f t="shared" si="43"/>
        <v>240</v>
      </c>
      <c r="AA79" s="191">
        <f t="shared" si="44"/>
        <v>240</v>
      </c>
      <c r="AB79" s="192">
        <f t="shared" si="45"/>
        <v>240</v>
      </c>
      <c r="AC79" s="651"/>
      <c r="AD79" s="264">
        <f t="shared" si="46"/>
        <v>240</v>
      </c>
      <c r="AE79" s="192">
        <f t="shared" si="47"/>
        <v>240</v>
      </c>
      <c r="AF79" s="192">
        <f t="shared" si="48"/>
        <v>240</v>
      </c>
      <c r="AG79" s="192">
        <f t="shared" si="49"/>
        <v>240</v>
      </c>
      <c r="AH79" s="266"/>
      <c r="AI79" s="265">
        <f t="shared" si="50"/>
        <v>1</v>
      </c>
      <c r="AJ79" s="266">
        <f t="shared" si="50"/>
        <v>1</v>
      </c>
      <c r="AK79" s="265">
        <f t="shared" si="50"/>
        <v>1</v>
      </c>
      <c r="AL79" s="265">
        <f t="shared" si="50"/>
        <v>1</v>
      </c>
    </row>
    <row r="80" spans="1:38" s="652" customFormat="1" ht="55.9" customHeight="1">
      <c r="A80" s="187">
        <v>18</v>
      </c>
      <c r="B80" s="649" t="s">
        <v>1091</v>
      </c>
      <c r="C80" s="188">
        <v>1</v>
      </c>
      <c r="D80" s="188">
        <v>1</v>
      </c>
      <c r="E80" s="188">
        <v>1</v>
      </c>
      <c r="F80" s="188">
        <v>1</v>
      </c>
      <c r="G80" s="188">
        <v>0.41</v>
      </c>
      <c r="H80" s="188">
        <v>0.41</v>
      </c>
      <c r="I80" s="188">
        <v>0.41</v>
      </c>
      <c r="J80" s="188">
        <v>0.41</v>
      </c>
      <c r="K80" s="188">
        <v>0.41</v>
      </c>
      <c r="L80" s="188">
        <v>0.41</v>
      </c>
      <c r="M80" s="187"/>
      <c r="N80" s="188"/>
      <c r="O80" s="189">
        <v>5</v>
      </c>
      <c r="P80" s="178" t="s">
        <v>1062</v>
      </c>
      <c r="Q80" s="190">
        <v>5</v>
      </c>
      <c r="R80" s="178" t="s">
        <v>1062</v>
      </c>
      <c r="S80" s="190">
        <v>5</v>
      </c>
      <c r="T80" s="178" t="s">
        <v>1062</v>
      </c>
      <c r="U80" s="190">
        <v>5</v>
      </c>
      <c r="V80" s="178" t="s">
        <v>1062</v>
      </c>
      <c r="W80" s="262">
        <v>30</v>
      </c>
      <c r="X80" s="650"/>
      <c r="Y80" s="263">
        <f t="shared" si="42"/>
        <v>61.499999999999993</v>
      </c>
      <c r="Z80" s="191">
        <f t="shared" si="43"/>
        <v>61.499999999999993</v>
      </c>
      <c r="AA80" s="191">
        <f t="shared" si="44"/>
        <v>61.499999999999993</v>
      </c>
      <c r="AB80" s="192">
        <f t="shared" si="45"/>
        <v>61.499999999999993</v>
      </c>
      <c r="AC80" s="651"/>
      <c r="AD80" s="264">
        <f t="shared" si="46"/>
        <v>61.499999999999993</v>
      </c>
      <c r="AE80" s="192">
        <f t="shared" si="47"/>
        <v>61.499999999999993</v>
      </c>
      <c r="AF80" s="192">
        <f t="shared" si="48"/>
        <v>61.499999999999993</v>
      </c>
      <c r="AG80" s="192">
        <f t="shared" si="49"/>
        <v>61.499999999999993</v>
      </c>
      <c r="AH80" s="266"/>
      <c r="AI80" s="265">
        <f t="shared" si="50"/>
        <v>1</v>
      </c>
      <c r="AJ80" s="266">
        <f t="shared" si="50"/>
        <v>1</v>
      </c>
      <c r="AK80" s="265">
        <f t="shared" si="50"/>
        <v>1</v>
      </c>
      <c r="AL80" s="265">
        <f t="shared" si="50"/>
        <v>1</v>
      </c>
    </row>
    <row r="81" spans="1:38" s="652" customFormat="1" ht="55.9" customHeight="1">
      <c r="A81" s="187">
        <v>19</v>
      </c>
      <c r="B81" s="649" t="s">
        <v>1092</v>
      </c>
      <c r="C81" s="188">
        <v>1</v>
      </c>
      <c r="D81" s="188">
        <v>1</v>
      </c>
      <c r="E81" s="188">
        <v>1</v>
      </c>
      <c r="F81" s="188">
        <v>1</v>
      </c>
      <c r="G81" s="188">
        <v>1.6</v>
      </c>
      <c r="H81" s="188">
        <v>1.6</v>
      </c>
      <c r="I81" s="188">
        <v>1.6</v>
      </c>
      <c r="J81" s="188">
        <v>1.6</v>
      </c>
      <c r="K81" s="188">
        <v>1.6</v>
      </c>
      <c r="L81" s="188">
        <v>1.6</v>
      </c>
      <c r="M81" s="187"/>
      <c r="N81" s="188"/>
      <c r="O81" s="189">
        <v>5</v>
      </c>
      <c r="P81" s="178" t="s">
        <v>1062</v>
      </c>
      <c r="Q81" s="190">
        <v>5</v>
      </c>
      <c r="R81" s="178" t="s">
        <v>1062</v>
      </c>
      <c r="S81" s="190">
        <v>5</v>
      </c>
      <c r="T81" s="178" t="s">
        <v>1062</v>
      </c>
      <c r="U81" s="190">
        <v>5</v>
      </c>
      <c r="V81" s="178" t="s">
        <v>1062</v>
      </c>
      <c r="W81" s="262">
        <v>30</v>
      </c>
      <c r="X81" s="650"/>
      <c r="Y81" s="263">
        <f t="shared" si="42"/>
        <v>240</v>
      </c>
      <c r="Z81" s="191">
        <f t="shared" si="43"/>
        <v>240</v>
      </c>
      <c r="AA81" s="191">
        <f t="shared" si="44"/>
        <v>240</v>
      </c>
      <c r="AB81" s="192">
        <f t="shared" si="45"/>
        <v>240</v>
      </c>
      <c r="AC81" s="651"/>
      <c r="AD81" s="264">
        <f t="shared" si="46"/>
        <v>240</v>
      </c>
      <c r="AE81" s="192">
        <f t="shared" si="47"/>
        <v>240</v>
      </c>
      <c r="AF81" s="192">
        <f t="shared" si="48"/>
        <v>240</v>
      </c>
      <c r="AG81" s="192">
        <f t="shared" si="49"/>
        <v>240</v>
      </c>
      <c r="AH81" s="266"/>
      <c r="AI81" s="265">
        <f t="shared" si="50"/>
        <v>1</v>
      </c>
      <c r="AJ81" s="266">
        <f t="shared" si="50"/>
        <v>1</v>
      </c>
      <c r="AK81" s="265">
        <f t="shared" si="50"/>
        <v>1</v>
      </c>
      <c r="AL81" s="265">
        <f t="shared" si="50"/>
        <v>1</v>
      </c>
    </row>
    <row r="82" spans="1:38" s="664" customFormat="1" ht="55.9" customHeight="1">
      <c r="A82" s="642" t="s">
        <v>411</v>
      </c>
      <c r="B82" s="775" t="s">
        <v>1093</v>
      </c>
      <c r="C82" s="776"/>
      <c r="D82" s="776"/>
      <c r="E82" s="776"/>
      <c r="F82" s="776"/>
      <c r="G82" s="776"/>
      <c r="H82" s="776"/>
      <c r="I82" s="776"/>
      <c r="J82" s="776"/>
      <c r="K82" s="776"/>
      <c r="L82" s="776"/>
      <c r="M82" s="776"/>
      <c r="N82" s="776"/>
      <c r="O82" s="776"/>
      <c r="P82" s="776"/>
      <c r="Q82" s="776"/>
      <c r="R82" s="776"/>
      <c r="S82" s="776"/>
      <c r="T82" s="776"/>
      <c r="U82" s="776"/>
      <c r="V82" s="776"/>
      <c r="W82" s="776"/>
      <c r="X82" s="776"/>
      <c r="Y82" s="776"/>
      <c r="Z82" s="776"/>
      <c r="AA82" s="776"/>
      <c r="AB82" s="776"/>
      <c r="AC82" s="776"/>
      <c r="AD82" s="776"/>
      <c r="AE82" s="776"/>
      <c r="AF82" s="776"/>
      <c r="AG82" s="776"/>
      <c r="AH82" s="776"/>
      <c r="AI82" s="776"/>
      <c r="AJ82" s="776"/>
      <c r="AK82" s="776"/>
      <c r="AL82" s="777"/>
    </row>
    <row r="83" spans="1:38" s="652" customFormat="1" ht="55.9" customHeight="1">
      <c r="A83" s="188">
        <v>1</v>
      </c>
      <c r="B83" s="665" t="s">
        <v>1094</v>
      </c>
      <c r="C83" s="190">
        <v>5</v>
      </c>
      <c r="D83" s="190">
        <v>5</v>
      </c>
      <c r="E83" s="190">
        <v>5</v>
      </c>
      <c r="F83" s="190">
        <v>5</v>
      </c>
      <c r="G83" s="190">
        <v>2.2000000000000002</v>
      </c>
      <c r="H83" s="190">
        <v>2.2000000000000002</v>
      </c>
      <c r="I83" s="190">
        <v>2.2000000000000002</v>
      </c>
      <c r="J83" s="190">
        <v>2.2000000000000002</v>
      </c>
      <c r="K83" s="190">
        <v>2.2000000000000002</v>
      </c>
      <c r="L83" s="190">
        <v>2.2000000000000002</v>
      </c>
      <c r="M83" s="189">
        <v>3</v>
      </c>
      <c r="N83" s="178"/>
      <c r="O83" s="189">
        <v>15.5</v>
      </c>
      <c r="P83" s="178" t="s">
        <v>1095</v>
      </c>
      <c r="Q83" s="189">
        <v>15.5</v>
      </c>
      <c r="R83" s="178" t="s">
        <v>1095</v>
      </c>
      <c r="S83" s="189">
        <v>15.5</v>
      </c>
      <c r="T83" s="178" t="s">
        <v>1095</v>
      </c>
      <c r="U83" s="189">
        <v>15.5</v>
      </c>
      <c r="V83" s="178" t="s">
        <v>1095</v>
      </c>
      <c r="W83" s="197">
        <v>30</v>
      </c>
      <c r="X83" s="666" t="e">
        <f>#REF!*G83*M83*W83</f>
        <v>#REF!</v>
      </c>
      <c r="Y83" s="194">
        <f>C83*G83*O83*W83</f>
        <v>5115</v>
      </c>
      <c r="Z83" s="192">
        <f>D83*G83*Q83*W83</f>
        <v>5115</v>
      </c>
      <c r="AA83" s="192">
        <f>E83*G83*S83*W83</f>
        <v>5115</v>
      </c>
      <c r="AB83" s="192">
        <f>F83*G83*U83*W83</f>
        <v>5115</v>
      </c>
      <c r="AC83" s="193" t="e">
        <f>#REF!*H83*M83*W83</f>
        <v>#REF!</v>
      </c>
      <c r="AD83" s="194">
        <f>C83*I83*O83*W83</f>
        <v>5115</v>
      </c>
      <c r="AE83" s="192">
        <f>D83*J83*Q83*W83</f>
        <v>5115</v>
      </c>
      <c r="AF83" s="192">
        <f>E83*L83*S83*W83</f>
        <v>5115</v>
      </c>
      <c r="AG83" s="192">
        <f>F83*L83*U83*W83</f>
        <v>5115</v>
      </c>
      <c r="AH83" s="195" t="e">
        <f t="shared" ref="AH83:AL85" si="51">AC83/X83</f>
        <v>#REF!</v>
      </c>
      <c r="AI83" s="196">
        <f t="shared" si="51"/>
        <v>1</v>
      </c>
      <c r="AJ83" s="196">
        <f t="shared" si="51"/>
        <v>1</v>
      </c>
      <c r="AK83" s="196">
        <f t="shared" si="51"/>
        <v>1</v>
      </c>
      <c r="AL83" s="196">
        <f t="shared" si="51"/>
        <v>1</v>
      </c>
    </row>
    <row r="84" spans="1:38" s="652" customFormat="1" ht="55.9" customHeight="1">
      <c r="A84" s="188">
        <v>2</v>
      </c>
      <c r="B84" s="665" t="s">
        <v>1096</v>
      </c>
      <c r="C84" s="190">
        <v>5</v>
      </c>
      <c r="D84" s="190">
        <v>5</v>
      </c>
      <c r="E84" s="190">
        <v>5</v>
      </c>
      <c r="F84" s="190">
        <v>5</v>
      </c>
      <c r="G84" s="190">
        <v>2.2000000000000002</v>
      </c>
      <c r="H84" s="190">
        <v>2.2000000000000002</v>
      </c>
      <c r="I84" s="190">
        <v>2.2000000000000002</v>
      </c>
      <c r="J84" s="190">
        <v>2.2000000000000002</v>
      </c>
      <c r="K84" s="190">
        <v>2.2000000000000002</v>
      </c>
      <c r="L84" s="190">
        <v>2.2000000000000002</v>
      </c>
      <c r="M84" s="189">
        <v>3</v>
      </c>
      <c r="N84" s="205"/>
      <c r="O84" s="189">
        <v>15.5</v>
      </c>
      <c r="P84" s="178" t="s">
        <v>1095</v>
      </c>
      <c r="Q84" s="189">
        <v>15.5</v>
      </c>
      <c r="R84" s="178" t="s">
        <v>1095</v>
      </c>
      <c r="S84" s="189">
        <v>15.5</v>
      </c>
      <c r="T84" s="178" t="s">
        <v>1095</v>
      </c>
      <c r="U84" s="189">
        <v>15.5</v>
      </c>
      <c r="V84" s="178" t="s">
        <v>1095</v>
      </c>
      <c r="W84" s="198">
        <v>30</v>
      </c>
      <c r="X84" s="666" t="e">
        <f>#REF!*G84*M84*W84</f>
        <v>#REF!</v>
      </c>
      <c r="Y84" s="193">
        <f>C84*G84*O84*W84</f>
        <v>5115</v>
      </c>
      <c r="Z84" s="199">
        <f>D84*G84*Q84*W84</f>
        <v>5115</v>
      </c>
      <c r="AA84" s="199">
        <f>E84*G84*S84*W84</f>
        <v>5115</v>
      </c>
      <c r="AB84" s="199">
        <f>F84*G84*U84*W84</f>
        <v>5115</v>
      </c>
      <c r="AC84" s="193" t="e">
        <f>#REF!*H84*M84*W84</f>
        <v>#REF!</v>
      </c>
      <c r="AD84" s="193">
        <f>C84*I84*O84*W84</f>
        <v>5115</v>
      </c>
      <c r="AE84" s="199">
        <f>D84*J84*Q84*W84</f>
        <v>5115</v>
      </c>
      <c r="AF84" s="199">
        <f>E84*L84*S84*W84</f>
        <v>5115</v>
      </c>
      <c r="AG84" s="199">
        <f>F84*L84*U84*W84</f>
        <v>5115</v>
      </c>
      <c r="AH84" s="195" t="e">
        <f t="shared" si="51"/>
        <v>#REF!</v>
      </c>
      <c r="AI84" s="195">
        <f t="shared" si="51"/>
        <v>1</v>
      </c>
      <c r="AJ84" s="195">
        <f t="shared" si="51"/>
        <v>1</v>
      </c>
      <c r="AK84" s="195">
        <f t="shared" si="51"/>
        <v>1</v>
      </c>
      <c r="AL84" s="195">
        <f t="shared" si="51"/>
        <v>1</v>
      </c>
    </row>
    <row r="85" spans="1:38" s="652" customFormat="1" ht="55.9" customHeight="1">
      <c r="A85" s="188">
        <v>3</v>
      </c>
      <c r="B85" s="665" t="s">
        <v>1097</v>
      </c>
      <c r="C85" s="188">
        <v>2</v>
      </c>
      <c r="D85" s="188">
        <v>2</v>
      </c>
      <c r="E85" s="188">
        <v>2</v>
      </c>
      <c r="F85" s="188">
        <v>2</v>
      </c>
      <c r="G85" s="188">
        <v>1.2</v>
      </c>
      <c r="H85" s="188">
        <v>1.2</v>
      </c>
      <c r="I85" s="188">
        <v>1.2</v>
      </c>
      <c r="J85" s="188">
        <v>1.2</v>
      </c>
      <c r="K85" s="188">
        <v>1.2</v>
      </c>
      <c r="L85" s="188">
        <v>1.2</v>
      </c>
      <c r="M85" s="189">
        <v>3</v>
      </c>
      <c r="N85" s="205"/>
      <c r="O85" s="189">
        <v>15.5</v>
      </c>
      <c r="P85" s="178" t="s">
        <v>1095</v>
      </c>
      <c r="Q85" s="189">
        <v>15.5</v>
      </c>
      <c r="R85" s="178" t="s">
        <v>1095</v>
      </c>
      <c r="S85" s="189">
        <v>15.5</v>
      </c>
      <c r="T85" s="178" t="s">
        <v>1095</v>
      </c>
      <c r="U85" s="189">
        <v>15.5</v>
      </c>
      <c r="V85" s="178" t="s">
        <v>1095</v>
      </c>
      <c r="W85" s="198">
        <v>30</v>
      </c>
      <c r="X85" s="666" t="e">
        <f>#REF!*G85*M85*W85</f>
        <v>#REF!</v>
      </c>
      <c r="Y85" s="193">
        <f>C85*G85*O85*W85</f>
        <v>1115.9999999999998</v>
      </c>
      <c r="Z85" s="199">
        <f>D85*G85*Q85*W85</f>
        <v>1115.9999999999998</v>
      </c>
      <c r="AA85" s="199">
        <f>E85*G85*S85*W85</f>
        <v>1115.9999999999998</v>
      </c>
      <c r="AB85" s="199">
        <f>F85*G85*U85*W85</f>
        <v>1115.9999999999998</v>
      </c>
      <c r="AC85" s="193" t="e">
        <f>#REF!*H85*M85*W85</f>
        <v>#REF!</v>
      </c>
      <c r="AD85" s="193">
        <f>C85*I85*O85*W85</f>
        <v>1115.9999999999998</v>
      </c>
      <c r="AE85" s="199">
        <f>D85*J85*Q85*W85</f>
        <v>1115.9999999999998</v>
      </c>
      <c r="AF85" s="199">
        <f>E85*L85*S85*W85</f>
        <v>1115.9999999999998</v>
      </c>
      <c r="AG85" s="199">
        <f>F85*L85*U85*W85</f>
        <v>1115.9999999999998</v>
      </c>
      <c r="AH85" s="195" t="e">
        <f t="shared" si="51"/>
        <v>#REF!</v>
      </c>
      <c r="AI85" s="195">
        <f t="shared" si="51"/>
        <v>1</v>
      </c>
      <c r="AJ85" s="195">
        <f t="shared" si="51"/>
        <v>1</v>
      </c>
      <c r="AK85" s="195">
        <f t="shared" si="51"/>
        <v>1</v>
      </c>
      <c r="AL85" s="195">
        <f t="shared" si="51"/>
        <v>1</v>
      </c>
    </row>
    <row r="86" spans="1:38" s="664" customFormat="1" ht="55.9" customHeight="1">
      <c r="A86" s="642" t="s">
        <v>413</v>
      </c>
      <c r="B86" s="775" t="s">
        <v>1098</v>
      </c>
      <c r="C86" s="776"/>
      <c r="D86" s="776"/>
      <c r="E86" s="776"/>
      <c r="F86" s="776"/>
      <c r="G86" s="776"/>
      <c r="H86" s="776"/>
      <c r="I86" s="776"/>
      <c r="J86" s="776"/>
      <c r="K86" s="776"/>
      <c r="L86" s="776"/>
      <c r="M86" s="776"/>
      <c r="N86" s="776"/>
      <c r="O86" s="776"/>
      <c r="P86" s="776"/>
      <c r="Q86" s="776"/>
      <c r="R86" s="776"/>
      <c r="S86" s="776"/>
      <c r="T86" s="776"/>
      <c r="U86" s="776"/>
      <c r="V86" s="776"/>
      <c r="W86" s="776"/>
      <c r="X86" s="776"/>
      <c r="Y86" s="776"/>
      <c r="Z86" s="776"/>
      <c r="AA86" s="776"/>
      <c r="AB86" s="776"/>
      <c r="AC86" s="776"/>
      <c r="AD86" s="776"/>
      <c r="AE86" s="776"/>
      <c r="AF86" s="776"/>
      <c r="AG86" s="776"/>
      <c r="AH86" s="776"/>
      <c r="AI86" s="776"/>
      <c r="AJ86" s="776"/>
      <c r="AK86" s="776"/>
      <c r="AL86" s="777"/>
    </row>
    <row r="87" spans="1:38" s="652" customFormat="1" ht="131.25">
      <c r="A87" s="188">
        <v>1</v>
      </c>
      <c r="B87" s="665" t="s">
        <v>1099</v>
      </c>
      <c r="C87" s="190">
        <v>1</v>
      </c>
      <c r="D87" s="190">
        <v>1</v>
      </c>
      <c r="E87" s="190">
        <v>1</v>
      </c>
      <c r="F87" s="190">
        <v>1</v>
      </c>
      <c r="G87" s="190">
        <v>87</v>
      </c>
      <c r="H87" s="190">
        <v>87</v>
      </c>
      <c r="I87" s="190">
        <v>87</v>
      </c>
      <c r="J87" s="190">
        <v>87</v>
      </c>
      <c r="K87" s="190">
        <v>87</v>
      </c>
      <c r="L87" s="190">
        <v>87</v>
      </c>
      <c r="M87" s="189">
        <v>3</v>
      </c>
      <c r="N87" s="178"/>
      <c r="O87" s="189">
        <v>3</v>
      </c>
      <c r="P87" s="178" t="s">
        <v>1100</v>
      </c>
      <c r="Q87" s="189">
        <v>5</v>
      </c>
      <c r="R87" s="178" t="s">
        <v>1100</v>
      </c>
      <c r="S87" s="189">
        <v>5</v>
      </c>
      <c r="T87" s="178" t="s">
        <v>1100</v>
      </c>
      <c r="U87" s="189">
        <v>8</v>
      </c>
      <c r="V87" s="178" t="s">
        <v>1100</v>
      </c>
      <c r="W87" s="197">
        <v>30</v>
      </c>
      <c r="X87" s="666" t="e">
        <f>#REF!*G87*M87*W87</f>
        <v>#REF!</v>
      </c>
      <c r="Y87" s="264">
        <f>C87*G87*O87*W87</f>
        <v>7830</v>
      </c>
      <c r="Z87" s="192">
        <f>D87*G87*Q87*W87</f>
        <v>13050</v>
      </c>
      <c r="AA87" s="192">
        <f>E87*G87*S87*W87</f>
        <v>13050</v>
      </c>
      <c r="AB87" s="192">
        <f>F87*G87*U87*W87</f>
        <v>20880</v>
      </c>
      <c r="AC87" s="651" t="e">
        <f>#REF!*H87*M87*W87</f>
        <v>#REF!</v>
      </c>
      <c r="AD87" s="264">
        <f>C87*I87*O87*W87</f>
        <v>7830</v>
      </c>
      <c r="AE87" s="192">
        <f>D87*J87*Q87*W87</f>
        <v>13050</v>
      </c>
      <c r="AF87" s="192">
        <f>E87*L87*S87*W87</f>
        <v>13050</v>
      </c>
      <c r="AG87" s="192">
        <f>F87*L87*U87*W87</f>
        <v>20880</v>
      </c>
      <c r="AH87" s="266" t="e">
        <f t="shared" ref="AH87:AL90" si="52">AC87/X87</f>
        <v>#REF!</v>
      </c>
      <c r="AI87" s="265">
        <f t="shared" si="52"/>
        <v>1</v>
      </c>
      <c r="AJ87" s="265">
        <f t="shared" si="52"/>
        <v>1</v>
      </c>
      <c r="AK87" s="265">
        <f t="shared" si="52"/>
        <v>1</v>
      </c>
      <c r="AL87" s="265">
        <f t="shared" si="52"/>
        <v>1</v>
      </c>
    </row>
    <row r="88" spans="1:38" s="652" customFormat="1" ht="168.75">
      <c r="A88" s="188">
        <v>2</v>
      </c>
      <c r="B88" s="667" t="s">
        <v>1639</v>
      </c>
      <c r="C88" s="190">
        <v>2</v>
      </c>
      <c r="D88" s="190">
        <v>2</v>
      </c>
      <c r="E88" s="190">
        <v>2</v>
      </c>
      <c r="F88" s="190">
        <v>2</v>
      </c>
      <c r="G88" s="190">
        <v>124.9</v>
      </c>
      <c r="H88" s="190">
        <v>124.9</v>
      </c>
      <c r="I88" s="190">
        <v>124.9</v>
      </c>
      <c r="J88" s="190">
        <v>124.9</v>
      </c>
      <c r="K88" s="190">
        <v>124.9</v>
      </c>
      <c r="L88" s="190">
        <v>124.9</v>
      </c>
      <c r="M88" s="189"/>
      <c r="N88" s="178"/>
      <c r="O88" s="189">
        <v>5</v>
      </c>
      <c r="P88" s="178" t="s">
        <v>1640</v>
      </c>
      <c r="Q88" s="189">
        <v>5</v>
      </c>
      <c r="R88" s="178" t="s">
        <v>1640</v>
      </c>
      <c r="S88" s="189">
        <v>6</v>
      </c>
      <c r="T88" s="178" t="s">
        <v>1640</v>
      </c>
      <c r="U88" s="189">
        <v>9</v>
      </c>
      <c r="V88" s="178" t="s">
        <v>1640</v>
      </c>
      <c r="W88" s="197">
        <v>31</v>
      </c>
      <c r="X88" s="666"/>
      <c r="Y88" s="264">
        <f t="shared" ref="Y88:Y90" si="53">C88*G88*O88*W88</f>
        <v>38719</v>
      </c>
      <c r="Z88" s="192">
        <f t="shared" ref="Z88:Z90" si="54">D88*G88*Q88*W88</f>
        <v>38719</v>
      </c>
      <c r="AA88" s="192">
        <f t="shared" ref="AA88:AA90" si="55">E88*G88*S88*W88</f>
        <v>46462.8</v>
      </c>
      <c r="AB88" s="192">
        <f t="shared" ref="AB88:AB90" si="56">F88*G88*U88*W88</f>
        <v>69694.200000000012</v>
      </c>
      <c r="AC88" s="651" t="e">
        <f>#REF!*H88*M88*W88</f>
        <v>#REF!</v>
      </c>
      <c r="AD88" s="264">
        <f t="shared" ref="AD88:AD90" si="57">C88*I88*O88*W88</f>
        <v>38719</v>
      </c>
      <c r="AE88" s="192">
        <f t="shared" ref="AE88:AE90" si="58">D88*J88*Q88*W88</f>
        <v>38719</v>
      </c>
      <c r="AF88" s="192">
        <f t="shared" ref="AF88:AF90" si="59">E88*L88*S88*W88</f>
        <v>46462.8</v>
      </c>
      <c r="AG88" s="192">
        <f t="shared" ref="AG88:AG90" si="60">F88*L88*U88*W88</f>
        <v>69694.200000000012</v>
      </c>
      <c r="AH88" s="266" t="e">
        <f t="shared" si="52"/>
        <v>#REF!</v>
      </c>
      <c r="AI88" s="265">
        <f t="shared" si="52"/>
        <v>1</v>
      </c>
      <c r="AJ88" s="265">
        <f t="shared" si="52"/>
        <v>1</v>
      </c>
      <c r="AK88" s="265">
        <f t="shared" si="52"/>
        <v>1</v>
      </c>
      <c r="AL88" s="265">
        <f t="shared" si="52"/>
        <v>1</v>
      </c>
    </row>
    <row r="89" spans="1:38" s="652" customFormat="1" ht="243.75">
      <c r="A89" s="188">
        <v>3</v>
      </c>
      <c r="B89" s="665" t="s">
        <v>1101</v>
      </c>
      <c r="C89" s="190">
        <v>3</v>
      </c>
      <c r="D89" s="190">
        <v>3</v>
      </c>
      <c r="E89" s="190">
        <v>3</v>
      </c>
      <c r="F89" s="190">
        <v>3</v>
      </c>
      <c r="G89" s="190">
        <v>4.6500000000000004</v>
      </c>
      <c r="H89" s="190">
        <v>4.6500000000000004</v>
      </c>
      <c r="I89" s="190">
        <v>4.6500000000000004</v>
      </c>
      <c r="J89" s="190">
        <v>4.6500000000000004</v>
      </c>
      <c r="K89" s="190">
        <v>4.6500000000000004</v>
      </c>
      <c r="L89" s="190">
        <v>4.6500000000000004</v>
      </c>
      <c r="M89" s="189">
        <v>3</v>
      </c>
      <c r="N89" s="178"/>
      <c r="O89" s="189">
        <v>3</v>
      </c>
      <c r="P89" s="178" t="s">
        <v>1102</v>
      </c>
      <c r="Q89" s="189">
        <v>5</v>
      </c>
      <c r="R89" s="178" t="s">
        <v>1102</v>
      </c>
      <c r="S89" s="189">
        <v>5</v>
      </c>
      <c r="T89" s="178" t="s">
        <v>1102</v>
      </c>
      <c r="U89" s="189">
        <v>8</v>
      </c>
      <c r="V89" s="178" t="s">
        <v>1102</v>
      </c>
      <c r="W89" s="197">
        <v>30</v>
      </c>
      <c r="X89" s="666" t="e">
        <f>#REF!*G89*M89*W89</f>
        <v>#REF!</v>
      </c>
      <c r="Y89" s="264">
        <f t="shared" si="53"/>
        <v>1255.5</v>
      </c>
      <c r="Z89" s="192">
        <f t="shared" si="54"/>
        <v>2092.5</v>
      </c>
      <c r="AA89" s="192">
        <f t="shared" si="55"/>
        <v>2092.5</v>
      </c>
      <c r="AB89" s="192">
        <f t="shared" si="56"/>
        <v>3348.0000000000005</v>
      </c>
      <c r="AC89" s="651" t="e">
        <f>#REF!*H89*M89*W89</f>
        <v>#REF!</v>
      </c>
      <c r="AD89" s="264">
        <f t="shared" si="57"/>
        <v>1255.5</v>
      </c>
      <c r="AE89" s="192">
        <f t="shared" si="58"/>
        <v>2092.5</v>
      </c>
      <c r="AF89" s="192">
        <f t="shared" si="59"/>
        <v>2092.5</v>
      </c>
      <c r="AG89" s="192">
        <f t="shared" si="60"/>
        <v>3348.0000000000005</v>
      </c>
      <c r="AH89" s="266" t="e">
        <f t="shared" si="52"/>
        <v>#REF!</v>
      </c>
      <c r="AI89" s="265">
        <f t="shared" si="52"/>
        <v>1</v>
      </c>
      <c r="AJ89" s="265">
        <f t="shared" si="52"/>
        <v>1</v>
      </c>
      <c r="AK89" s="265">
        <f t="shared" si="52"/>
        <v>1</v>
      </c>
      <c r="AL89" s="265">
        <f t="shared" si="52"/>
        <v>1</v>
      </c>
    </row>
    <row r="90" spans="1:38" s="652" customFormat="1" ht="131.25">
      <c r="A90" s="188">
        <v>4</v>
      </c>
      <c r="B90" s="668" t="s">
        <v>1103</v>
      </c>
      <c r="C90" s="267">
        <v>1</v>
      </c>
      <c r="D90" s="267">
        <v>1</v>
      </c>
      <c r="E90" s="267">
        <v>1</v>
      </c>
      <c r="F90" s="267">
        <v>1</v>
      </c>
      <c r="G90" s="267">
        <v>4.6500000000000004</v>
      </c>
      <c r="H90" s="267">
        <v>4.6500000000000004</v>
      </c>
      <c r="I90" s="267">
        <v>4.6500000000000004</v>
      </c>
      <c r="J90" s="267">
        <v>4.6500000000000004</v>
      </c>
      <c r="K90" s="267">
        <v>4.6500000000000004</v>
      </c>
      <c r="L90" s="267">
        <v>4.6500000000000004</v>
      </c>
      <c r="M90" s="202">
        <v>3</v>
      </c>
      <c r="N90" s="267"/>
      <c r="O90" s="202">
        <v>3</v>
      </c>
      <c r="P90" s="267" t="s">
        <v>1100</v>
      </c>
      <c r="Q90" s="202">
        <v>5</v>
      </c>
      <c r="R90" s="267" t="s">
        <v>1100</v>
      </c>
      <c r="S90" s="202">
        <v>5</v>
      </c>
      <c r="T90" s="267" t="s">
        <v>1100</v>
      </c>
      <c r="U90" s="202">
        <v>8</v>
      </c>
      <c r="V90" s="267" t="s">
        <v>1100</v>
      </c>
      <c r="W90" s="202">
        <v>30</v>
      </c>
      <c r="X90" s="669" t="e">
        <f>#REF!*G90*M90*W90</f>
        <v>#REF!</v>
      </c>
      <c r="Y90" s="268">
        <f t="shared" si="53"/>
        <v>418.50000000000006</v>
      </c>
      <c r="Z90" s="203">
        <f t="shared" si="54"/>
        <v>697.5</v>
      </c>
      <c r="AA90" s="203">
        <f t="shared" si="55"/>
        <v>697.5</v>
      </c>
      <c r="AB90" s="203">
        <f t="shared" si="56"/>
        <v>1116</v>
      </c>
      <c r="AC90" s="263" t="e">
        <f>#REF!*H90*M90*W90</f>
        <v>#REF!</v>
      </c>
      <c r="AD90" s="268">
        <f t="shared" si="57"/>
        <v>418.50000000000006</v>
      </c>
      <c r="AE90" s="203">
        <f t="shared" si="58"/>
        <v>697.5</v>
      </c>
      <c r="AF90" s="203">
        <f t="shared" si="59"/>
        <v>697.5</v>
      </c>
      <c r="AG90" s="203">
        <f t="shared" si="60"/>
        <v>1116</v>
      </c>
      <c r="AH90" s="270" t="e">
        <f t="shared" si="52"/>
        <v>#REF!</v>
      </c>
      <c r="AI90" s="269">
        <f t="shared" si="52"/>
        <v>1</v>
      </c>
      <c r="AJ90" s="269">
        <f t="shared" si="52"/>
        <v>1</v>
      </c>
      <c r="AK90" s="269">
        <f t="shared" si="52"/>
        <v>1</v>
      </c>
      <c r="AL90" s="269">
        <f t="shared" si="52"/>
        <v>1</v>
      </c>
    </row>
    <row r="91" spans="1:38" s="670" customFormat="1" ht="55.9" customHeight="1">
      <c r="A91" s="642" t="s">
        <v>415</v>
      </c>
      <c r="B91" s="778" t="s">
        <v>1641</v>
      </c>
      <c r="C91" s="779"/>
      <c r="D91" s="779"/>
      <c r="E91" s="779"/>
      <c r="F91" s="779"/>
      <c r="G91" s="779"/>
      <c r="H91" s="779"/>
      <c r="I91" s="779"/>
      <c r="J91" s="779"/>
      <c r="K91" s="779"/>
      <c r="L91" s="779"/>
      <c r="M91" s="779"/>
      <c r="N91" s="779"/>
      <c r="O91" s="779"/>
      <c r="P91" s="779"/>
      <c r="Q91" s="779"/>
      <c r="R91" s="779"/>
      <c r="S91" s="779"/>
      <c r="T91" s="779"/>
      <c r="U91" s="779"/>
      <c r="V91" s="779"/>
      <c r="W91" s="779"/>
      <c r="X91" s="779"/>
      <c r="Y91" s="779"/>
      <c r="Z91" s="779"/>
      <c r="AA91" s="779"/>
      <c r="AB91" s="779"/>
      <c r="AC91" s="779"/>
      <c r="AD91" s="779"/>
      <c r="AE91" s="779"/>
      <c r="AF91" s="779"/>
      <c r="AG91" s="779"/>
      <c r="AH91" s="779"/>
      <c r="AI91" s="779"/>
      <c r="AJ91" s="779"/>
      <c r="AK91" s="779"/>
      <c r="AL91" s="780"/>
    </row>
    <row r="92" spans="1:38" s="652" customFormat="1" ht="57" customHeight="1">
      <c r="A92" s="190">
        <v>1</v>
      </c>
      <c r="B92" s="661" t="s">
        <v>1642</v>
      </c>
      <c r="C92" s="661">
        <v>4</v>
      </c>
      <c r="D92" s="661">
        <v>4</v>
      </c>
      <c r="E92" s="661">
        <v>4</v>
      </c>
      <c r="F92" s="661">
        <v>4</v>
      </c>
      <c r="G92" s="176">
        <v>16.8</v>
      </c>
      <c r="H92" s="176">
        <v>16.8</v>
      </c>
      <c r="I92" s="176">
        <v>16.8</v>
      </c>
      <c r="J92" s="176">
        <v>16.8</v>
      </c>
      <c r="K92" s="176">
        <v>16.8</v>
      </c>
      <c r="L92" s="176">
        <v>16.8</v>
      </c>
      <c r="M92" s="176"/>
      <c r="N92" s="176"/>
      <c r="O92" s="176">
        <v>1</v>
      </c>
      <c r="P92" s="190" t="s">
        <v>1643</v>
      </c>
      <c r="Q92" s="176">
        <v>1</v>
      </c>
      <c r="R92" s="190" t="s">
        <v>1643</v>
      </c>
      <c r="S92" s="176">
        <v>1</v>
      </c>
      <c r="T92" s="190" t="s">
        <v>1643</v>
      </c>
      <c r="U92" s="176">
        <v>1</v>
      </c>
      <c r="V92" s="190" t="s">
        <v>1643</v>
      </c>
      <c r="W92" s="661">
        <v>1</v>
      </c>
      <c r="X92" s="671"/>
      <c r="Y92" s="268">
        <f t="shared" ref="Y92:Y93" si="61">C92*G92*O92*W92</f>
        <v>67.2</v>
      </c>
      <c r="Z92" s="203">
        <f t="shared" ref="Z92:Z93" si="62">D92*G92*Q92*W92</f>
        <v>67.2</v>
      </c>
      <c r="AA92" s="203">
        <f t="shared" ref="AA92:AA93" si="63">E92*G92*S92*W92</f>
        <v>67.2</v>
      </c>
      <c r="AB92" s="203">
        <f t="shared" ref="AB92:AB93" si="64">F92*G92*U92*W92</f>
        <v>67.2</v>
      </c>
      <c r="AC92" s="268" t="e">
        <f>#REF!*H92*M92*W92</f>
        <v>#REF!</v>
      </c>
      <c r="AD92" s="268">
        <f t="shared" ref="AD92:AD93" si="65">C92*I92*O92*W92</f>
        <v>67.2</v>
      </c>
      <c r="AE92" s="203">
        <f t="shared" ref="AE92:AE93" si="66">D92*J92*Q92*W92</f>
        <v>67.2</v>
      </c>
      <c r="AF92" s="203">
        <f t="shared" ref="AF92:AF93" si="67">E92*L92*S92*W92</f>
        <v>67.2</v>
      </c>
      <c r="AG92" s="203">
        <f t="shared" ref="AG92:AG93" si="68">F92*L92*U92*W92</f>
        <v>67.2</v>
      </c>
      <c r="AH92" s="269" t="e">
        <f t="shared" ref="AH92:AL93" si="69">AC92/X92</f>
        <v>#REF!</v>
      </c>
      <c r="AI92" s="269">
        <f t="shared" si="69"/>
        <v>1</v>
      </c>
      <c r="AJ92" s="269">
        <f t="shared" si="69"/>
        <v>1</v>
      </c>
      <c r="AK92" s="269">
        <f t="shared" si="69"/>
        <v>1</v>
      </c>
      <c r="AL92" s="269">
        <f t="shared" si="69"/>
        <v>1</v>
      </c>
    </row>
    <row r="93" spans="1:38" s="652" customFormat="1" ht="57" customHeight="1">
      <c r="A93" s="188">
        <v>2</v>
      </c>
      <c r="B93" s="663" t="s">
        <v>1644</v>
      </c>
      <c r="C93" s="663">
        <v>4</v>
      </c>
      <c r="D93" s="663">
        <v>4</v>
      </c>
      <c r="E93" s="663">
        <v>4</v>
      </c>
      <c r="F93" s="663">
        <v>4</v>
      </c>
      <c r="G93" s="174">
        <v>13.6</v>
      </c>
      <c r="H93" s="174">
        <v>13.6</v>
      </c>
      <c r="I93" s="174">
        <v>13.6</v>
      </c>
      <c r="J93" s="174">
        <v>13.6</v>
      </c>
      <c r="K93" s="174">
        <v>13.6</v>
      </c>
      <c r="L93" s="174">
        <v>13.6</v>
      </c>
      <c r="M93" s="174"/>
      <c r="N93" s="174"/>
      <c r="O93" s="174">
        <v>1</v>
      </c>
      <c r="P93" s="188" t="s">
        <v>1643</v>
      </c>
      <c r="Q93" s="174">
        <v>1</v>
      </c>
      <c r="R93" s="188" t="s">
        <v>1643</v>
      </c>
      <c r="S93" s="174">
        <v>1</v>
      </c>
      <c r="T93" s="188" t="s">
        <v>1643</v>
      </c>
      <c r="U93" s="174">
        <v>1</v>
      </c>
      <c r="V93" s="188" t="s">
        <v>1643</v>
      </c>
      <c r="W93" s="663">
        <v>1</v>
      </c>
      <c r="X93" s="666"/>
      <c r="Y93" s="268">
        <f t="shared" si="61"/>
        <v>54.4</v>
      </c>
      <c r="Z93" s="203">
        <f t="shared" si="62"/>
        <v>54.4</v>
      </c>
      <c r="AA93" s="203">
        <f t="shared" si="63"/>
        <v>54.4</v>
      </c>
      <c r="AB93" s="203">
        <f t="shared" si="64"/>
        <v>54.4</v>
      </c>
      <c r="AC93" s="263" t="e">
        <f>#REF!*H93*M93*W93</f>
        <v>#REF!</v>
      </c>
      <c r="AD93" s="268">
        <f t="shared" si="65"/>
        <v>54.4</v>
      </c>
      <c r="AE93" s="203">
        <f t="shared" si="66"/>
        <v>54.4</v>
      </c>
      <c r="AF93" s="203">
        <f t="shared" si="67"/>
        <v>54.4</v>
      </c>
      <c r="AG93" s="203">
        <f t="shared" si="68"/>
        <v>54.4</v>
      </c>
      <c r="AH93" s="270" t="e">
        <f t="shared" si="69"/>
        <v>#REF!</v>
      </c>
      <c r="AI93" s="269">
        <f t="shared" si="69"/>
        <v>1</v>
      </c>
      <c r="AJ93" s="269">
        <f t="shared" si="69"/>
        <v>1</v>
      </c>
      <c r="AK93" s="269">
        <f t="shared" si="69"/>
        <v>1</v>
      </c>
      <c r="AL93" s="269">
        <f t="shared" si="69"/>
        <v>1</v>
      </c>
    </row>
    <row r="94" spans="1:38" s="654" customFormat="1" ht="55.9" customHeight="1">
      <c r="A94" s="642" t="s">
        <v>415</v>
      </c>
      <c r="B94" s="775" t="s">
        <v>1104</v>
      </c>
      <c r="C94" s="776"/>
      <c r="D94" s="776"/>
      <c r="E94" s="776"/>
      <c r="F94" s="776"/>
      <c r="G94" s="776"/>
      <c r="H94" s="776"/>
      <c r="I94" s="776"/>
      <c r="J94" s="776"/>
      <c r="K94" s="776"/>
      <c r="L94" s="776"/>
      <c r="M94" s="776"/>
      <c r="N94" s="776"/>
      <c r="O94" s="776"/>
      <c r="P94" s="776"/>
      <c r="Q94" s="776"/>
      <c r="R94" s="776"/>
      <c r="S94" s="776"/>
      <c r="T94" s="776"/>
      <c r="U94" s="776"/>
      <c r="V94" s="776"/>
      <c r="W94" s="776"/>
      <c r="X94" s="776"/>
      <c r="Y94" s="776"/>
      <c r="Z94" s="776"/>
      <c r="AA94" s="776"/>
      <c r="AB94" s="776"/>
      <c r="AC94" s="776"/>
      <c r="AD94" s="776"/>
      <c r="AE94" s="776"/>
      <c r="AF94" s="776"/>
      <c r="AG94" s="776"/>
      <c r="AH94" s="776"/>
      <c r="AI94" s="776"/>
      <c r="AJ94" s="776"/>
      <c r="AK94" s="776"/>
      <c r="AL94" s="777"/>
    </row>
    <row r="95" spans="1:38" s="652" customFormat="1" ht="55.9" customHeight="1">
      <c r="A95" s="188">
        <v>1</v>
      </c>
      <c r="B95" s="672" t="s">
        <v>1105</v>
      </c>
      <c r="C95" s="190">
        <v>9</v>
      </c>
      <c r="D95" s="190">
        <v>9</v>
      </c>
      <c r="E95" s="190">
        <v>9</v>
      </c>
      <c r="F95" s="190">
        <v>9</v>
      </c>
      <c r="G95" s="190">
        <v>2.2000000000000002</v>
      </c>
      <c r="H95" s="190">
        <v>2.2000000000000002</v>
      </c>
      <c r="I95" s="190">
        <v>2.2000000000000002</v>
      </c>
      <c r="J95" s="190">
        <v>2.2000000000000002</v>
      </c>
      <c r="K95" s="190">
        <v>2.2000000000000002</v>
      </c>
      <c r="L95" s="190">
        <v>2.2000000000000002</v>
      </c>
      <c r="M95" s="189">
        <v>3</v>
      </c>
      <c r="N95" s="205"/>
      <c r="O95" s="189">
        <v>9</v>
      </c>
      <c r="P95" s="178" t="s">
        <v>1044</v>
      </c>
      <c r="Q95" s="189">
        <v>9</v>
      </c>
      <c r="R95" s="178" t="s">
        <v>1044</v>
      </c>
      <c r="S95" s="189">
        <v>9</v>
      </c>
      <c r="T95" s="178" t="s">
        <v>1044</v>
      </c>
      <c r="U95" s="189">
        <v>9</v>
      </c>
      <c r="V95" s="178" t="s">
        <v>1044</v>
      </c>
      <c r="W95" s="198">
        <v>30</v>
      </c>
      <c r="X95" s="666" t="e">
        <f>#REF!*G95*M95*W95</f>
        <v>#REF!</v>
      </c>
      <c r="Y95" s="194">
        <f t="shared" ref="Y95:Y97" si="70">C95*G95*O95*W95</f>
        <v>5346.0000000000009</v>
      </c>
      <c r="Z95" s="192">
        <f t="shared" ref="Z95:Z97" si="71">D95*G95*Q95*W95</f>
        <v>5346.0000000000009</v>
      </c>
      <c r="AA95" s="192">
        <f t="shared" ref="AA95:AA97" si="72">E95*G95*S95*W95</f>
        <v>5346.0000000000009</v>
      </c>
      <c r="AB95" s="192">
        <f t="shared" ref="AB95:AB97" si="73">F95*G95*U95*W95</f>
        <v>5346.0000000000009</v>
      </c>
      <c r="AC95" s="193" t="e">
        <f>#REF!*H95*M95*W95</f>
        <v>#REF!</v>
      </c>
      <c r="AD95" s="194">
        <f t="shared" ref="AD95:AD97" si="74">C95*I95*O95*W95</f>
        <v>5346.0000000000009</v>
      </c>
      <c r="AE95" s="192">
        <f t="shared" ref="AE95:AE97" si="75">D95*J95*Q95*W95</f>
        <v>5346.0000000000009</v>
      </c>
      <c r="AF95" s="192">
        <f t="shared" ref="AF95:AF97" si="76">E95*L95*S95*W95</f>
        <v>5346.0000000000009</v>
      </c>
      <c r="AG95" s="192">
        <f t="shared" ref="AG95:AG97" si="77">F95*L95*U95*W95</f>
        <v>5346.0000000000009</v>
      </c>
      <c r="AH95" s="195" t="e">
        <f t="shared" ref="AH95:AL97" si="78">AC95/X95</f>
        <v>#REF!</v>
      </c>
      <c r="AI95" s="196">
        <f t="shared" si="78"/>
        <v>1</v>
      </c>
      <c r="AJ95" s="196">
        <f t="shared" si="78"/>
        <v>1</v>
      </c>
      <c r="AK95" s="196">
        <f t="shared" si="78"/>
        <v>1</v>
      </c>
      <c r="AL95" s="196">
        <f t="shared" si="78"/>
        <v>1</v>
      </c>
    </row>
    <row r="96" spans="1:38" s="652" customFormat="1" ht="55.9" customHeight="1">
      <c r="A96" s="188">
        <v>2</v>
      </c>
      <c r="B96" s="672" t="s">
        <v>1106</v>
      </c>
      <c r="C96" s="190">
        <v>6</v>
      </c>
      <c r="D96" s="190">
        <v>6</v>
      </c>
      <c r="E96" s="190">
        <v>6</v>
      </c>
      <c r="F96" s="190">
        <v>6</v>
      </c>
      <c r="G96" s="190">
        <v>3</v>
      </c>
      <c r="H96" s="190">
        <v>3</v>
      </c>
      <c r="I96" s="190">
        <v>3</v>
      </c>
      <c r="J96" s="190">
        <v>3</v>
      </c>
      <c r="K96" s="190">
        <v>3</v>
      </c>
      <c r="L96" s="190">
        <v>3</v>
      </c>
      <c r="M96" s="189"/>
      <c r="N96" s="205"/>
      <c r="O96" s="189">
        <v>9</v>
      </c>
      <c r="P96" s="178" t="s">
        <v>1044</v>
      </c>
      <c r="Q96" s="189">
        <v>9</v>
      </c>
      <c r="R96" s="178" t="s">
        <v>1044</v>
      </c>
      <c r="S96" s="189">
        <v>9</v>
      </c>
      <c r="T96" s="178" t="s">
        <v>1044</v>
      </c>
      <c r="U96" s="189">
        <v>9</v>
      </c>
      <c r="V96" s="178" t="s">
        <v>1044</v>
      </c>
      <c r="W96" s="198">
        <v>30</v>
      </c>
      <c r="X96" s="666"/>
      <c r="Y96" s="194">
        <f t="shared" si="70"/>
        <v>4860</v>
      </c>
      <c r="Z96" s="192">
        <f t="shared" si="71"/>
        <v>4860</v>
      </c>
      <c r="AA96" s="192">
        <f t="shared" si="72"/>
        <v>4860</v>
      </c>
      <c r="AB96" s="192">
        <f t="shared" si="73"/>
        <v>4860</v>
      </c>
      <c r="AC96" s="193" t="e">
        <f>#REF!*H96*M96*W96</f>
        <v>#REF!</v>
      </c>
      <c r="AD96" s="194">
        <f t="shared" si="74"/>
        <v>4860</v>
      </c>
      <c r="AE96" s="192">
        <f t="shared" si="75"/>
        <v>4860</v>
      </c>
      <c r="AF96" s="192">
        <f t="shared" si="76"/>
        <v>4860</v>
      </c>
      <c r="AG96" s="192">
        <f t="shared" si="77"/>
        <v>4860</v>
      </c>
      <c r="AH96" s="195" t="e">
        <f t="shared" si="78"/>
        <v>#REF!</v>
      </c>
      <c r="AI96" s="196">
        <f t="shared" si="78"/>
        <v>1</v>
      </c>
      <c r="AJ96" s="196">
        <f t="shared" si="78"/>
        <v>1</v>
      </c>
      <c r="AK96" s="196">
        <f t="shared" si="78"/>
        <v>1</v>
      </c>
      <c r="AL96" s="196">
        <f t="shared" si="78"/>
        <v>1</v>
      </c>
    </row>
    <row r="97" spans="1:38" s="652" customFormat="1" ht="55.9" customHeight="1">
      <c r="A97" s="188">
        <v>3</v>
      </c>
      <c r="B97" s="672" t="s">
        <v>1107</v>
      </c>
      <c r="C97" s="188">
        <v>2</v>
      </c>
      <c r="D97" s="188">
        <v>2</v>
      </c>
      <c r="E97" s="188">
        <v>2</v>
      </c>
      <c r="F97" s="188">
        <v>2</v>
      </c>
      <c r="G97" s="188">
        <v>4</v>
      </c>
      <c r="H97" s="188">
        <v>4</v>
      </c>
      <c r="I97" s="188">
        <v>4</v>
      </c>
      <c r="J97" s="188">
        <v>4</v>
      </c>
      <c r="K97" s="188">
        <v>4</v>
      </c>
      <c r="L97" s="188">
        <v>4</v>
      </c>
      <c r="M97" s="189">
        <v>3</v>
      </c>
      <c r="N97" s="205"/>
      <c r="O97" s="189">
        <v>9</v>
      </c>
      <c r="P97" s="178" t="s">
        <v>1044</v>
      </c>
      <c r="Q97" s="189">
        <v>9</v>
      </c>
      <c r="R97" s="178" t="s">
        <v>1044</v>
      </c>
      <c r="S97" s="189">
        <v>9</v>
      </c>
      <c r="T97" s="178" t="s">
        <v>1044</v>
      </c>
      <c r="U97" s="189">
        <v>9</v>
      </c>
      <c r="V97" s="178" t="s">
        <v>1044</v>
      </c>
      <c r="W97" s="198">
        <v>30</v>
      </c>
      <c r="X97" s="666" t="e">
        <f>#REF!*G97*M97*W97</f>
        <v>#REF!</v>
      </c>
      <c r="Y97" s="194">
        <f t="shared" si="70"/>
        <v>2160</v>
      </c>
      <c r="Z97" s="192">
        <f t="shared" si="71"/>
        <v>2160</v>
      </c>
      <c r="AA97" s="192">
        <f t="shared" si="72"/>
        <v>2160</v>
      </c>
      <c r="AB97" s="192">
        <f t="shared" si="73"/>
        <v>2160</v>
      </c>
      <c r="AC97" s="193" t="e">
        <f>#REF!*H97*M97*W97</f>
        <v>#REF!</v>
      </c>
      <c r="AD97" s="194">
        <f t="shared" si="74"/>
        <v>2160</v>
      </c>
      <c r="AE97" s="192">
        <f t="shared" si="75"/>
        <v>2160</v>
      </c>
      <c r="AF97" s="192">
        <f t="shared" si="76"/>
        <v>2160</v>
      </c>
      <c r="AG97" s="192">
        <f t="shared" si="77"/>
        <v>2160</v>
      </c>
      <c r="AH97" s="195" t="e">
        <f t="shared" si="78"/>
        <v>#REF!</v>
      </c>
      <c r="AI97" s="196">
        <f t="shared" si="78"/>
        <v>1</v>
      </c>
      <c r="AJ97" s="196">
        <f t="shared" si="78"/>
        <v>1</v>
      </c>
      <c r="AK97" s="196">
        <f t="shared" si="78"/>
        <v>1</v>
      </c>
      <c r="AL97" s="196">
        <f t="shared" si="78"/>
        <v>1</v>
      </c>
    </row>
    <row r="98" spans="1:38" s="664" customFormat="1" ht="55.9" customHeight="1">
      <c r="A98" s="642" t="s">
        <v>991</v>
      </c>
      <c r="B98" s="775" t="s">
        <v>1108</v>
      </c>
      <c r="C98" s="776"/>
      <c r="D98" s="776"/>
      <c r="E98" s="776"/>
      <c r="F98" s="776"/>
      <c r="G98" s="776"/>
      <c r="H98" s="776"/>
      <c r="I98" s="776"/>
      <c r="J98" s="776"/>
      <c r="K98" s="776"/>
      <c r="L98" s="776"/>
      <c r="M98" s="776"/>
      <c r="N98" s="776"/>
      <c r="O98" s="776"/>
      <c r="P98" s="776"/>
      <c r="Q98" s="776"/>
      <c r="R98" s="776"/>
      <c r="S98" s="776"/>
      <c r="T98" s="776"/>
      <c r="U98" s="776"/>
      <c r="V98" s="776"/>
      <c r="W98" s="776"/>
      <c r="X98" s="776"/>
      <c r="Y98" s="776"/>
      <c r="Z98" s="776"/>
      <c r="AA98" s="776"/>
      <c r="AB98" s="776"/>
      <c r="AC98" s="776"/>
      <c r="AD98" s="776"/>
      <c r="AE98" s="776"/>
      <c r="AF98" s="776"/>
      <c r="AG98" s="776"/>
      <c r="AH98" s="776"/>
      <c r="AI98" s="776"/>
      <c r="AJ98" s="776"/>
      <c r="AK98" s="776"/>
      <c r="AL98" s="777"/>
    </row>
    <row r="99" spans="1:38" s="652" customFormat="1" ht="78.75" customHeight="1">
      <c r="A99" s="187">
        <v>1</v>
      </c>
      <c r="B99" s="673" t="s">
        <v>1645</v>
      </c>
      <c r="C99" s="190">
        <v>2</v>
      </c>
      <c r="D99" s="190">
        <v>2</v>
      </c>
      <c r="E99" s="190">
        <v>2</v>
      </c>
      <c r="F99" s="190">
        <v>4</v>
      </c>
      <c r="G99" s="190">
        <v>983</v>
      </c>
      <c r="H99" s="190">
        <v>983</v>
      </c>
      <c r="I99" s="190">
        <v>983</v>
      </c>
      <c r="J99" s="190">
        <v>983</v>
      </c>
      <c r="K99" s="190">
        <v>983</v>
      </c>
      <c r="L99" s="190">
        <v>983</v>
      </c>
      <c r="M99" s="189"/>
      <c r="N99" s="178"/>
      <c r="O99" s="189">
        <v>5</v>
      </c>
      <c r="P99" s="188" t="s">
        <v>1646</v>
      </c>
      <c r="Q99" s="189">
        <v>5</v>
      </c>
      <c r="R99" s="188" t="s">
        <v>1646</v>
      </c>
      <c r="S99" s="189">
        <v>6</v>
      </c>
      <c r="T99" s="188" t="s">
        <v>1646</v>
      </c>
      <c r="U99" s="189">
        <v>6</v>
      </c>
      <c r="V99" s="188" t="s">
        <v>1646</v>
      </c>
      <c r="W99" s="197">
        <v>30</v>
      </c>
      <c r="X99" s="666"/>
      <c r="Y99" s="264">
        <f t="shared" ref="Y99:Y102" si="79">C99*G99*O99*W99</f>
        <v>294900</v>
      </c>
      <c r="Z99" s="192">
        <f t="shared" ref="Z99:Z102" si="80">D99*G99*Q99*W99</f>
        <v>294900</v>
      </c>
      <c r="AA99" s="192">
        <f t="shared" ref="AA99:AA102" si="81">E99*G99*S99*W99</f>
        <v>353880</v>
      </c>
      <c r="AB99" s="192">
        <f t="shared" ref="AB99:AB102" si="82">F99*G99*U99*W99</f>
        <v>707760</v>
      </c>
      <c r="AC99" s="651" t="e">
        <f>#REF!*H99*M99*W99</f>
        <v>#REF!</v>
      </c>
      <c r="AD99" s="264">
        <f t="shared" ref="AD99:AD102" si="83">C99*I99*O99*W99</f>
        <v>294900</v>
      </c>
      <c r="AE99" s="192">
        <f t="shared" ref="AE99:AE102" si="84">D99*J99*Q99*W99</f>
        <v>294900</v>
      </c>
      <c r="AF99" s="192">
        <f t="shared" ref="AF99:AF102" si="85">E99*L99*S99*W99</f>
        <v>353880</v>
      </c>
      <c r="AG99" s="192">
        <f t="shared" ref="AG99:AG102" si="86">F99*L99*U99*W99</f>
        <v>707760</v>
      </c>
      <c r="AH99" s="266" t="e">
        <f t="shared" ref="AH99:AL105" si="87">AC99/X99</f>
        <v>#REF!</v>
      </c>
      <c r="AI99" s="265">
        <f t="shared" si="87"/>
        <v>1</v>
      </c>
      <c r="AJ99" s="266">
        <f t="shared" si="87"/>
        <v>1</v>
      </c>
      <c r="AK99" s="265">
        <f t="shared" si="87"/>
        <v>1</v>
      </c>
      <c r="AL99" s="265">
        <f t="shared" si="87"/>
        <v>1</v>
      </c>
    </row>
    <row r="100" spans="1:38" s="652" customFormat="1" ht="83.25" customHeight="1">
      <c r="A100" s="187">
        <v>2</v>
      </c>
      <c r="B100" s="673" t="s">
        <v>1647</v>
      </c>
      <c r="C100" s="188">
        <v>2</v>
      </c>
      <c r="D100" s="188">
        <v>2</v>
      </c>
      <c r="E100" s="188">
        <v>4</v>
      </c>
      <c r="F100" s="188">
        <v>6</v>
      </c>
      <c r="G100" s="188">
        <v>839</v>
      </c>
      <c r="H100" s="188"/>
      <c r="I100" s="188">
        <v>839</v>
      </c>
      <c r="J100" s="188">
        <v>839</v>
      </c>
      <c r="K100" s="188">
        <v>839</v>
      </c>
      <c r="L100" s="188">
        <v>839</v>
      </c>
      <c r="M100" s="189"/>
      <c r="N100" s="178"/>
      <c r="O100" s="189">
        <v>5</v>
      </c>
      <c r="P100" s="188" t="s">
        <v>1646</v>
      </c>
      <c r="Q100" s="189">
        <v>5</v>
      </c>
      <c r="R100" s="188" t="s">
        <v>1646</v>
      </c>
      <c r="S100" s="189">
        <v>6</v>
      </c>
      <c r="T100" s="188" t="s">
        <v>1646</v>
      </c>
      <c r="U100" s="189">
        <v>6</v>
      </c>
      <c r="V100" s="188" t="s">
        <v>1646</v>
      </c>
      <c r="W100" s="197">
        <v>30</v>
      </c>
      <c r="X100" s="666"/>
      <c r="Y100" s="264">
        <f t="shared" si="79"/>
        <v>251700</v>
      </c>
      <c r="Z100" s="192">
        <f t="shared" si="80"/>
        <v>251700</v>
      </c>
      <c r="AA100" s="192">
        <f t="shared" si="81"/>
        <v>604080</v>
      </c>
      <c r="AB100" s="192">
        <f t="shared" si="82"/>
        <v>906120</v>
      </c>
      <c r="AC100" s="651" t="e">
        <f>#REF!*H100*M100*W100</f>
        <v>#REF!</v>
      </c>
      <c r="AD100" s="264">
        <f t="shared" si="83"/>
        <v>251700</v>
      </c>
      <c r="AE100" s="192">
        <f t="shared" si="84"/>
        <v>251700</v>
      </c>
      <c r="AF100" s="192">
        <f t="shared" si="85"/>
        <v>604080</v>
      </c>
      <c r="AG100" s="192">
        <f t="shared" si="86"/>
        <v>906120</v>
      </c>
      <c r="AH100" s="266" t="e">
        <f t="shared" si="87"/>
        <v>#REF!</v>
      </c>
      <c r="AI100" s="265">
        <f t="shared" si="87"/>
        <v>1</v>
      </c>
      <c r="AJ100" s="266">
        <f t="shared" si="87"/>
        <v>1</v>
      </c>
      <c r="AK100" s="265">
        <f t="shared" si="87"/>
        <v>1</v>
      </c>
      <c r="AL100" s="265">
        <f t="shared" si="87"/>
        <v>1</v>
      </c>
    </row>
    <row r="101" spans="1:38" s="652" customFormat="1" ht="83.25" customHeight="1">
      <c r="A101" s="187">
        <v>3</v>
      </c>
      <c r="B101" s="674" t="s">
        <v>543</v>
      </c>
      <c r="C101" s="267">
        <v>1</v>
      </c>
      <c r="D101" s="267">
        <v>1</v>
      </c>
      <c r="E101" s="267">
        <v>2</v>
      </c>
      <c r="F101" s="267">
        <v>2</v>
      </c>
      <c r="G101" s="267">
        <v>501</v>
      </c>
      <c r="H101" s="267">
        <v>501</v>
      </c>
      <c r="I101" s="267">
        <v>501</v>
      </c>
      <c r="J101" s="267">
        <v>501</v>
      </c>
      <c r="K101" s="267">
        <v>501</v>
      </c>
      <c r="L101" s="267">
        <v>501</v>
      </c>
      <c r="M101" s="202">
        <v>3</v>
      </c>
      <c r="N101" s="267"/>
      <c r="O101" s="202">
        <v>5</v>
      </c>
      <c r="P101" s="267" t="s">
        <v>1109</v>
      </c>
      <c r="Q101" s="202">
        <v>5</v>
      </c>
      <c r="R101" s="267" t="s">
        <v>1109</v>
      </c>
      <c r="S101" s="202">
        <v>6</v>
      </c>
      <c r="T101" s="267" t="s">
        <v>1109</v>
      </c>
      <c r="U101" s="202">
        <v>6</v>
      </c>
      <c r="V101" s="267" t="s">
        <v>1109</v>
      </c>
      <c r="W101" s="202">
        <v>30</v>
      </c>
      <c r="X101" s="669" t="e">
        <f>#REF!*G101*M101*W101</f>
        <v>#REF!</v>
      </c>
      <c r="Y101" s="268">
        <f>C101*G101*O101*W101</f>
        <v>75150</v>
      </c>
      <c r="Z101" s="203">
        <f>D101*G101*Q101*W101</f>
        <v>75150</v>
      </c>
      <c r="AA101" s="203">
        <f>E101*G101*S101*W101</f>
        <v>180360</v>
      </c>
      <c r="AB101" s="203">
        <f>F101*G101*U101*W101</f>
        <v>180360</v>
      </c>
      <c r="AC101" s="263" t="e">
        <f>#REF!*H101*M101*W101</f>
        <v>#REF!</v>
      </c>
      <c r="AD101" s="268">
        <f>C101*I101*O101*W101</f>
        <v>75150</v>
      </c>
      <c r="AE101" s="203">
        <f>D101*J101*Q101*W101</f>
        <v>75150</v>
      </c>
      <c r="AF101" s="203">
        <f>E101*L101*S101*W101</f>
        <v>180360</v>
      </c>
      <c r="AG101" s="203">
        <f>F101*L101*U101*W101</f>
        <v>180360</v>
      </c>
      <c r="AH101" s="270" t="e">
        <f t="shared" si="87"/>
        <v>#REF!</v>
      </c>
      <c r="AI101" s="269">
        <f t="shared" si="87"/>
        <v>1</v>
      </c>
      <c r="AJ101" s="270">
        <f t="shared" si="87"/>
        <v>1</v>
      </c>
      <c r="AK101" s="269">
        <f t="shared" si="87"/>
        <v>1</v>
      </c>
      <c r="AL101" s="269">
        <f t="shared" si="87"/>
        <v>1</v>
      </c>
    </row>
    <row r="102" spans="1:38" s="652" customFormat="1" ht="93.75">
      <c r="A102" s="187">
        <v>4</v>
      </c>
      <c r="B102" s="649" t="s">
        <v>544</v>
      </c>
      <c r="C102" s="188">
        <v>1</v>
      </c>
      <c r="D102" s="188">
        <v>1</v>
      </c>
      <c r="E102" s="188">
        <v>2</v>
      </c>
      <c r="F102" s="188">
        <v>2</v>
      </c>
      <c r="G102" s="188">
        <v>802</v>
      </c>
      <c r="H102" s="188">
        <v>802</v>
      </c>
      <c r="I102" s="188">
        <v>802</v>
      </c>
      <c r="J102" s="188">
        <v>802</v>
      </c>
      <c r="K102" s="188">
        <v>802</v>
      </c>
      <c r="L102" s="188">
        <v>802</v>
      </c>
      <c r="M102" s="187">
        <v>3</v>
      </c>
      <c r="N102" s="188"/>
      <c r="O102" s="187">
        <v>5</v>
      </c>
      <c r="P102" s="188" t="s">
        <v>1109</v>
      </c>
      <c r="Q102" s="187">
        <v>5</v>
      </c>
      <c r="R102" s="188" t="s">
        <v>1109</v>
      </c>
      <c r="S102" s="187">
        <v>6</v>
      </c>
      <c r="T102" s="188" t="s">
        <v>1109</v>
      </c>
      <c r="U102" s="187">
        <v>6</v>
      </c>
      <c r="V102" s="188" t="s">
        <v>1109</v>
      </c>
      <c r="W102" s="187">
        <v>30</v>
      </c>
      <c r="X102" s="666" t="e">
        <f>#REF!*G102*M102*W102</f>
        <v>#REF!</v>
      </c>
      <c r="Y102" s="651">
        <f t="shared" si="79"/>
        <v>120300</v>
      </c>
      <c r="Z102" s="199">
        <f t="shared" si="80"/>
        <v>120300</v>
      </c>
      <c r="AA102" s="199">
        <f t="shared" si="81"/>
        <v>288720</v>
      </c>
      <c r="AB102" s="199">
        <f t="shared" si="82"/>
        <v>288720</v>
      </c>
      <c r="AC102" s="651" t="e">
        <f>#REF!*H102*M102*W102</f>
        <v>#REF!</v>
      </c>
      <c r="AD102" s="651">
        <f t="shared" si="83"/>
        <v>120300</v>
      </c>
      <c r="AE102" s="199">
        <f t="shared" si="84"/>
        <v>120300</v>
      </c>
      <c r="AF102" s="199">
        <f t="shared" si="85"/>
        <v>288720</v>
      </c>
      <c r="AG102" s="199">
        <f t="shared" si="86"/>
        <v>288720</v>
      </c>
      <c r="AH102" s="266" t="e">
        <f t="shared" si="87"/>
        <v>#REF!</v>
      </c>
      <c r="AI102" s="266">
        <f t="shared" si="87"/>
        <v>1</v>
      </c>
      <c r="AJ102" s="266">
        <f t="shared" si="87"/>
        <v>1</v>
      </c>
      <c r="AK102" s="266">
        <f t="shared" si="87"/>
        <v>1</v>
      </c>
      <c r="AL102" s="266">
        <f t="shared" si="87"/>
        <v>1</v>
      </c>
    </row>
    <row r="103" spans="1:38" s="652" customFormat="1" ht="93.75">
      <c r="A103" s="187">
        <v>5</v>
      </c>
      <c r="B103" s="649" t="s">
        <v>544</v>
      </c>
      <c r="C103" s="188">
        <v>1</v>
      </c>
      <c r="D103" s="188">
        <v>1</v>
      </c>
      <c r="E103" s="188">
        <v>2</v>
      </c>
      <c r="F103" s="188">
        <v>2</v>
      </c>
      <c r="G103" s="188">
        <v>496</v>
      </c>
      <c r="H103" s="188">
        <v>496</v>
      </c>
      <c r="I103" s="188">
        <v>496</v>
      </c>
      <c r="J103" s="188">
        <v>496</v>
      </c>
      <c r="K103" s="188">
        <v>496</v>
      </c>
      <c r="L103" s="188">
        <v>496</v>
      </c>
      <c r="M103" s="187">
        <v>3</v>
      </c>
      <c r="N103" s="188"/>
      <c r="O103" s="187">
        <v>5</v>
      </c>
      <c r="P103" s="188" t="s">
        <v>1109</v>
      </c>
      <c r="Q103" s="187">
        <v>5</v>
      </c>
      <c r="R103" s="188" t="s">
        <v>1109</v>
      </c>
      <c r="S103" s="187">
        <v>6</v>
      </c>
      <c r="T103" s="188" t="s">
        <v>1109</v>
      </c>
      <c r="U103" s="187">
        <v>6</v>
      </c>
      <c r="V103" s="188" t="s">
        <v>1109</v>
      </c>
      <c r="W103" s="187">
        <v>30</v>
      </c>
      <c r="X103" s="666" t="e">
        <f>#REF!*G103*M103*W103</f>
        <v>#REF!</v>
      </c>
      <c r="Y103" s="193">
        <f>C103*G103*O103*W103</f>
        <v>74400</v>
      </c>
      <c r="Z103" s="199">
        <f>D103*G103*Q103*W103</f>
        <v>74400</v>
      </c>
      <c r="AA103" s="199">
        <f>E103*G103*S103*W103</f>
        <v>178560</v>
      </c>
      <c r="AB103" s="199">
        <f>F103*G103*U103*W103</f>
        <v>178560</v>
      </c>
      <c r="AC103" s="193" t="e">
        <f>#REF!*H103*M103*W103</f>
        <v>#REF!</v>
      </c>
      <c r="AD103" s="193">
        <f>C103*I103*O103*W103</f>
        <v>74400</v>
      </c>
      <c r="AE103" s="199">
        <f>D103*J103*Q103*W103</f>
        <v>74400</v>
      </c>
      <c r="AF103" s="199">
        <f>E103*L103*S103*W103</f>
        <v>178560</v>
      </c>
      <c r="AG103" s="199">
        <f>F103*L103*U103*W103</f>
        <v>178560</v>
      </c>
      <c r="AH103" s="195" t="e">
        <f t="shared" si="87"/>
        <v>#REF!</v>
      </c>
      <c r="AI103" s="195">
        <f t="shared" si="87"/>
        <v>1</v>
      </c>
      <c r="AJ103" s="195">
        <f t="shared" si="87"/>
        <v>1</v>
      </c>
      <c r="AK103" s="195">
        <f t="shared" si="87"/>
        <v>1</v>
      </c>
      <c r="AL103" s="195">
        <f t="shared" si="87"/>
        <v>1</v>
      </c>
    </row>
    <row r="104" spans="1:38" s="652" customFormat="1" ht="89.65" customHeight="1">
      <c r="A104" s="187">
        <v>6</v>
      </c>
      <c r="B104" s="649" t="s">
        <v>1811</v>
      </c>
      <c r="C104" s="188">
        <v>1</v>
      </c>
      <c r="D104" s="188">
        <v>1</v>
      </c>
      <c r="E104" s="188">
        <v>1</v>
      </c>
      <c r="F104" s="188">
        <v>1</v>
      </c>
      <c r="G104" s="188">
        <v>134</v>
      </c>
      <c r="H104" s="188">
        <v>134</v>
      </c>
      <c r="I104" s="188">
        <v>134</v>
      </c>
      <c r="J104" s="188">
        <v>134</v>
      </c>
      <c r="K104" s="188">
        <v>134</v>
      </c>
      <c r="L104" s="188">
        <v>134</v>
      </c>
      <c r="M104" s="187"/>
      <c r="N104" s="188"/>
      <c r="O104" s="187">
        <v>4</v>
      </c>
      <c r="P104" s="188" t="s">
        <v>1812</v>
      </c>
      <c r="Q104" s="187">
        <v>4</v>
      </c>
      <c r="R104" s="188" t="s">
        <v>1813</v>
      </c>
      <c r="S104" s="187">
        <v>4</v>
      </c>
      <c r="T104" s="188" t="s">
        <v>1813</v>
      </c>
      <c r="U104" s="187">
        <v>4</v>
      </c>
      <c r="V104" s="188" t="s">
        <v>1813</v>
      </c>
      <c r="W104" s="187">
        <v>30</v>
      </c>
      <c r="X104" s="666"/>
      <c r="Y104" s="193">
        <f>C104*G104*O104*W104</f>
        <v>16080</v>
      </c>
      <c r="Z104" s="199">
        <f>D104*G104*Q104*W104</f>
        <v>16080</v>
      </c>
      <c r="AA104" s="199">
        <f>E104*G104*S104*W104</f>
        <v>16080</v>
      </c>
      <c r="AB104" s="199">
        <f>F104*G104*U104*W104</f>
        <v>16080</v>
      </c>
      <c r="AC104" s="193" t="e">
        <f>#REF!*H104*M104*W104</f>
        <v>#REF!</v>
      </c>
      <c r="AD104" s="193">
        <f>C104*I104*O104*W104</f>
        <v>16080</v>
      </c>
      <c r="AE104" s="199">
        <f>D104*J104*Q104*W104</f>
        <v>16080</v>
      </c>
      <c r="AF104" s="199">
        <f>E104*L104*S104*W104</f>
        <v>16080</v>
      </c>
      <c r="AG104" s="199">
        <f>F104*L104*U104*W104</f>
        <v>16080</v>
      </c>
      <c r="AH104" s="195" t="e">
        <f t="shared" si="87"/>
        <v>#REF!</v>
      </c>
      <c r="AI104" s="195">
        <f t="shared" si="87"/>
        <v>1</v>
      </c>
      <c r="AJ104" s="195">
        <f t="shared" si="87"/>
        <v>1</v>
      </c>
      <c r="AK104" s="195">
        <f t="shared" si="87"/>
        <v>1</v>
      </c>
      <c r="AL104" s="195">
        <f t="shared" si="87"/>
        <v>1</v>
      </c>
    </row>
    <row r="105" spans="1:38" s="652" customFormat="1" ht="93.75">
      <c r="A105" s="187">
        <v>7</v>
      </c>
      <c r="B105" s="649" t="s">
        <v>570</v>
      </c>
      <c r="C105" s="188">
        <v>2</v>
      </c>
      <c r="D105" s="188">
        <v>2</v>
      </c>
      <c r="E105" s="188">
        <v>2</v>
      </c>
      <c r="F105" s="188">
        <v>2</v>
      </c>
      <c r="G105" s="188">
        <v>236</v>
      </c>
      <c r="H105" s="188">
        <v>236</v>
      </c>
      <c r="I105" s="188">
        <v>236</v>
      </c>
      <c r="J105" s="188">
        <v>236</v>
      </c>
      <c r="K105" s="188">
        <v>236</v>
      </c>
      <c r="L105" s="188">
        <v>236</v>
      </c>
      <c r="M105" s="187">
        <v>3</v>
      </c>
      <c r="N105" s="188"/>
      <c r="O105" s="187">
        <v>4</v>
      </c>
      <c r="P105" s="188" t="s">
        <v>1109</v>
      </c>
      <c r="Q105" s="187">
        <v>4</v>
      </c>
      <c r="R105" s="188" t="s">
        <v>1109</v>
      </c>
      <c r="S105" s="187">
        <v>5</v>
      </c>
      <c r="T105" s="188" t="s">
        <v>1109</v>
      </c>
      <c r="U105" s="187">
        <v>5</v>
      </c>
      <c r="V105" s="188" t="s">
        <v>1109</v>
      </c>
      <c r="W105" s="187">
        <v>30</v>
      </c>
      <c r="X105" s="666" t="e">
        <f>X113=X113=#REF!*G105*M105*W105</f>
        <v>#REF!</v>
      </c>
      <c r="Y105" s="193">
        <f>C105*G105*O105*W105</f>
        <v>56640</v>
      </c>
      <c r="Z105" s="199">
        <f>D105*G105*Q105*W105</f>
        <v>56640</v>
      </c>
      <c r="AA105" s="199">
        <f>E105*G105*S105*W105</f>
        <v>70800</v>
      </c>
      <c r="AB105" s="199">
        <f>F105*G105*U105*W105</f>
        <v>70800</v>
      </c>
      <c r="AC105" s="193" t="e">
        <f>#REF!*H105*M105*W105</f>
        <v>#REF!</v>
      </c>
      <c r="AD105" s="193">
        <f>C105*I105*O105*W105</f>
        <v>56640</v>
      </c>
      <c r="AE105" s="199">
        <f>D105*J105*Q105*W105</f>
        <v>56640</v>
      </c>
      <c r="AF105" s="199">
        <f>E105*L105*S105*W105</f>
        <v>70800</v>
      </c>
      <c r="AG105" s="199">
        <f>F105*L105*U105*W105</f>
        <v>70800</v>
      </c>
      <c r="AH105" s="195" t="e">
        <f t="shared" si="87"/>
        <v>#REF!</v>
      </c>
      <c r="AI105" s="195">
        <f t="shared" si="87"/>
        <v>1</v>
      </c>
      <c r="AJ105" s="195">
        <f t="shared" si="87"/>
        <v>1</v>
      </c>
      <c r="AK105" s="195">
        <f t="shared" si="87"/>
        <v>1</v>
      </c>
      <c r="AL105" s="195">
        <f t="shared" si="87"/>
        <v>1</v>
      </c>
    </row>
    <row r="106" spans="1:38" s="639" customFormat="1" ht="50.65" customHeight="1">
      <c r="A106" s="675" t="s">
        <v>1025</v>
      </c>
      <c r="B106" s="781" t="s">
        <v>1648</v>
      </c>
      <c r="C106" s="782"/>
      <c r="D106" s="782"/>
      <c r="E106" s="782"/>
      <c r="F106" s="782"/>
      <c r="G106" s="782"/>
      <c r="H106" s="782"/>
      <c r="I106" s="782"/>
      <c r="J106" s="782"/>
      <c r="K106" s="782"/>
      <c r="L106" s="782"/>
      <c r="M106" s="782"/>
      <c r="N106" s="782"/>
      <c r="O106" s="782"/>
      <c r="P106" s="782"/>
      <c r="Q106" s="782"/>
      <c r="R106" s="782"/>
      <c r="S106" s="782"/>
      <c r="T106" s="782"/>
      <c r="U106" s="782"/>
      <c r="V106" s="782"/>
      <c r="W106" s="782"/>
      <c r="X106" s="782"/>
      <c r="Y106" s="782"/>
      <c r="Z106" s="782"/>
      <c r="AA106" s="782"/>
      <c r="AB106" s="782"/>
      <c r="AC106" s="782"/>
      <c r="AD106" s="782"/>
      <c r="AE106" s="782"/>
      <c r="AF106" s="782"/>
      <c r="AG106" s="782"/>
      <c r="AH106" s="782"/>
      <c r="AI106" s="782"/>
      <c r="AJ106" s="782"/>
      <c r="AK106" s="782"/>
      <c r="AL106" s="783"/>
    </row>
    <row r="107" spans="1:38" s="652" customFormat="1" ht="75">
      <c r="A107" s="188">
        <v>1</v>
      </c>
      <c r="B107" s="204" t="s">
        <v>1649</v>
      </c>
      <c r="C107" s="205">
        <v>5</v>
      </c>
      <c r="D107" s="205">
        <v>5</v>
      </c>
      <c r="E107" s="205">
        <v>5</v>
      </c>
      <c r="F107" s="205">
        <v>5</v>
      </c>
      <c r="G107" s="190">
        <v>9.5</v>
      </c>
      <c r="H107" s="190">
        <v>9.5</v>
      </c>
      <c r="I107" s="190">
        <v>9.5</v>
      </c>
      <c r="J107" s="190">
        <v>9.5</v>
      </c>
      <c r="K107" s="190">
        <v>9.5</v>
      </c>
      <c r="L107" s="190">
        <v>9.5</v>
      </c>
      <c r="M107" s="189">
        <v>3</v>
      </c>
      <c r="N107" s="178"/>
      <c r="O107" s="189">
        <v>13.5</v>
      </c>
      <c r="P107" s="178" t="s">
        <v>1650</v>
      </c>
      <c r="Q107" s="189">
        <v>13.5</v>
      </c>
      <c r="R107" s="178" t="s">
        <v>1650</v>
      </c>
      <c r="S107" s="189">
        <v>13.5</v>
      </c>
      <c r="T107" s="178" t="s">
        <v>1650</v>
      </c>
      <c r="U107" s="189">
        <v>13.5</v>
      </c>
      <c r="V107" s="178" t="s">
        <v>1650</v>
      </c>
      <c r="W107" s="197">
        <v>30</v>
      </c>
      <c r="X107" s="666" t="e">
        <f>#REF!*G107*M107*W107</f>
        <v>#REF!</v>
      </c>
      <c r="Y107" s="194">
        <f>C107*G107*O107*W107</f>
        <v>19237.5</v>
      </c>
      <c r="Z107" s="192">
        <f>D107*G107*Q107*W107</f>
        <v>19237.5</v>
      </c>
      <c r="AA107" s="192">
        <f>E107*G107*S107*W107</f>
        <v>19237.5</v>
      </c>
      <c r="AB107" s="192">
        <f>F107*G107*U107*W107</f>
        <v>19237.5</v>
      </c>
      <c r="AC107" s="193" t="e">
        <f>#REF!*H107*M107*W107</f>
        <v>#REF!</v>
      </c>
      <c r="AD107" s="194">
        <f>C107*I107*O107*W107</f>
        <v>19237.5</v>
      </c>
      <c r="AE107" s="192">
        <f>D107*J107*Q107*W107</f>
        <v>19237.5</v>
      </c>
      <c r="AF107" s="192">
        <f>E107*L107*S107*W107</f>
        <v>19237.5</v>
      </c>
      <c r="AG107" s="192">
        <f>F107*L107*U107*W107</f>
        <v>19237.5</v>
      </c>
      <c r="AH107" s="195" t="e">
        <f t="shared" ref="AH107:AL111" si="88">AC107/X107</f>
        <v>#REF!</v>
      </c>
      <c r="AI107" s="196">
        <f t="shared" si="88"/>
        <v>1</v>
      </c>
      <c r="AJ107" s="196">
        <f t="shared" si="88"/>
        <v>1</v>
      </c>
      <c r="AK107" s="196">
        <f t="shared" si="88"/>
        <v>1</v>
      </c>
      <c r="AL107" s="196">
        <f t="shared" si="88"/>
        <v>1</v>
      </c>
    </row>
    <row r="108" spans="1:38" s="652" customFormat="1" ht="75">
      <c r="A108" s="188">
        <v>2</v>
      </c>
      <c r="B108" s="204" t="s">
        <v>1651</v>
      </c>
      <c r="C108" s="205">
        <v>4</v>
      </c>
      <c r="D108" s="205">
        <v>4</v>
      </c>
      <c r="E108" s="205">
        <v>4</v>
      </c>
      <c r="F108" s="205">
        <v>4</v>
      </c>
      <c r="G108" s="190">
        <v>9.5</v>
      </c>
      <c r="H108" s="190">
        <v>9.5</v>
      </c>
      <c r="I108" s="190">
        <v>9.5</v>
      </c>
      <c r="J108" s="190">
        <v>9.5</v>
      </c>
      <c r="K108" s="190">
        <v>9.5</v>
      </c>
      <c r="L108" s="190">
        <v>9.5</v>
      </c>
      <c r="M108" s="189">
        <v>3</v>
      </c>
      <c r="N108" s="205"/>
      <c r="O108" s="189">
        <v>13.5</v>
      </c>
      <c r="P108" s="178" t="s">
        <v>1650</v>
      </c>
      <c r="Q108" s="189">
        <v>13.5</v>
      </c>
      <c r="R108" s="178" t="s">
        <v>1650</v>
      </c>
      <c r="S108" s="189">
        <v>13.5</v>
      </c>
      <c r="T108" s="178" t="s">
        <v>1650</v>
      </c>
      <c r="U108" s="189">
        <v>13.5</v>
      </c>
      <c r="V108" s="178" t="s">
        <v>1650</v>
      </c>
      <c r="W108" s="197">
        <v>30</v>
      </c>
      <c r="X108" s="666" t="e">
        <f>#REF!*G108*M108*W108</f>
        <v>#REF!</v>
      </c>
      <c r="Y108" s="194">
        <f t="shared" ref="Y108" si="89">C108*G108*O108*W108</f>
        <v>15390</v>
      </c>
      <c r="Z108" s="192">
        <f t="shared" ref="Z108" si="90">D108*G108*Q108*W108</f>
        <v>15390</v>
      </c>
      <c r="AA108" s="192">
        <f t="shared" ref="AA108" si="91">E108*G108*S108*W108</f>
        <v>15390</v>
      </c>
      <c r="AB108" s="192">
        <f t="shared" ref="AB108" si="92">F108*G108*U108*W108</f>
        <v>15390</v>
      </c>
      <c r="AC108" s="193" t="e">
        <f>#REF!*H108*M108*W108</f>
        <v>#REF!</v>
      </c>
      <c r="AD108" s="194">
        <f t="shared" ref="AD108" si="93">C108*I108*O108*W108</f>
        <v>15390</v>
      </c>
      <c r="AE108" s="192">
        <f t="shared" ref="AE108" si="94">D108*J108*Q108*W108</f>
        <v>15390</v>
      </c>
      <c r="AF108" s="192">
        <f t="shared" ref="AF108" si="95">E108*L108*S108*W108</f>
        <v>15390</v>
      </c>
      <c r="AG108" s="192">
        <f t="shared" ref="AG108" si="96">F108*L108*U108*W108</f>
        <v>15390</v>
      </c>
      <c r="AH108" s="195" t="e">
        <f t="shared" si="88"/>
        <v>#REF!</v>
      </c>
      <c r="AI108" s="196">
        <f t="shared" si="88"/>
        <v>1</v>
      </c>
      <c r="AJ108" s="196">
        <f t="shared" si="88"/>
        <v>1</v>
      </c>
      <c r="AK108" s="196">
        <f t="shared" si="88"/>
        <v>1</v>
      </c>
      <c r="AL108" s="196">
        <f t="shared" si="88"/>
        <v>1</v>
      </c>
    </row>
    <row r="109" spans="1:38" s="652" customFormat="1" ht="75">
      <c r="A109" s="188">
        <v>1</v>
      </c>
      <c r="B109" s="204" t="s">
        <v>1652</v>
      </c>
      <c r="C109" s="205">
        <v>2</v>
      </c>
      <c r="D109" s="205">
        <v>2</v>
      </c>
      <c r="E109" s="205">
        <v>2</v>
      </c>
      <c r="F109" s="205">
        <v>2</v>
      </c>
      <c r="G109" s="190">
        <v>3.7</v>
      </c>
      <c r="H109" s="190">
        <v>3.7</v>
      </c>
      <c r="I109" s="190">
        <v>3.7</v>
      </c>
      <c r="J109" s="190">
        <v>3.7</v>
      </c>
      <c r="K109" s="190">
        <v>3.7</v>
      </c>
      <c r="L109" s="190">
        <v>3.7</v>
      </c>
      <c r="M109" s="189">
        <v>3</v>
      </c>
      <c r="N109" s="178"/>
      <c r="O109" s="189">
        <v>13.5</v>
      </c>
      <c r="P109" s="178" t="s">
        <v>1650</v>
      </c>
      <c r="Q109" s="189">
        <v>13.5</v>
      </c>
      <c r="R109" s="178" t="s">
        <v>1650</v>
      </c>
      <c r="S109" s="189">
        <v>13.5</v>
      </c>
      <c r="T109" s="178" t="s">
        <v>1650</v>
      </c>
      <c r="U109" s="189">
        <v>13.5</v>
      </c>
      <c r="V109" s="178" t="s">
        <v>1650</v>
      </c>
      <c r="W109" s="197">
        <v>30</v>
      </c>
      <c r="X109" s="666" t="e">
        <f>#REF!*G109*M109*W109</f>
        <v>#REF!</v>
      </c>
      <c r="Y109" s="194">
        <f>C109*G109*O109*W109</f>
        <v>2997</v>
      </c>
      <c r="Z109" s="192">
        <f>D109*G109*Q109*W109</f>
        <v>2997</v>
      </c>
      <c r="AA109" s="192">
        <f>E109*G109*S109*W109</f>
        <v>2997</v>
      </c>
      <c r="AB109" s="192">
        <f>F109*G109*U109*W109</f>
        <v>2997</v>
      </c>
      <c r="AC109" s="193" t="e">
        <f>#REF!*H109*M109*W109</f>
        <v>#REF!</v>
      </c>
      <c r="AD109" s="194">
        <f>C109*I109*O109*W109</f>
        <v>2997</v>
      </c>
      <c r="AE109" s="192">
        <f>D109*J109*Q109*W109</f>
        <v>2997</v>
      </c>
      <c r="AF109" s="192">
        <f>E109*L109*S109*W109</f>
        <v>2997</v>
      </c>
      <c r="AG109" s="192">
        <f>F109*L109*U109*W109</f>
        <v>2997</v>
      </c>
      <c r="AH109" s="195" t="e">
        <f t="shared" si="88"/>
        <v>#REF!</v>
      </c>
      <c r="AI109" s="196">
        <f t="shared" si="88"/>
        <v>1</v>
      </c>
      <c r="AJ109" s="196">
        <f t="shared" si="88"/>
        <v>1</v>
      </c>
      <c r="AK109" s="196">
        <f t="shared" si="88"/>
        <v>1</v>
      </c>
      <c r="AL109" s="196">
        <f t="shared" si="88"/>
        <v>1</v>
      </c>
    </row>
    <row r="110" spans="1:38" s="652" customFormat="1" ht="75">
      <c r="A110" s="188">
        <v>1</v>
      </c>
      <c r="B110" s="204" t="s">
        <v>1653</v>
      </c>
      <c r="C110" s="205">
        <v>2</v>
      </c>
      <c r="D110" s="205">
        <v>2</v>
      </c>
      <c r="E110" s="205">
        <v>2</v>
      </c>
      <c r="F110" s="205">
        <v>2</v>
      </c>
      <c r="G110" s="190">
        <v>5.5</v>
      </c>
      <c r="H110" s="190">
        <v>5.5</v>
      </c>
      <c r="I110" s="190">
        <v>5.5</v>
      </c>
      <c r="J110" s="190">
        <v>5.5</v>
      </c>
      <c r="K110" s="190">
        <v>5.5</v>
      </c>
      <c r="L110" s="190">
        <v>5.5</v>
      </c>
      <c r="M110" s="189">
        <v>3</v>
      </c>
      <c r="N110" s="178"/>
      <c r="O110" s="189">
        <v>13.5</v>
      </c>
      <c r="P110" s="178" t="s">
        <v>1650</v>
      </c>
      <c r="Q110" s="189">
        <v>13.5</v>
      </c>
      <c r="R110" s="178" t="s">
        <v>1650</v>
      </c>
      <c r="S110" s="189">
        <v>13.5</v>
      </c>
      <c r="T110" s="178" t="s">
        <v>1650</v>
      </c>
      <c r="U110" s="189">
        <v>13.5</v>
      </c>
      <c r="V110" s="178" t="s">
        <v>1650</v>
      </c>
      <c r="W110" s="197">
        <v>30</v>
      </c>
      <c r="X110" s="666" t="e">
        <f>#REF!*G110*M110*W110</f>
        <v>#REF!</v>
      </c>
      <c r="Y110" s="194">
        <f>C110*G110*O110*W110</f>
        <v>4455</v>
      </c>
      <c r="Z110" s="192">
        <f>D110*G110*Q110*W110</f>
        <v>4455</v>
      </c>
      <c r="AA110" s="192">
        <f>E110*G110*S110*W110</f>
        <v>4455</v>
      </c>
      <c r="AB110" s="192">
        <f>F110*G110*U110*W110</f>
        <v>4455</v>
      </c>
      <c r="AC110" s="193" t="e">
        <f>#REF!*H110*M110*W110</f>
        <v>#REF!</v>
      </c>
      <c r="AD110" s="194">
        <f>C110*I110*O110*W110</f>
        <v>4455</v>
      </c>
      <c r="AE110" s="192">
        <f>D110*J110*Q110*W110</f>
        <v>4455</v>
      </c>
      <c r="AF110" s="192">
        <f>E110*L110*S110*W110</f>
        <v>4455</v>
      </c>
      <c r="AG110" s="192">
        <f>F110*L110*U110*W110</f>
        <v>4455</v>
      </c>
      <c r="AH110" s="195" t="e">
        <f t="shared" si="88"/>
        <v>#REF!</v>
      </c>
      <c r="AI110" s="196">
        <f t="shared" si="88"/>
        <v>1</v>
      </c>
      <c r="AJ110" s="196">
        <f t="shared" si="88"/>
        <v>1</v>
      </c>
      <c r="AK110" s="196">
        <f t="shared" si="88"/>
        <v>1</v>
      </c>
      <c r="AL110" s="196">
        <f t="shared" si="88"/>
        <v>1</v>
      </c>
    </row>
    <row r="111" spans="1:38" s="652" customFormat="1" ht="75">
      <c r="A111" s="188">
        <v>2</v>
      </c>
      <c r="B111" s="204" t="s">
        <v>1654</v>
      </c>
      <c r="C111" s="205">
        <v>3</v>
      </c>
      <c r="D111" s="205">
        <v>3</v>
      </c>
      <c r="E111" s="205">
        <v>3</v>
      </c>
      <c r="F111" s="205">
        <v>3</v>
      </c>
      <c r="G111" s="190">
        <v>1.2</v>
      </c>
      <c r="H111" s="190">
        <v>1.2</v>
      </c>
      <c r="I111" s="190">
        <v>1.2</v>
      </c>
      <c r="J111" s="190">
        <v>1.2</v>
      </c>
      <c r="K111" s="190">
        <v>1.2</v>
      </c>
      <c r="L111" s="190">
        <v>1.2</v>
      </c>
      <c r="M111" s="189">
        <v>3</v>
      </c>
      <c r="N111" s="205"/>
      <c r="O111" s="189">
        <v>13.5</v>
      </c>
      <c r="P111" s="178" t="s">
        <v>1650</v>
      </c>
      <c r="Q111" s="189">
        <v>13.5</v>
      </c>
      <c r="R111" s="178" t="s">
        <v>1650</v>
      </c>
      <c r="S111" s="189">
        <v>13.5</v>
      </c>
      <c r="T111" s="178" t="s">
        <v>1650</v>
      </c>
      <c r="U111" s="189">
        <v>13.5</v>
      </c>
      <c r="V111" s="178" t="s">
        <v>1650</v>
      </c>
      <c r="W111" s="197">
        <v>30</v>
      </c>
      <c r="X111" s="666" t="e">
        <f>#REF!*G111*M111*W111</f>
        <v>#REF!</v>
      </c>
      <c r="Y111" s="194">
        <f t="shared" ref="Y111" si="97">C111*G111*O111*W111</f>
        <v>1457.9999999999998</v>
      </c>
      <c r="Z111" s="192">
        <f t="shared" ref="Z111" si="98">D111*G111*Q111*W111</f>
        <v>1457.9999999999998</v>
      </c>
      <c r="AA111" s="192">
        <f t="shared" ref="AA111" si="99">E111*G111*S111*W111</f>
        <v>1457.9999999999998</v>
      </c>
      <c r="AB111" s="192">
        <f t="shared" ref="AB111" si="100">F111*G111*U111*W111</f>
        <v>1457.9999999999998</v>
      </c>
      <c r="AC111" s="193" t="e">
        <f>#REF!*H111*M111*W111</f>
        <v>#REF!</v>
      </c>
      <c r="AD111" s="194">
        <f t="shared" ref="AD111" si="101">C111*I111*O111*W111</f>
        <v>1457.9999999999998</v>
      </c>
      <c r="AE111" s="192">
        <f t="shared" ref="AE111" si="102">D111*J111*Q111*W111</f>
        <v>1457.9999999999998</v>
      </c>
      <c r="AF111" s="192">
        <f t="shared" ref="AF111" si="103">E111*L111*S111*W111</f>
        <v>1457.9999999999998</v>
      </c>
      <c r="AG111" s="192">
        <f t="shared" ref="AG111" si="104">F111*L111*U111*W111</f>
        <v>1457.9999999999998</v>
      </c>
      <c r="AH111" s="195" t="e">
        <f t="shared" si="88"/>
        <v>#REF!</v>
      </c>
      <c r="AI111" s="196">
        <f t="shared" si="88"/>
        <v>1</v>
      </c>
      <c r="AJ111" s="196">
        <f t="shared" si="88"/>
        <v>1</v>
      </c>
      <c r="AK111" s="196">
        <f t="shared" si="88"/>
        <v>1</v>
      </c>
      <c r="AL111" s="196">
        <f t="shared" si="88"/>
        <v>1</v>
      </c>
    </row>
    <row r="112" spans="1:38" s="639" customFormat="1" ht="50.65" customHeight="1">
      <c r="A112" s="675" t="s">
        <v>1655</v>
      </c>
      <c r="B112" s="781" t="s">
        <v>1110</v>
      </c>
      <c r="C112" s="782"/>
      <c r="D112" s="782"/>
      <c r="E112" s="782"/>
      <c r="F112" s="782"/>
      <c r="G112" s="782"/>
      <c r="H112" s="782"/>
      <c r="I112" s="782"/>
      <c r="J112" s="782"/>
      <c r="K112" s="782"/>
      <c r="L112" s="782"/>
      <c r="M112" s="782"/>
      <c r="N112" s="782"/>
      <c r="O112" s="782"/>
      <c r="P112" s="782"/>
      <c r="Q112" s="782"/>
      <c r="R112" s="782"/>
      <c r="S112" s="782"/>
      <c r="T112" s="782"/>
      <c r="U112" s="782"/>
      <c r="V112" s="782"/>
      <c r="W112" s="782"/>
      <c r="X112" s="782"/>
      <c r="Y112" s="782"/>
      <c r="Z112" s="782"/>
      <c r="AA112" s="782"/>
      <c r="AB112" s="782"/>
      <c r="AC112" s="782"/>
      <c r="AD112" s="782"/>
      <c r="AE112" s="782"/>
      <c r="AF112" s="782"/>
      <c r="AG112" s="782"/>
      <c r="AH112" s="782"/>
      <c r="AI112" s="782"/>
      <c r="AJ112" s="782"/>
      <c r="AK112" s="782"/>
      <c r="AL112" s="783"/>
    </row>
    <row r="113" spans="1:38" s="652" customFormat="1" ht="56.25">
      <c r="A113" s="188">
        <v>1</v>
      </c>
      <c r="B113" s="272" t="s">
        <v>1111</v>
      </c>
      <c r="C113" s="188">
        <v>2</v>
      </c>
      <c r="D113" s="188">
        <v>2</v>
      </c>
      <c r="E113" s="188">
        <v>2</v>
      </c>
      <c r="F113" s="188">
        <v>2</v>
      </c>
      <c r="G113" s="188">
        <v>2.2000000000000002</v>
      </c>
      <c r="H113" s="188">
        <v>2.2000000000000002</v>
      </c>
      <c r="I113" s="188">
        <v>2.2000000000000002</v>
      </c>
      <c r="J113" s="188">
        <v>2.2000000000000002</v>
      </c>
      <c r="K113" s="188">
        <v>2.2000000000000002</v>
      </c>
      <c r="L113" s="188">
        <v>2.2000000000000002</v>
      </c>
      <c r="M113" s="187">
        <v>3</v>
      </c>
      <c r="N113" s="188"/>
      <c r="O113" s="187">
        <v>24</v>
      </c>
      <c r="P113" s="178" t="s">
        <v>1112</v>
      </c>
      <c r="Q113" s="189">
        <v>24</v>
      </c>
      <c r="R113" s="178" t="s">
        <v>1112</v>
      </c>
      <c r="S113" s="189">
        <v>24</v>
      </c>
      <c r="T113" s="178" t="s">
        <v>1112</v>
      </c>
      <c r="U113" s="189">
        <v>24</v>
      </c>
      <c r="V113" s="178" t="s">
        <v>1112</v>
      </c>
      <c r="W113" s="197">
        <v>30</v>
      </c>
      <c r="X113" s="666" t="e">
        <f>#REF!*G113*M113*W113</f>
        <v>#REF!</v>
      </c>
      <c r="Y113" s="194">
        <f>C113*G113*O113*W113</f>
        <v>3168.0000000000005</v>
      </c>
      <c r="Z113" s="192">
        <f>D113*G113*Q113*W113</f>
        <v>3168.0000000000005</v>
      </c>
      <c r="AA113" s="192">
        <f>E113*G113*S113*W113</f>
        <v>3168.0000000000005</v>
      </c>
      <c r="AB113" s="192">
        <f>F113*G113*U113*W113</f>
        <v>3168.0000000000005</v>
      </c>
      <c r="AC113" s="193" t="e">
        <f>#REF!*H113*M113*W113</f>
        <v>#REF!</v>
      </c>
      <c r="AD113" s="194">
        <f>C113*I113*O113*W113</f>
        <v>3168.0000000000005</v>
      </c>
      <c r="AE113" s="192">
        <f>D113*J113*Q113*W113</f>
        <v>3168.0000000000005</v>
      </c>
      <c r="AF113" s="192">
        <f>E113*L113*S113*W113</f>
        <v>3168.0000000000005</v>
      </c>
      <c r="AG113" s="192">
        <f>F113*L113*U113*W113</f>
        <v>3168.0000000000005</v>
      </c>
      <c r="AH113" s="195" t="e">
        <f t="shared" si="8"/>
        <v>#REF!</v>
      </c>
      <c r="AI113" s="196">
        <f t="shared" si="8"/>
        <v>1</v>
      </c>
      <c r="AJ113" s="196">
        <f t="shared" si="8"/>
        <v>1</v>
      </c>
      <c r="AK113" s="196">
        <f t="shared" si="8"/>
        <v>1</v>
      </c>
      <c r="AL113" s="196">
        <f t="shared" si="8"/>
        <v>1</v>
      </c>
    </row>
    <row r="114" spans="1:38" s="652" customFormat="1" ht="37.5">
      <c r="A114" s="188">
        <v>2</v>
      </c>
      <c r="B114" s="272" t="s">
        <v>1113</v>
      </c>
      <c r="C114" s="188">
        <v>7</v>
      </c>
      <c r="D114" s="188">
        <v>7</v>
      </c>
      <c r="E114" s="188">
        <v>7</v>
      </c>
      <c r="F114" s="188">
        <v>7</v>
      </c>
      <c r="G114" s="188">
        <v>5.5</v>
      </c>
      <c r="H114" s="188">
        <v>5.5</v>
      </c>
      <c r="I114" s="188">
        <v>5.5</v>
      </c>
      <c r="J114" s="188">
        <v>5.5</v>
      </c>
      <c r="K114" s="188">
        <v>5.5</v>
      </c>
      <c r="L114" s="188">
        <v>5.5</v>
      </c>
      <c r="M114" s="187">
        <v>3</v>
      </c>
      <c r="N114" s="188"/>
      <c r="O114" s="187">
        <v>21</v>
      </c>
      <c r="P114" s="178" t="s">
        <v>1114</v>
      </c>
      <c r="Q114" s="189">
        <v>21</v>
      </c>
      <c r="R114" s="178" t="s">
        <v>1114</v>
      </c>
      <c r="S114" s="189">
        <v>21</v>
      </c>
      <c r="T114" s="178" t="s">
        <v>1114</v>
      </c>
      <c r="U114" s="189">
        <v>21</v>
      </c>
      <c r="V114" s="178" t="s">
        <v>1114</v>
      </c>
      <c r="W114" s="197">
        <v>30</v>
      </c>
      <c r="X114" s="666" t="e">
        <f>#REF!*G114*M114*W114</f>
        <v>#REF!</v>
      </c>
      <c r="Y114" s="194">
        <f t="shared" ref="Y114:Y117" si="105">C114*G114*O114*W114</f>
        <v>24255</v>
      </c>
      <c r="Z114" s="192">
        <f t="shared" ref="Z114:Z117" si="106">D114*G114*Q114*W114</f>
        <v>24255</v>
      </c>
      <c r="AA114" s="192">
        <f t="shared" ref="AA114:AA117" si="107">E114*G114*S114*W114</f>
        <v>24255</v>
      </c>
      <c r="AB114" s="192">
        <f t="shared" ref="AB114:AB117" si="108">F114*G114*U114*W114</f>
        <v>24255</v>
      </c>
      <c r="AC114" s="193" t="e">
        <f>#REF!*H114*M114*W114</f>
        <v>#REF!</v>
      </c>
      <c r="AD114" s="194">
        <f t="shared" ref="AD114:AD117" si="109">C114*I114*O114*W114</f>
        <v>24255</v>
      </c>
      <c r="AE114" s="192">
        <f t="shared" ref="AE114:AE117" si="110">D114*J114*Q114*W114</f>
        <v>24255</v>
      </c>
      <c r="AF114" s="192">
        <f t="shared" ref="AF114:AF117" si="111">E114*L114*S114*W114</f>
        <v>24255</v>
      </c>
      <c r="AG114" s="192">
        <f t="shared" ref="AG114:AG117" si="112">F114*L114*U114*W114</f>
        <v>24255</v>
      </c>
      <c r="AH114" s="195" t="e">
        <f t="shared" ref="AH114:AL117" si="113">AC114/X114</f>
        <v>#REF!</v>
      </c>
      <c r="AI114" s="196">
        <f t="shared" si="113"/>
        <v>1</v>
      </c>
      <c r="AJ114" s="196">
        <f t="shared" si="113"/>
        <v>1</v>
      </c>
      <c r="AK114" s="196">
        <f t="shared" si="113"/>
        <v>1</v>
      </c>
      <c r="AL114" s="196">
        <f t="shared" si="113"/>
        <v>1</v>
      </c>
    </row>
    <row r="115" spans="1:38" s="652" customFormat="1" ht="36.75" customHeight="1">
      <c r="A115" s="188">
        <v>3</v>
      </c>
      <c r="B115" s="272" t="s">
        <v>1115</v>
      </c>
      <c r="C115" s="188">
        <v>5</v>
      </c>
      <c r="D115" s="188">
        <v>5</v>
      </c>
      <c r="E115" s="188">
        <v>5</v>
      </c>
      <c r="F115" s="188">
        <v>5</v>
      </c>
      <c r="G115" s="188">
        <v>1.1000000000000001</v>
      </c>
      <c r="H115" s="188">
        <v>1.1000000000000001</v>
      </c>
      <c r="I115" s="188">
        <v>1.1000000000000001</v>
      </c>
      <c r="J115" s="188">
        <v>1.1000000000000001</v>
      </c>
      <c r="K115" s="188">
        <v>1.1000000000000001</v>
      </c>
      <c r="L115" s="188">
        <v>1.1000000000000001</v>
      </c>
      <c r="M115" s="187"/>
      <c r="N115" s="188"/>
      <c r="O115" s="187">
        <v>10</v>
      </c>
      <c r="P115" s="178" t="s">
        <v>1116</v>
      </c>
      <c r="Q115" s="189">
        <v>10</v>
      </c>
      <c r="R115" s="178" t="s">
        <v>1116</v>
      </c>
      <c r="S115" s="189">
        <v>10</v>
      </c>
      <c r="T115" s="178" t="s">
        <v>1116</v>
      </c>
      <c r="U115" s="189">
        <v>10</v>
      </c>
      <c r="V115" s="178" t="s">
        <v>1116</v>
      </c>
      <c r="W115" s="197">
        <v>30</v>
      </c>
      <c r="X115" s="666"/>
      <c r="Y115" s="194">
        <f t="shared" si="105"/>
        <v>1650</v>
      </c>
      <c r="Z115" s="192">
        <f t="shared" si="106"/>
        <v>1650</v>
      </c>
      <c r="AA115" s="192">
        <f t="shared" si="107"/>
        <v>1650</v>
      </c>
      <c r="AB115" s="192">
        <f t="shared" si="108"/>
        <v>1650</v>
      </c>
      <c r="AC115" s="193"/>
      <c r="AD115" s="194">
        <f t="shared" si="109"/>
        <v>1650</v>
      </c>
      <c r="AE115" s="192">
        <f t="shared" si="110"/>
        <v>1650</v>
      </c>
      <c r="AF115" s="192">
        <f t="shared" si="111"/>
        <v>1650</v>
      </c>
      <c r="AG115" s="192">
        <f t="shared" si="112"/>
        <v>1650</v>
      </c>
      <c r="AH115" s="195" t="e">
        <f t="shared" si="113"/>
        <v>#DIV/0!</v>
      </c>
      <c r="AI115" s="196">
        <f t="shared" si="113"/>
        <v>1</v>
      </c>
      <c r="AJ115" s="196">
        <f t="shared" si="113"/>
        <v>1</v>
      </c>
      <c r="AK115" s="196">
        <f t="shared" si="113"/>
        <v>1</v>
      </c>
      <c r="AL115" s="196">
        <f t="shared" si="113"/>
        <v>1</v>
      </c>
    </row>
    <row r="116" spans="1:38" s="652" customFormat="1" ht="75">
      <c r="A116" s="188">
        <v>4</v>
      </c>
      <c r="B116" s="272" t="s">
        <v>1117</v>
      </c>
      <c r="C116" s="188">
        <v>1</v>
      </c>
      <c r="D116" s="188">
        <v>1</v>
      </c>
      <c r="E116" s="188">
        <v>1</v>
      </c>
      <c r="F116" s="188">
        <v>1</v>
      </c>
      <c r="G116" s="188">
        <v>30</v>
      </c>
      <c r="H116" s="188">
        <v>30</v>
      </c>
      <c r="I116" s="188">
        <v>30</v>
      </c>
      <c r="J116" s="188">
        <v>30</v>
      </c>
      <c r="K116" s="188">
        <v>30</v>
      </c>
      <c r="L116" s="188">
        <v>30</v>
      </c>
      <c r="M116" s="187"/>
      <c r="N116" s="188"/>
      <c r="O116" s="187">
        <v>24</v>
      </c>
      <c r="P116" s="178" t="s">
        <v>1118</v>
      </c>
      <c r="Q116" s="189">
        <v>24</v>
      </c>
      <c r="R116" s="178" t="s">
        <v>1118</v>
      </c>
      <c r="S116" s="189">
        <v>24</v>
      </c>
      <c r="T116" s="178" t="s">
        <v>1118</v>
      </c>
      <c r="U116" s="189">
        <v>24</v>
      </c>
      <c r="V116" s="178" t="s">
        <v>1118</v>
      </c>
      <c r="W116" s="197">
        <v>30</v>
      </c>
      <c r="X116" s="666"/>
      <c r="Y116" s="194">
        <f t="shared" si="105"/>
        <v>21600</v>
      </c>
      <c r="Z116" s="192">
        <f t="shared" si="106"/>
        <v>21600</v>
      </c>
      <c r="AA116" s="192">
        <f t="shared" si="107"/>
        <v>21600</v>
      </c>
      <c r="AB116" s="192">
        <f t="shared" si="108"/>
        <v>21600</v>
      </c>
      <c r="AC116" s="193"/>
      <c r="AD116" s="194">
        <f t="shared" si="109"/>
        <v>21600</v>
      </c>
      <c r="AE116" s="192">
        <f t="shared" si="110"/>
        <v>21600</v>
      </c>
      <c r="AF116" s="192">
        <f t="shared" si="111"/>
        <v>21600</v>
      </c>
      <c r="AG116" s="192">
        <f t="shared" si="112"/>
        <v>21600</v>
      </c>
      <c r="AH116" s="195" t="e">
        <f t="shared" si="113"/>
        <v>#DIV/0!</v>
      </c>
      <c r="AI116" s="196">
        <f t="shared" si="113"/>
        <v>1</v>
      </c>
      <c r="AJ116" s="196">
        <f t="shared" si="113"/>
        <v>1</v>
      </c>
      <c r="AK116" s="196">
        <f t="shared" si="113"/>
        <v>1</v>
      </c>
      <c r="AL116" s="196">
        <f t="shared" si="113"/>
        <v>1</v>
      </c>
    </row>
    <row r="117" spans="1:38" s="652" customFormat="1" ht="75">
      <c r="A117" s="188">
        <v>5</v>
      </c>
      <c r="B117" s="272" t="s">
        <v>1119</v>
      </c>
      <c r="C117" s="188">
        <v>1</v>
      </c>
      <c r="D117" s="188">
        <v>1</v>
      </c>
      <c r="E117" s="188">
        <v>1</v>
      </c>
      <c r="F117" s="188">
        <v>1</v>
      </c>
      <c r="G117" s="188">
        <v>5.5</v>
      </c>
      <c r="H117" s="188">
        <v>5.5</v>
      </c>
      <c r="I117" s="188">
        <v>5.5</v>
      </c>
      <c r="J117" s="188">
        <v>5.5</v>
      </c>
      <c r="K117" s="188">
        <v>5.5</v>
      </c>
      <c r="L117" s="188">
        <v>5.5</v>
      </c>
      <c r="M117" s="187">
        <v>3</v>
      </c>
      <c r="N117" s="188"/>
      <c r="O117" s="187">
        <v>24</v>
      </c>
      <c r="P117" s="178" t="s">
        <v>1118</v>
      </c>
      <c r="Q117" s="189">
        <v>24</v>
      </c>
      <c r="R117" s="178" t="s">
        <v>1118</v>
      </c>
      <c r="S117" s="189">
        <v>24</v>
      </c>
      <c r="T117" s="178" t="s">
        <v>1118</v>
      </c>
      <c r="U117" s="189">
        <v>24</v>
      </c>
      <c r="V117" s="178" t="s">
        <v>1118</v>
      </c>
      <c r="W117" s="197">
        <v>30</v>
      </c>
      <c r="X117" s="666" t="e">
        <f>#REF!*G117*M117*W117</f>
        <v>#REF!</v>
      </c>
      <c r="Y117" s="194">
        <f t="shared" si="105"/>
        <v>3960</v>
      </c>
      <c r="Z117" s="192">
        <f t="shared" si="106"/>
        <v>3960</v>
      </c>
      <c r="AA117" s="192">
        <f t="shared" si="107"/>
        <v>3960</v>
      </c>
      <c r="AB117" s="192">
        <f t="shared" si="108"/>
        <v>3960</v>
      </c>
      <c r="AC117" s="193" t="e">
        <f>#REF!*H117*M117*W117</f>
        <v>#REF!</v>
      </c>
      <c r="AD117" s="194">
        <f t="shared" si="109"/>
        <v>3960</v>
      </c>
      <c r="AE117" s="192">
        <f t="shared" si="110"/>
        <v>3960</v>
      </c>
      <c r="AF117" s="192">
        <f t="shared" si="111"/>
        <v>3960</v>
      </c>
      <c r="AG117" s="192">
        <f t="shared" si="112"/>
        <v>3960</v>
      </c>
      <c r="AH117" s="195" t="e">
        <f t="shared" si="113"/>
        <v>#REF!</v>
      </c>
      <c r="AI117" s="196">
        <f t="shared" si="113"/>
        <v>1</v>
      </c>
      <c r="AJ117" s="196">
        <f t="shared" si="113"/>
        <v>1</v>
      </c>
      <c r="AK117" s="196">
        <f t="shared" si="113"/>
        <v>1</v>
      </c>
      <c r="AL117" s="196">
        <f t="shared" si="113"/>
        <v>1</v>
      </c>
    </row>
    <row r="118" spans="1:38" s="639" customFormat="1" ht="61.5" customHeight="1">
      <c r="A118" s="676"/>
      <c r="B118" s="766" t="s">
        <v>7</v>
      </c>
      <c r="C118" s="767"/>
      <c r="D118" s="767"/>
      <c r="E118" s="767"/>
      <c r="F118" s="767"/>
      <c r="G118" s="767"/>
      <c r="H118" s="767"/>
      <c r="I118" s="767"/>
      <c r="J118" s="767"/>
      <c r="K118" s="767"/>
      <c r="L118" s="767"/>
      <c r="M118" s="767"/>
      <c r="N118" s="767"/>
      <c r="O118" s="767"/>
      <c r="P118" s="767"/>
      <c r="Q118" s="767"/>
      <c r="R118" s="767"/>
      <c r="S118" s="767"/>
      <c r="T118" s="768"/>
      <c r="U118" s="677"/>
      <c r="V118" s="677"/>
      <c r="W118" s="678"/>
      <c r="X118" s="679" t="e">
        <f t="shared" ref="X118:AG118" si="114">SUM(X5:X117)</f>
        <v>#REF!</v>
      </c>
      <c r="Y118" s="677">
        <f t="shared" si="114"/>
        <v>1119503.7620000001</v>
      </c>
      <c r="Z118" s="677">
        <f t="shared" si="114"/>
        <v>1125839.7620000001</v>
      </c>
      <c r="AA118" s="677">
        <f t="shared" si="114"/>
        <v>1936893.5619999999</v>
      </c>
      <c r="AB118" s="677">
        <f t="shared" si="114"/>
        <v>2625548.9620000003</v>
      </c>
      <c r="AC118" s="677" t="e">
        <f t="shared" si="114"/>
        <v>#REF!</v>
      </c>
      <c r="AD118" s="677">
        <f t="shared" si="114"/>
        <v>1118783.7620000001</v>
      </c>
      <c r="AE118" s="677">
        <f t="shared" si="114"/>
        <v>1125269.7620000001</v>
      </c>
      <c r="AF118" s="677">
        <f t="shared" si="114"/>
        <v>1936893.5619999999</v>
      </c>
      <c r="AG118" s="677">
        <f t="shared" si="114"/>
        <v>2625548.9620000003</v>
      </c>
      <c r="AH118" s="680"/>
      <c r="AI118" s="680"/>
      <c r="AJ118" s="680"/>
      <c r="AK118" s="680"/>
      <c r="AL118" s="680"/>
    </row>
    <row r="120" spans="1:38"/>
  </sheetData>
  <protectedRanges>
    <protectedRange algorithmName="SHA-512" hashValue="jDW4dxkVzkO/NkJYfdfUorA+ANQ489TKEkrQt/57Ii5jUQVs2/ZmPqiW/0SXz3KRdGdcKlKvITQOFUb3a64/cQ==" saltValue="+JXxlkR+N0/9l0UyBSZ0kQ==" spinCount="100000" sqref="B88" name="Admin_1" securityDescriptor="O:WDG:WDD:(A;;CC;;;S-1-5-21-3456285054-3150151310-408638156-50256)(A;;CC;;;S-1-5-21-3456285054-3150151310-408638156-3505)(A;;CC;;;S-1-5-21-3456285054-3150151310-408638156-1507)"/>
    <protectedRange algorithmName="SHA-512" hashValue="jDW4dxkVzkO/NkJYfdfUorA+ANQ489TKEkrQt/57Ii5jUQVs2/ZmPqiW/0SXz3KRdGdcKlKvITQOFUb3a64/cQ==" saltValue="+JXxlkR+N0/9l0UyBSZ0kQ==" spinCount="100000" sqref="B100" name="Admin_3" securityDescriptor="O:WDG:WDD:(A;;CC;;;S-1-5-21-3456285054-3150151310-408638156-50256)(A;;CC;;;S-1-5-21-3456285054-3150151310-408638156-3505)(A;;CC;;;S-1-5-21-3456285054-3150151310-408638156-1507)"/>
  </protectedRanges>
  <mergeCells count="34">
    <mergeCell ref="A1:AK1"/>
    <mergeCell ref="A2:A3"/>
    <mergeCell ref="B2:B3"/>
    <mergeCell ref="C2:F2"/>
    <mergeCell ref="G2:G3"/>
    <mergeCell ref="H2:L2"/>
    <mergeCell ref="M2:V2"/>
    <mergeCell ref="W2:W3"/>
    <mergeCell ref="X2:AB2"/>
    <mergeCell ref="AC2:AG2"/>
    <mergeCell ref="B46:AL46"/>
    <mergeCell ref="AH2:AL2"/>
    <mergeCell ref="M3:N3"/>
    <mergeCell ref="O3:P3"/>
    <mergeCell ref="Q3:R3"/>
    <mergeCell ref="S3:T3"/>
    <mergeCell ref="U3:V3"/>
    <mergeCell ref="B5:AL5"/>
    <mergeCell ref="B28:AL28"/>
    <mergeCell ref="B35:AL35"/>
    <mergeCell ref="B39:AL39"/>
    <mergeCell ref="B43:AL43"/>
    <mergeCell ref="B118:T118"/>
    <mergeCell ref="B48:AL48"/>
    <mergeCell ref="B50:AL50"/>
    <mergeCell ref="B58:AL58"/>
    <mergeCell ref="B62:AL62"/>
    <mergeCell ref="B82:AL82"/>
    <mergeCell ref="B86:AL86"/>
    <mergeCell ref="B91:AL91"/>
    <mergeCell ref="B94:AL94"/>
    <mergeCell ref="B98:AL98"/>
    <mergeCell ref="B106:AL106"/>
    <mergeCell ref="B112:AL1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704"/>
  <sheetViews>
    <sheetView view="pageBreakPreview" zoomScale="6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650" sqref="F650"/>
    </sheetView>
  </sheetViews>
  <sheetFormatPr defaultColWidth="8.85546875" defaultRowHeight="15"/>
  <cols>
    <col min="1" max="1" width="4.5703125" style="429" customWidth="1"/>
    <col min="2" max="2" width="54.140625" style="325" customWidth="1"/>
    <col min="3" max="3" width="9.85546875" style="325" customWidth="1"/>
    <col min="4" max="4" width="11.42578125" style="325" bestFit="1" customWidth="1"/>
    <col min="5" max="6" width="10.42578125" style="325" customWidth="1"/>
    <col min="7" max="7" width="12" style="430" customWidth="1"/>
    <col min="8" max="8" width="13.28515625" style="430" customWidth="1"/>
    <col min="9" max="9" width="11.28515625" style="429" customWidth="1"/>
    <col min="10" max="10" width="20" style="429" customWidth="1"/>
    <col min="11" max="11" width="11.85546875" style="325" customWidth="1"/>
    <col min="12" max="12" width="20" style="325" customWidth="1"/>
    <col min="13" max="13" width="9.85546875" style="325" customWidth="1"/>
    <col min="14" max="14" width="19.42578125" style="325" customWidth="1"/>
    <col min="15" max="15" width="11.85546875" style="325" customWidth="1"/>
    <col min="16" max="16" width="24" style="325" customWidth="1"/>
    <col min="17" max="17" width="8.85546875" style="325"/>
    <col min="18" max="18" width="1.85546875" style="325" hidden="1" customWidth="1"/>
    <col min="19" max="19" width="1.7109375" style="325" hidden="1" customWidth="1"/>
    <col min="20" max="20" width="2.28515625" style="325" hidden="1" customWidth="1"/>
    <col min="21" max="21" width="3.140625" style="325" hidden="1" customWidth="1"/>
    <col min="22" max="22" width="12" style="325" hidden="1" customWidth="1"/>
    <col min="23" max="23" width="3.7109375" style="325" hidden="1" customWidth="1"/>
    <col min="24" max="24" width="7.5703125" style="325" hidden="1" customWidth="1"/>
    <col min="25" max="25" width="9" style="325" hidden="1" customWidth="1"/>
    <col min="26" max="26" width="11.85546875" style="325" hidden="1" customWidth="1"/>
    <col min="27" max="27" width="8.42578125" style="325" hidden="1" customWidth="1"/>
    <col min="28" max="28" width="4.140625" style="325" hidden="1" customWidth="1"/>
    <col min="29" max="29" width="10" style="325" hidden="1" customWidth="1"/>
    <col min="30" max="30" width="6.5703125" style="325" hidden="1" customWidth="1"/>
    <col min="31" max="31" width="10.28515625" style="325" hidden="1" customWidth="1"/>
    <col min="32" max="32" width="10.140625" style="325" hidden="1" customWidth="1"/>
    <col min="33" max="16384" width="8.85546875" style="325"/>
  </cols>
  <sheetData>
    <row r="1" spans="1:33" s="323" customFormat="1" ht="27" customHeight="1">
      <c r="A1" s="795" t="s">
        <v>1233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795"/>
      <c r="AA1" s="795"/>
      <c r="AB1" s="795"/>
      <c r="AC1" s="795"/>
      <c r="AD1" s="795"/>
      <c r="AE1" s="795"/>
      <c r="AF1" s="795"/>
    </row>
    <row r="2" spans="1:33" ht="35.25" customHeight="1">
      <c r="A2" s="796" t="s">
        <v>1</v>
      </c>
      <c r="B2" s="796" t="s">
        <v>2</v>
      </c>
      <c r="C2" s="796" t="s">
        <v>536</v>
      </c>
      <c r="D2" s="796"/>
      <c r="E2" s="796"/>
      <c r="F2" s="796"/>
      <c r="G2" s="796" t="s">
        <v>8</v>
      </c>
      <c r="H2" s="796" t="s">
        <v>497</v>
      </c>
      <c r="I2" s="797" t="s">
        <v>616</v>
      </c>
      <c r="J2" s="798"/>
      <c r="K2" s="798"/>
      <c r="L2" s="798"/>
      <c r="M2" s="798"/>
      <c r="N2" s="798"/>
      <c r="O2" s="798"/>
      <c r="P2" s="799"/>
      <c r="Q2" s="796" t="s">
        <v>5</v>
      </c>
      <c r="R2" s="796" t="s">
        <v>501</v>
      </c>
      <c r="S2" s="796"/>
      <c r="T2" s="796"/>
      <c r="U2" s="796"/>
      <c r="V2" s="796"/>
      <c r="W2" s="796" t="s">
        <v>502</v>
      </c>
      <c r="X2" s="796"/>
      <c r="Y2" s="796"/>
      <c r="Z2" s="796"/>
      <c r="AA2" s="796"/>
      <c r="AB2" s="796" t="s">
        <v>503</v>
      </c>
      <c r="AC2" s="796"/>
      <c r="AD2" s="796"/>
      <c r="AE2" s="796"/>
      <c r="AF2" s="796"/>
    </row>
    <row r="3" spans="1:33" ht="49.5" customHeight="1">
      <c r="A3" s="796"/>
      <c r="B3" s="796"/>
      <c r="C3" s="324" t="s">
        <v>612</v>
      </c>
      <c r="D3" s="324" t="s">
        <v>613</v>
      </c>
      <c r="E3" s="324" t="s">
        <v>534</v>
      </c>
      <c r="F3" s="324" t="s">
        <v>535</v>
      </c>
      <c r="G3" s="796"/>
      <c r="H3" s="796"/>
      <c r="I3" s="796" t="s">
        <v>612</v>
      </c>
      <c r="J3" s="796"/>
      <c r="K3" s="796" t="s">
        <v>613</v>
      </c>
      <c r="L3" s="796"/>
      <c r="M3" s="796" t="s">
        <v>534</v>
      </c>
      <c r="N3" s="796"/>
      <c r="O3" s="796" t="s">
        <v>535</v>
      </c>
      <c r="P3" s="796"/>
      <c r="Q3" s="796"/>
      <c r="R3" s="324" t="s">
        <v>537</v>
      </c>
      <c r="S3" s="324" t="s">
        <v>532</v>
      </c>
      <c r="T3" s="324" t="s">
        <v>533</v>
      </c>
      <c r="U3" s="324" t="s">
        <v>534</v>
      </c>
      <c r="V3" s="324" t="s">
        <v>535</v>
      </c>
      <c r="W3" s="324" t="s">
        <v>537</v>
      </c>
      <c r="X3" s="324" t="s">
        <v>532</v>
      </c>
      <c r="Y3" s="324" t="s">
        <v>533</v>
      </c>
      <c r="Z3" s="324" t="s">
        <v>534</v>
      </c>
      <c r="AA3" s="324" t="s">
        <v>535</v>
      </c>
      <c r="AB3" s="324" t="s">
        <v>537</v>
      </c>
      <c r="AC3" s="324" t="s">
        <v>532</v>
      </c>
      <c r="AD3" s="324" t="s">
        <v>533</v>
      </c>
      <c r="AE3" s="324" t="s">
        <v>534</v>
      </c>
      <c r="AF3" s="324" t="s">
        <v>535</v>
      </c>
    </row>
    <row r="4" spans="1:33" ht="47.25" customHeight="1">
      <c r="A4" s="324"/>
      <c r="B4" s="324"/>
      <c r="C4" s="326"/>
      <c r="D4" s="326"/>
      <c r="E4" s="326"/>
      <c r="F4" s="326"/>
      <c r="G4" s="324"/>
      <c r="H4" s="324"/>
      <c r="I4" s="326" t="s">
        <v>498</v>
      </c>
      <c r="J4" s="326" t="s">
        <v>496</v>
      </c>
      <c r="K4" s="326" t="s">
        <v>498</v>
      </c>
      <c r="L4" s="326" t="s">
        <v>496</v>
      </c>
      <c r="M4" s="326" t="s">
        <v>498</v>
      </c>
      <c r="N4" s="326" t="s">
        <v>496</v>
      </c>
      <c r="O4" s="326" t="s">
        <v>498</v>
      </c>
      <c r="P4" s="326" t="s">
        <v>496</v>
      </c>
      <c r="Q4" s="324"/>
      <c r="R4" s="324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</row>
    <row r="5" spans="1:33" s="333" customFormat="1">
      <c r="A5" s="327" t="s">
        <v>6</v>
      </c>
      <c r="B5" s="328" t="s">
        <v>1234</v>
      </c>
      <c r="C5" s="329"/>
      <c r="D5" s="330"/>
      <c r="E5" s="330"/>
      <c r="F5" s="330"/>
      <c r="G5" s="331"/>
      <c r="H5" s="331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0"/>
      <c r="AD5" s="330"/>
      <c r="AE5" s="330"/>
      <c r="AF5" s="330"/>
      <c r="AG5" s="332"/>
    </row>
    <row r="6" spans="1:33" s="333" customFormat="1">
      <c r="A6" s="334" t="s">
        <v>1235</v>
      </c>
      <c r="B6" s="335" t="s">
        <v>321</v>
      </c>
      <c r="C6" s="336"/>
      <c r="D6" s="337"/>
      <c r="E6" s="337"/>
      <c r="F6" s="337"/>
      <c r="G6" s="338"/>
      <c r="H6" s="338"/>
      <c r="I6" s="337"/>
      <c r="J6" s="337"/>
      <c r="K6" s="337"/>
      <c r="L6" s="336"/>
      <c r="M6" s="337"/>
      <c r="N6" s="337"/>
      <c r="O6" s="337"/>
      <c r="P6" s="337"/>
      <c r="Q6" s="337"/>
      <c r="R6" s="337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2"/>
    </row>
    <row r="7" spans="1:33" s="333" customFormat="1">
      <c r="A7" s="224">
        <v>1</v>
      </c>
      <c r="B7" s="340" t="s">
        <v>350</v>
      </c>
      <c r="C7" s="341">
        <v>2</v>
      </c>
      <c r="D7" s="224">
        <v>2</v>
      </c>
      <c r="E7" s="224">
        <v>2</v>
      </c>
      <c r="F7" s="224">
        <v>2</v>
      </c>
      <c r="G7" s="223">
        <v>1</v>
      </c>
      <c r="H7" s="223">
        <v>1</v>
      </c>
      <c r="I7" s="224">
        <v>2</v>
      </c>
      <c r="J7" s="224" t="s">
        <v>1236</v>
      </c>
      <c r="K7" s="224">
        <v>4</v>
      </c>
      <c r="L7" s="341"/>
      <c r="M7" s="224">
        <v>6</v>
      </c>
      <c r="N7" s="224" t="s">
        <v>1236</v>
      </c>
      <c r="O7" s="224">
        <v>4</v>
      </c>
      <c r="P7" s="224" t="s">
        <v>1236</v>
      </c>
      <c r="Q7" s="224">
        <v>30</v>
      </c>
      <c r="R7" s="337">
        <v>0</v>
      </c>
      <c r="S7" s="339">
        <v>120</v>
      </c>
      <c r="T7" s="339">
        <v>240</v>
      </c>
      <c r="U7" s="339">
        <v>360</v>
      </c>
      <c r="V7" s="339">
        <v>240</v>
      </c>
      <c r="W7" s="339">
        <v>0</v>
      </c>
      <c r="X7" s="339">
        <v>120</v>
      </c>
      <c r="Y7" s="339">
        <v>240</v>
      </c>
      <c r="Z7" s="339">
        <v>360</v>
      </c>
      <c r="AA7" s="339">
        <v>240</v>
      </c>
      <c r="AB7" s="339" t="e">
        <v>#DIV/0!</v>
      </c>
      <c r="AC7" s="342">
        <v>1</v>
      </c>
      <c r="AD7" s="342">
        <v>1</v>
      </c>
      <c r="AE7" s="342">
        <v>1</v>
      </c>
      <c r="AF7" s="342">
        <v>1</v>
      </c>
      <c r="AG7" s="332"/>
    </row>
    <row r="8" spans="1:33" s="333" customFormat="1" ht="16.5" customHeight="1">
      <c r="A8" s="224">
        <v>2</v>
      </c>
      <c r="B8" s="340" t="s">
        <v>351</v>
      </c>
      <c r="C8" s="341">
        <v>3</v>
      </c>
      <c r="D8" s="224">
        <v>3</v>
      </c>
      <c r="E8" s="224">
        <v>3</v>
      </c>
      <c r="F8" s="224">
        <v>3</v>
      </c>
      <c r="G8" s="223">
        <v>0.25</v>
      </c>
      <c r="H8" s="223">
        <v>0.25</v>
      </c>
      <c r="I8" s="224">
        <v>4</v>
      </c>
      <c r="J8" s="224" t="s">
        <v>1237</v>
      </c>
      <c r="K8" s="224">
        <v>7</v>
      </c>
      <c r="L8" s="341"/>
      <c r="M8" s="224">
        <v>7</v>
      </c>
      <c r="N8" s="224" t="s">
        <v>1237</v>
      </c>
      <c r="O8" s="224">
        <v>7</v>
      </c>
      <c r="P8" s="224" t="s">
        <v>1237</v>
      </c>
      <c r="Q8" s="224">
        <v>30</v>
      </c>
      <c r="R8" s="337">
        <v>0</v>
      </c>
      <c r="S8" s="339">
        <v>90</v>
      </c>
      <c r="T8" s="339">
        <v>90</v>
      </c>
      <c r="U8" s="339">
        <v>135</v>
      </c>
      <c r="V8" s="339">
        <v>135</v>
      </c>
      <c r="W8" s="339">
        <v>0</v>
      </c>
      <c r="X8" s="339">
        <v>90</v>
      </c>
      <c r="Y8" s="339">
        <v>90</v>
      </c>
      <c r="Z8" s="339">
        <v>135</v>
      </c>
      <c r="AA8" s="339">
        <v>135</v>
      </c>
      <c r="AB8" s="339" t="e">
        <v>#DIV/0!</v>
      </c>
      <c r="AC8" s="342">
        <v>1</v>
      </c>
      <c r="AD8" s="342">
        <v>1</v>
      </c>
      <c r="AE8" s="342">
        <v>1</v>
      </c>
      <c r="AF8" s="342">
        <v>1</v>
      </c>
      <c r="AG8" s="332"/>
    </row>
    <row r="9" spans="1:33" s="333" customFormat="1">
      <c r="A9" s="224">
        <v>3</v>
      </c>
      <c r="B9" s="340" t="s">
        <v>352</v>
      </c>
      <c r="C9" s="341">
        <v>1</v>
      </c>
      <c r="D9" s="224">
        <v>1</v>
      </c>
      <c r="E9" s="224">
        <v>1</v>
      </c>
      <c r="F9" s="224">
        <v>1</v>
      </c>
      <c r="G9" s="223">
        <v>6</v>
      </c>
      <c r="H9" s="223">
        <v>6</v>
      </c>
      <c r="I9" s="224">
        <v>4</v>
      </c>
      <c r="J9" s="224" t="s">
        <v>1236</v>
      </c>
      <c r="K9" s="224">
        <v>4</v>
      </c>
      <c r="L9" s="341"/>
      <c r="M9" s="224">
        <v>6</v>
      </c>
      <c r="N9" s="224" t="s">
        <v>1236</v>
      </c>
      <c r="O9" s="224">
        <v>6</v>
      </c>
      <c r="P9" s="224" t="s">
        <v>1236</v>
      </c>
      <c r="Q9" s="224">
        <v>30</v>
      </c>
      <c r="R9" s="337">
        <v>0</v>
      </c>
      <c r="S9" s="339">
        <v>720</v>
      </c>
      <c r="T9" s="339">
        <v>720</v>
      </c>
      <c r="U9" s="339">
        <v>1080</v>
      </c>
      <c r="V9" s="339">
        <v>1080</v>
      </c>
      <c r="W9" s="339">
        <v>0</v>
      </c>
      <c r="X9" s="339">
        <v>720</v>
      </c>
      <c r="Y9" s="339">
        <v>720</v>
      </c>
      <c r="Z9" s="339">
        <v>1080</v>
      </c>
      <c r="AA9" s="339">
        <v>1080</v>
      </c>
      <c r="AB9" s="339" t="e">
        <v>#DIV/0!</v>
      </c>
      <c r="AC9" s="342">
        <v>1</v>
      </c>
      <c r="AD9" s="342">
        <v>1</v>
      </c>
      <c r="AE9" s="342">
        <v>1</v>
      </c>
      <c r="AF9" s="342">
        <v>1</v>
      </c>
      <c r="AG9" s="332"/>
    </row>
    <row r="10" spans="1:33" s="333" customFormat="1">
      <c r="A10" s="224">
        <v>4</v>
      </c>
      <c r="B10" s="340" t="s">
        <v>353</v>
      </c>
      <c r="C10" s="341">
        <v>1</v>
      </c>
      <c r="D10" s="224">
        <v>1</v>
      </c>
      <c r="E10" s="224">
        <v>1</v>
      </c>
      <c r="F10" s="224">
        <v>1</v>
      </c>
      <c r="G10" s="223">
        <v>2.4</v>
      </c>
      <c r="H10" s="223">
        <v>2.4</v>
      </c>
      <c r="I10" s="224">
        <v>2</v>
      </c>
      <c r="J10" s="224" t="s">
        <v>1236</v>
      </c>
      <c r="K10" s="224">
        <v>4</v>
      </c>
      <c r="L10" s="341"/>
      <c r="M10" s="224">
        <v>6</v>
      </c>
      <c r="N10" s="224" t="s">
        <v>1236</v>
      </c>
      <c r="O10" s="224">
        <v>4</v>
      </c>
      <c r="P10" s="224" t="s">
        <v>1236</v>
      </c>
      <c r="Q10" s="224">
        <v>30</v>
      </c>
      <c r="R10" s="337">
        <v>0</v>
      </c>
      <c r="S10" s="339">
        <v>30</v>
      </c>
      <c r="T10" s="339">
        <v>60</v>
      </c>
      <c r="U10" s="339">
        <v>90</v>
      </c>
      <c r="V10" s="339">
        <v>60</v>
      </c>
      <c r="W10" s="339">
        <v>0</v>
      </c>
      <c r="X10" s="339">
        <v>30</v>
      </c>
      <c r="Y10" s="339">
        <v>60</v>
      </c>
      <c r="Z10" s="339">
        <v>90</v>
      </c>
      <c r="AA10" s="339">
        <v>60</v>
      </c>
      <c r="AB10" s="339" t="e">
        <v>#DIV/0!</v>
      </c>
      <c r="AC10" s="342">
        <v>1</v>
      </c>
      <c r="AD10" s="342">
        <v>1</v>
      </c>
      <c r="AE10" s="342">
        <v>1</v>
      </c>
      <c r="AF10" s="342">
        <v>1</v>
      </c>
      <c r="AG10" s="332"/>
    </row>
    <row r="11" spans="1:33" s="333" customFormat="1">
      <c r="A11" s="224">
        <v>5</v>
      </c>
      <c r="B11" s="340" t="s">
        <v>353</v>
      </c>
      <c r="C11" s="341">
        <v>1</v>
      </c>
      <c r="D11" s="224">
        <v>1</v>
      </c>
      <c r="E11" s="224">
        <v>1</v>
      </c>
      <c r="F11" s="224">
        <v>1</v>
      </c>
      <c r="G11" s="223">
        <v>2.4</v>
      </c>
      <c r="H11" s="223">
        <v>2.4</v>
      </c>
      <c r="I11" s="224">
        <v>2</v>
      </c>
      <c r="J11" s="224" t="s">
        <v>1236</v>
      </c>
      <c r="K11" s="224">
        <v>4</v>
      </c>
      <c r="L11" s="341"/>
      <c r="M11" s="224">
        <v>6</v>
      </c>
      <c r="N11" s="224" t="s">
        <v>1236</v>
      </c>
      <c r="O11" s="224">
        <v>4</v>
      </c>
      <c r="P11" s="224" t="s">
        <v>1236</v>
      </c>
      <c r="Q11" s="224">
        <v>30</v>
      </c>
      <c r="R11" s="337">
        <v>0</v>
      </c>
      <c r="S11" s="339">
        <v>30</v>
      </c>
      <c r="T11" s="339">
        <v>60</v>
      </c>
      <c r="U11" s="339">
        <v>90</v>
      </c>
      <c r="V11" s="339">
        <v>60</v>
      </c>
      <c r="W11" s="339">
        <v>0</v>
      </c>
      <c r="X11" s="339">
        <v>30</v>
      </c>
      <c r="Y11" s="339">
        <v>60</v>
      </c>
      <c r="Z11" s="339">
        <v>90</v>
      </c>
      <c r="AA11" s="339">
        <v>60</v>
      </c>
      <c r="AB11" s="339" t="e">
        <v>#DIV/0!</v>
      </c>
      <c r="AC11" s="342">
        <v>1</v>
      </c>
      <c r="AD11" s="342">
        <v>1</v>
      </c>
      <c r="AE11" s="342">
        <v>1</v>
      </c>
      <c r="AF11" s="342">
        <v>1</v>
      </c>
      <c r="AG11" s="332"/>
    </row>
    <row r="12" spans="1:33" s="333" customFormat="1">
      <c r="A12" s="224">
        <v>6</v>
      </c>
      <c r="B12" s="340" t="s">
        <v>354</v>
      </c>
      <c r="C12" s="341">
        <v>1</v>
      </c>
      <c r="D12" s="224">
        <v>1</v>
      </c>
      <c r="E12" s="224">
        <v>1</v>
      </c>
      <c r="F12" s="224">
        <v>1</v>
      </c>
      <c r="G12" s="223">
        <v>9</v>
      </c>
      <c r="H12" s="223">
        <v>9</v>
      </c>
      <c r="I12" s="224">
        <v>4</v>
      </c>
      <c r="J12" s="224" t="s">
        <v>1237</v>
      </c>
      <c r="K12" s="224">
        <v>7</v>
      </c>
      <c r="L12" s="341"/>
      <c r="M12" s="224">
        <v>7</v>
      </c>
      <c r="N12" s="224" t="s">
        <v>1237</v>
      </c>
      <c r="O12" s="224">
        <v>7</v>
      </c>
      <c r="P12" s="224" t="s">
        <v>1237</v>
      </c>
      <c r="Q12" s="224">
        <v>30</v>
      </c>
      <c r="R12" s="337">
        <v>0</v>
      </c>
      <c r="S12" s="339">
        <v>1080</v>
      </c>
      <c r="T12" s="339">
        <v>1080</v>
      </c>
      <c r="U12" s="339">
        <v>1620</v>
      </c>
      <c r="V12" s="339">
        <v>2160</v>
      </c>
      <c r="W12" s="339">
        <v>0</v>
      </c>
      <c r="X12" s="339">
        <v>1080</v>
      </c>
      <c r="Y12" s="339">
        <v>1080</v>
      </c>
      <c r="Z12" s="339">
        <v>1620</v>
      </c>
      <c r="AA12" s="339">
        <v>2160</v>
      </c>
      <c r="AB12" s="339" t="e">
        <v>#DIV/0!</v>
      </c>
      <c r="AC12" s="342">
        <v>1</v>
      </c>
      <c r="AD12" s="342">
        <v>1</v>
      </c>
      <c r="AE12" s="342">
        <v>1</v>
      </c>
      <c r="AF12" s="342">
        <v>1</v>
      </c>
      <c r="AG12" s="332"/>
    </row>
    <row r="13" spans="1:33" s="333" customFormat="1">
      <c r="A13" s="224">
        <v>7</v>
      </c>
      <c r="B13" s="340" t="s">
        <v>355</v>
      </c>
      <c r="C13" s="224">
        <v>1</v>
      </c>
      <c r="D13" s="224">
        <v>1</v>
      </c>
      <c r="E13" s="224">
        <v>1</v>
      </c>
      <c r="F13" s="224">
        <v>1</v>
      </c>
      <c r="G13" s="223">
        <v>6</v>
      </c>
      <c r="H13" s="223">
        <v>6</v>
      </c>
      <c r="I13" s="224">
        <v>2</v>
      </c>
      <c r="J13" s="224" t="s">
        <v>1236</v>
      </c>
      <c r="K13" s="224">
        <v>4</v>
      </c>
      <c r="L13" s="341"/>
      <c r="M13" s="224">
        <v>6</v>
      </c>
      <c r="N13" s="224" t="s">
        <v>1236</v>
      </c>
      <c r="O13" s="224">
        <v>4</v>
      </c>
      <c r="P13" s="224" t="s">
        <v>1236</v>
      </c>
      <c r="Q13" s="224">
        <v>30</v>
      </c>
      <c r="R13" s="337">
        <v>0</v>
      </c>
      <c r="S13" s="339">
        <v>360</v>
      </c>
      <c r="T13" s="339">
        <v>720</v>
      </c>
      <c r="U13" s="339">
        <v>1080</v>
      </c>
      <c r="V13" s="339">
        <v>720</v>
      </c>
      <c r="W13" s="339">
        <v>0</v>
      </c>
      <c r="X13" s="339">
        <v>360</v>
      </c>
      <c r="Y13" s="339">
        <v>720</v>
      </c>
      <c r="Z13" s="339">
        <v>1080</v>
      </c>
      <c r="AA13" s="339">
        <v>720</v>
      </c>
      <c r="AB13" s="339" t="e">
        <v>#DIV/0!</v>
      </c>
      <c r="AC13" s="342">
        <v>1</v>
      </c>
      <c r="AD13" s="342">
        <v>1</v>
      </c>
      <c r="AE13" s="342">
        <v>1</v>
      </c>
      <c r="AF13" s="342">
        <v>1</v>
      </c>
      <c r="AG13" s="332"/>
    </row>
    <row r="14" spans="1:33" s="333" customFormat="1">
      <c r="A14" s="224">
        <v>8</v>
      </c>
      <c r="B14" s="340" t="s">
        <v>356</v>
      </c>
      <c r="C14" s="224">
        <v>1</v>
      </c>
      <c r="D14" s="224">
        <v>1</v>
      </c>
      <c r="E14" s="224">
        <v>1</v>
      </c>
      <c r="F14" s="224">
        <v>1</v>
      </c>
      <c r="G14" s="223">
        <v>3</v>
      </c>
      <c r="H14" s="223">
        <v>3</v>
      </c>
      <c r="I14" s="224">
        <v>4</v>
      </c>
      <c r="J14" s="224" t="s">
        <v>1236</v>
      </c>
      <c r="K14" s="224">
        <v>4</v>
      </c>
      <c r="L14" s="341"/>
      <c r="M14" s="224">
        <v>6</v>
      </c>
      <c r="N14" s="224" t="s">
        <v>1236</v>
      </c>
      <c r="O14" s="224">
        <v>12</v>
      </c>
      <c r="P14" s="224" t="s">
        <v>1236</v>
      </c>
      <c r="Q14" s="224">
        <v>30</v>
      </c>
      <c r="R14" s="337">
        <v>0</v>
      </c>
      <c r="S14" s="339">
        <v>360</v>
      </c>
      <c r="T14" s="339">
        <v>360</v>
      </c>
      <c r="U14" s="339">
        <v>540</v>
      </c>
      <c r="V14" s="339">
        <v>1080</v>
      </c>
      <c r="W14" s="339">
        <v>0</v>
      </c>
      <c r="X14" s="339">
        <v>360</v>
      </c>
      <c r="Y14" s="339">
        <v>360</v>
      </c>
      <c r="Z14" s="339">
        <v>540</v>
      </c>
      <c r="AA14" s="339">
        <v>1080</v>
      </c>
      <c r="AB14" s="339" t="e">
        <v>#DIV/0!</v>
      </c>
      <c r="AC14" s="342">
        <v>1</v>
      </c>
      <c r="AD14" s="342">
        <v>1</v>
      </c>
      <c r="AE14" s="342">
        <v>1</v>
      </c>
      <c r="AF14" s="342">
        <v>1</v>
      </c>
      <c r="AG14" s="332"/>
    </row>
    <row r="15" spans="1:33" s="333" customFormat="1">
      <c r="A15" s="224">
        <v>9</v>
      </c>
      <c r="B15" s="222" t="s">
        <v>1238</v>
      </c>
      <c r="C15" s="224">
        <v>3</v>
      </c>
      <c r="D15" s="224">
        <v>3</v>
      </c>
      <c r="E15" s="224">
        <v>3</v>
      </c>
      <c r="F15" s="224">
        <v>3</v>
      </c>
      <c r="G15" s="223">
        <v>0.32</v>
      </c>
      <c r="H15" s="223">
        <v>0.32</v>
      </c>
      <c r="I15" s="224">
        <v>12</v>
      </c>
      <c r="J15" s="343" t="s">
        <v>1580</v>
      </c>
      <c r="K15" s="343" t="s">
        <v>1580</v>
      </c>
      <c r="L15" s="341"/>
      <c r="M15" s="224">
        <v>24</v>
      </c>
      <c r="N15" s="224" t="s">
        <v>996</v>
      </c>
      <c r="O15" s="224">
        <v>24</v>
      </c>
      <c r="P15" s="224" t="s">
        <v>996</v>
      </c>
      <c r="Q15" s="224">
        <v>30</v>
      </c>
      <c r="R15" s="337">
        <v>0</v>
      </c>
      <c r="S15" s="339">
        <v>691.19999999999993</v>
      </c>
      <c r="T15" s="339">
        <v>691.19999999999993</v>
      </c>
      <c r="U15" s="339">
        <v>345.59999999999997</v>
      </c>
      <c r="V15" s="339">
        <v>691.19999999999993</v>
      </c>
      <c r="W15" s="339">
        <v>0</v>
      </c>
      <c r="X15" s="339">
        <v>691.19999999999993</v>
      </c>
      <c r="Y15" s="339">
        <v>691.19999999999993</v>
      </c>
      <c r="Z15" s="339">
        <v>345.59999999999997</v>
      </c>
      <c r="AA15" s="339">
        <v>691.19999999999993</v>
      </c>
      <c r="AB15" s="339" t="e">
        <v>#DIV/0!</v>
      </c>
      <c r="AC15" s="342">
        <v>1</v>
      </c>
      <c r="AD15" s="342">
        <v>1</v>
      </c>
      <c r="AE15" s="342">
        <v>1</v>
      </c>
      <c r="AF15" s="342">
        <v>1</v>
      </c>
      <c r="AG15" s="332"/>
    </row>
    <row r="16" spans="1:33" s="333" customFormat="1">
      <c r="A16" s="224">
        <v>10</v>
      </c>
      <c r="B16" s="222" t="s">
        <v>357</v>
      </c>
      <c r="C16" s="224">
        <v>1</v>
      </c>
      <c r="D16" s="224">
        <v>2</v>
      </c>
      <c r="E16" s="224">
        <v>2</v>
      </c>
      <c r="F16" s="224">
        <v>2</v>
      </c>
      <c r="G16" s="223">
        <v>2</v>
      </c>
      <c r="H16" s="223">
        <v>2</v>
      </c>
      <c r="I16" s="224">
        <v>6</v>
      </c>
      <c r="J16" s="224" t="s">
        <v>1239</v>
      </c>
      <c r="K16" s="224">
        <v>6</v>
      </c>
      <c r="L16" s="341"/>
      <c r="M16" s="224">
        <v>12</v>
      </c>
      <c r="N16" s="224" t="s">
        <v>996</v>
      </c>
      <c r="O16" s="224">
        <v>8</v>
      </c>
      <c r="P16" s="224" t="s">
        <v>1133</v>
      </c>
      <c r="Q16" s="224">
        <v>30</v>
      </c>
      <c r="R16" s="337">
        <v>0</v>
      </c>
      <c r="S16" s="339">
        <v>360</v>
      </c>
      <c r="T16" s="339">
        <v>720</v>
      </c>
      <c r="U16" s="339">
        <v>1440</v>
      </c>
      <c r="V16" s="339">
        <v>960</v>
      </c>
      <c r="W16" s="339">
        <v>0</v>
      </c>
      <c r="X16" s="339">
        <v>360</v>
      </c>
      <c r="Y16" s="339">
        <v>720</v>
      </c>
      <c r="Z16" s="339">
        <v>1440</v>
      </c>
      <c r="AA16" s="339">
        <v>960</v>
      </c>
      <c r="AB16" s="339" t="e">
        <v>#DIV/0!</v>
      </c>
      <c r="AC16" s="342">
        <v>1</v>
      </c>
      <c r="AD16" s="342">
        <v>1</v>
      </c>
      <c r="AE16" s="342">
        <v>1</v>
      </c>
      <c r="AF16" s="342">
        <v>1</v>
      </c>
      <c r="AG16" s="332"/>
    </row>
    <row r="17" spans="1:33" s="333" customFormat="1">
      <c r="A17" s="224">
        <v>11</v>
      </c>
      <c r="B17" s="222" t="s">
        <v>358</v>
      </c>
      <c r="C17" s="224">
        <v>1</v>
      </c>
      <c r="D17" s="224">
        <v>1</v>
      </c>
      <c r="E17" s="224">
        <v>1</v>
      </c>
      <c r="F17" s="224">
        <v>1</v>
      </c>
      <c r="G17" s="223">
        <v>0.56000000000000005</v>
      </c>
      <c r="H17" s="223">
        <v>0.56000000000000005</v>
      </c>
      <c r="I17" s="224">
        <v>12</v>
      </c>
      <c r="J17" s="343" t="s">
        <v>1580</v>
      </c>
      <c r="K17" s="343" t="s">
        <v>1580</v>
      </c>
      <c r="L17" s="341"/>
      <c r="M17" s="224">
        <v>24</v>
      </c>
      <c r="N17" s="224" t="s">
        <v>996</v>
      </c>
      <c r="O17" s="224">
        <v>24</v>
      </c>
      <c r="P17" s="224" t="s">
        <v>996</v>
      </c>
      <c r="Q17" s="224">
        <v>30</v>
      </c>
      <c r="R17" s="337">
        <v>0</v>
      </c>
      <c r="S17" s="339">
        <v>403.20000000000005</v>
      </c>
      <c r="T17" s="339">
        <v>403.20000000000005</v>
      </c>
      <c r="U17" s="339">
        <v>201.60000000000002</v>
      </c>
      <c r="V17" s="339">
        <v>403.20000000000005</v>
      </c>
      <c r="W17" s="339">
        <v>0</v>
      </c>
      <c r="X17" s="339">
        <v>403.20000000000005</v>
      </c>
      <c r="Y17" s="339">
        <v>403.20000000000005</v>
      </c>
      <c r="Z17" s="339">
        <v>201.60000000000002</v>
      </c>
      <c r="AA17" s="339">
        <v>403.20000000000005</v>
      </c>
      <c r="AB17" s="339" t="e">
        <v>#DIV/0!</v>
      </c>
      <c r="AC17" s="342">
        <v>1</v>
      </c>
      <c r="AD17" s="342">
        <v>1</v>
      </c>
      <c r="AE17" s="342">
        <v>1</v>
      </c>
      <c r="AF17" s="342">
        <v>1</v>
      </c>
      <c r="AG17" s="332"/>
    </row>
    <row r="18" spans="1:33" s="333" customFormat="1">
      <c r="A18" s="224">
        <v>12</v>
      </c>
      <c r="B18" s="222" t="s">
        <v>359</v>
      </c>
      <c r="C18" s="224">
        <v>2</v>
      </c>
      <c r="D18" s="224">
        <v>2</v>
      </c>
      <c r="E18" s="224">
        <v>2</v>
      </c>
      <c r="F18" s="224">
        <v>2</v>
      </c>
      <c r="G18" s="223">
        <v>0.72</v>
      </c>
      <c r="H18" s="223">
        <v>0.72</v>
      </c>
      <c r="I18" s="224">
        <v>12</v>
      </c>
      <c r="J18" s="343" t="s">
        <v>1580</v>
      </c>
      <c r="K18" s="343" t="s">
        <v>1580</v>
      </c>
      <c r="L18" s="341"/>
      <c r="M18" s="224">
        <v>24</v>
      </c>
      <c r="N18" s="224" t="s">
        <v>996</v>
      </c>
      <c r="O18" s="224">
        <v>24</v>
      </c>
      <c r="P18" s="224" t="s">
        <v>996</v>
      </c>
      <c r="Q18" s="224">
        <v>30</v>
      </c>
      <c r="R18" s="337">
        <v>0</v>
      </c>
      <c r="S18" s="339">
        <v>1036.8000000000002</v>
      </c>
      <c r="T18" s="339">
        <v>1036.8000000000002</v>
      </c>
      <c r="U18" s="339">
        <v>518.40000000000009</v>
      </c>
      <c r="V18" s="339">
        <v>1036.8000000000002</v>
      </c>
      <c r="W18" s="339">
        <v>0</v>
      </c>
      <c r="X18" s="339">
        <v>1036.8000000000002</v>
      </c>
      <c r="Y18" s="339">
        <v>1036.8000000000002</v>
      </c>
      <c r="Z18" s="339">
        <v>518.40000000000009</v>
      </c>
      <c r="AA18" s="339">
        <v>1036.8000000000002</v>
      </c>
      <c r="AB18" s="339" t="e">
        <v>#DIV/0!</v>
      </c>
      <c r="AC18" s="342">
        <v>1</v>
      </c>
      <c r="AD18" s="342">
        <v>1</v>
      </c>
      <c r="AE18" s="342">
        <v>1</v>
      </c>
      <c r="AF18" s="342">
        <v>1</v>
      </c>
      <c r="AG18" s="332"/>
    </row>
    <row r="19" spans="1:33" s="333" customFormat="1">
      <c r="A19" s="224">
        <v>13</v>
      </c>
      <c r="B19" s="222" t="s">
        <v>360</v>
      </c>
      <c r="C19" s="224">
        <v>3</v>
      </c>
      <c r="D19" s="224">
        <v>4</v>
      </c>
      <c r="E19" s="224">
        <v>6</v>
      </c>
      <c r="F19" s="224">
        <v>6</v>
      </c>
      <c r="G19" s="223">
        <v>0.5</v>
      </c>
      <c r="H19" s="223">
        <v>0.5</v>
      </c>
      <c r="I19" s="224">
        <v>6</v>
      </c>
      <c r="J19" s="224" t="s">
        <v>1236</v>
      </c>
      <c r="K19" s="224">
        <v>6</v>
      </c>
      <c r="L19" s="341"/>
      <c r="M19" s="224">
        <v>6</v>
      </c>
      <c r="N19" s="224" t="s">
        <v>1236</v>
      </c>
      <c r="O19" s="224">
        <v>4</v>
      </c>
      <c r="P19" s="224" t="s">
        <v>1236</v>
      </c>
      <c r="Q19" s="224">
        <v>30</v>
      </c>
      <c r="R19" s="337">
        <v>0</v>
      </c>
      <c r="S19" s="339">
        <v>270</v>
      </c>
      <c r="T19" s="339">
        <v>360</v>
      </c>
      <c r="U19" s="339">
        <v>540</v>
      </c>
      <c r="V19" s="339">
        <v>360</v>
      </c>
      <c r="W19" s="339">
        <v>0</v>
      </c>
      <c r="X19" s="339">
        <v>270</v>
      </c>
      <c r="Y19" s="339">
        <v>360</v>
      </c>
      <c r="Z19" s="339">
        <v>540</v>
      </c>
      <c r="AA19" s="339">
        <v>360</v>
      </c>
      <c r="AB19" s="339" t="e">
        <v>#DIV/0!</v>
      </c>
      <c r="AC19" s="342">
        <v>1</v>
      </c>
      <c r="AD19" s="342">
        <v>1</v>
      </c>
      <c r="AE19" s="342">
        <v>1</v>
      </c>
      <c r="AF19" s="342">
        <v>1</v>
      </c>
      <c r="AG19" s="332"/>
    </row>
    <row r="20" spans="1:33" s="333" customFormat="1">
      <c r="A20" s="224">
        <v>14</v>
      </c>
      <c r="B20" s="222" t="s">
        <v>361</v>
      </c>
      <c r="C20" s="224">
        <v>4</v>
      </c>
      <c r="D20" s="224">
        <v>4</v>
      </c>
      <c r="E20" s="224">
        <v>4</v>
      </c>
      <c r="F20" s="224">
        <v>4</v>
      </c>
      <c r="G20" s="223">
        <v>0.25</v>
      </c>
      <c r="H20" s="223">
        <v>0.25</v>
      </c>
      <c r="I20" s="224">
        <v>1</v>
      </c>
      <c r="J20" s="224" t="s">
        <v>1236</v>
      </c>
      <c r="K20" s="224">
        <v>2</v>
      </c>
      <c r="L20" s="341"/>
      <c r="M20" s="224">
        <v>6</v>
      </c>
      <c r="N20" s="224" t="s">
        <v>1236</v>
      </c>
      <c r="O20" s="224">
        <v>4</v>
      </c>
      <c r="P20" s="224" t="s">
        <v>1236</v>
      </c>
      <c r="Q20" s="224">
        <v>30</v>
      </c>
      <c r="R20" s="337">
        <v>0</v>
      </c>
      <c r="S20" s="339">
        <v>30</v>
      </c>
      <c r="T20" s="339">
        <v>60</v>
      </c>
      <c r="U20" s="339">
        <v>180</v>
      </c>
      <c r="V20" s="339">
        <v>120</v>
      </c>
      <c r="W20" s="339">
        <v>0</v>
      </c>
      <c r="X20" s="339">
        <v>30</v>
      </c>
      <c r="Y20" s="339">
        <v>60</v>
      </c>
      <c r="Z20" s="339">
        <v>180</v>
      </c>
      <c r="AA20" s="339">
        <v>120</v>
      </c>
      <c r="AB20" s="339" t="e">
        <v>#DIV/0!</v>
      </c>
      <c r="AC20" s="342">
        <v>1</v>
      </c>
      <c r="AD20" s="342">
        <v>1</v>
      </c>
      <c r="AE20" s="342">
        <v>1</v>
      </c>
      <c r="AF20" s="342">
        <v>1</v>
      </c>
      <c r="AG20" s="332"/>
    </row>
    <row r="21" spans="1:33" s="333" customFormat="1">
      <c r="A21" s="224">
        <v>15</v>
      </c>
      <c r="B21" s="222" t="s">
        <v>362</v>
      </c>
      <c r="C21" s="341">
        <v>1</v>
      </c>
      <c r="D21" s="224">
        <v>1</v>
      </c>
      <c r="E21" s="224">
        <v>1</v>
      </c>
      <c r="F21" s="224">
        <v>1</v>
      </c>
      <c r="G21" s="223">
        <v>1.4</v>
      </c>
      <c r="H21" s="223">
        <v>1.4</v>
      </c>
      <c r="I21" s="224">
        <v>2</v>
      </c>
      <c r="J21" s="224" t="s">
        <v>1236</v>
      </c>
      <c r="K21" s="224">
        <v>4</v>
      </c>
      <c r="L21" s="341"/>
      <c r="M21" s="224">
        <v>6</v>
      </c>
      <c r="N21" s="224" t="s">
        <v>1236</v>
      </c>
      <c r="O21" s="224">
        <v>4</v>
      </c>
      <c r="P21" s="224" t="s">
        <v>1236</v>
      </c>
      <c r="Q21" s="224">
        <v>30</v>
      </c>
      <c r="R21" s="337">
        <v>0</v>
      </c>
      <c r="S21" s="339">
        <v>84</v>
      </c>
      <c r="T21" s="339">
        <v>168</v>
      </c>
      <c r="U21" s="339">
        <v>251.99999999999994</v>
      </c>
      <c r="V21" s="339">
        <v>168</v>
      </c>
      <c r="W21" s="339">
        <v>0</v>
      </c>
      <c r="X21" s="339">
        <v>84</v>
      </c>
      <c r="Y21" s="339">
        <v>168</v>
      </c>
      <c r="Z21" s="339">
        <v>251.99999999999994</v>
      </c>
      <c r="AA21" s="339">
        <v>168</v>
      </c>
      <c r="AB21" s="339" t="e">
        <v>#DIV/0!</v>
      </c>
      <c r="AC21" s="342">
        <v>1</v>
      </c>
      <c r="AD21" s="342">
        <v>1</v>
      </c>
      <c r="AE21" s="342">
        <v>1</v>
      </c>
      <c r="AF21" s="342">
        <v>1</v>
      </c>
      <c r="AG21" s="332"/>
    </row>
    <row r="22" spans="1:33" s="333" customFormat="1">
      <c r="A22" s="224">
        <v>17</v>
      </c>
      <c r="B22" s="340" t="s">
        <v>363</v>
      </c>
      <c r="C22" s="341">
        <v>1</v>
      </c>
      <c r="D22" s="224">
        <v>1</v>
      </c>
      <c r="E22" s="224">
        <v>1</v>
      </c>
      <c r="F22" s="224">
        <v>1</v>
      </c>
      <c r="G22" s="223">
        <v>0.35</v>
      </c>
      <c r="H22" s="223">
        <v>0.35</v>
      </c>
      <c r="I22" s="224">
        <v>2</v>
      </c>
      <c r="J22" s="224" t="s">
        <v>1236</v>
      </c>
      <c r="K22" s="224">
        <v>4</v>
      </c>
      <c r="L22" s="341"/>
      <c r="M22" s="224">
        <v>6</v>
      </c>
      <c r="N22" s="224" t="s">
        <v>1236</v>
      </c>
      <c r="O22" s="224">
        <v>4</v>
      </c>
      <c r="P22" s="224" t="s">
        <v>1236</v>
      </c>
      <c r="Q22" s="224">
        <v>30</v>
      </c>
      <c r="R22" s="337">
        <v>0</v>
      </c>
      <c r="S22" s="339">
        <v>39</v>
      </c>
      <c r="T22" s="339">
        <v>78</v>
      </c>
      <c r="U22" s="339">
        <v>117.00000000000001</v>
      </c>
      <c r="V22" s="339">
        <v>78</v>
      </c>
      <c r="W22" s="339">
        <v>0</v>
      </c>
      <c r="X22" s="339">
        <v>39</v>
      </c>
      <c r="Y22" s="339">
        <v>78</v>
      </c>
      <c r="Z22" s="339">
        <v>117.00000000000001</v>
      </c>
      <c r="AA22" s="339">
        <v>78</v>
      </c>
      <c r="AB22" s="339" t="e">
        <v>#DIV/0!</v>
      </c>
      <c r="AC22" s="342">
        <v>1</v>
      </c>
      <c r="AD22" s="342">
        <v>1</v>
      </c>
      <c r="AE22" s="342">
        <v>1</v>
      </c>
      <c r="AF22" s="342">
        <v>1</v>
      </c>
      <c r="AG22" s="332"/>
    </row>
    <row r="23" spans="1:33" s="333" customFormat="1">
      <c r="A23" s="224">
        <v>18</v>
      </c>
      <c r="B23" s="340" t="s">
        <v>364</v>
      </c>
      <c r="C23" s="341">
        <v>1</v>
      </c>
      <c r="D23" s="224">
        <v>1</v>
      </c>
      <c r="E23" s="224">
        <v>1</v>
      </c>
      <c r="F23" s="224">
        <v>1</v>
      </c>
      <c r="G23" s="223">
        <v>0.35</v>
      </c>
      <c r="H23" s="223">
        <v>0.35</v>
      </c>
      <c r="I23" s="224">
        <v>1</v>
      </c>
      <c r="J23" s="224" t="s">
        <v>1236</v>
      </c>
      <c r="K23" s="224">
        <v>2</v>
      </c>
      <c r="L23" s="341"/>
      <c r="M23" s="224">
        <v>6</v>
      </c>
      <c r="N23" s="224" t="s">
        <v>1236</v>
      </c>
      <c r="O23" s="224">
        <v>2</v>
      </c>
      <c r="P23" s="224" t="s">
        <v>1236</v>
      </c>
      <c r="Q23" s="224">
        <v>30</v>
      </c>
      <c r="R23" s="337">
        <v>0</v>
      </c>
      <c r="S23" s="339">
        <v>21</v>
      </c>
      <c r="T23" s="339">
        <v>42</v>
      </c>
      <c r="U23" s="339">
        <v>62.999999999999986</v>
      </c>
      <c r="V23" s="339">
        <v>42</v>
      </c>
      <c r="W23" s="339">
        <v>0</v>
      </c>
      <c r="X23" s="339">
        <v>21</v>
      </c>
      <c r="Y23" s="339">
        <v>42</v>
      </c>
      <c r="Z23" s="339">
        <v>62.999999999999986</v>
      </c>
      <c r="AA23" s="339">
        <v>42</v>
      </c>
      <c r="AB23" s="339" t="e">
        <v>#DIV/0!</v>
      </c>
      <c r="AC23" s="342">
        <v>1</v>
      </c>
      <c r="AD23" s="342">
        <v>1</v>
      </c>
      <c r="AE23" s="342">
        <v>1</v>
      </c>
      <c r="AF23" s="342">
        <v>1</v>
      </c>
      <c r="AG23" s="332"/>
    </row>
    <row r="24" spans="1:33" s="333" customFormat="1">
      <c r="A24" s="224">
        <v>19</v>
      </c>
      <c r="B24" s="340" t="s">
        <v>365</v>
      </c>
      <c r="C24" s="223">
        <v>1</v>
      </c>
      <c r="D24" s="224">
        <v>1</v>
      </c>
      <c r="E24" s="224">
        <v>1</v>
      </c>
      <c r="F24" s="224">
        <v>1</v>
      </c>
      <c r="G24" s="223">
        <v>0.78</v>
      </c>
      <c r="H24" s="223">
        <v>0.78</v>
      </c>
      <c r="I24" s="224">
        <v>1</v>
      </c>
      <c r="J24" s="224" t="s">
        <v>1236</v>
      </c>
      <c r="K24" s="224">
        <v>2</v>
      </c>
      <c r="L24" s="341"/>
      <c r="M24" s="224">
        <v>6</v>
      </c>
      <c r="N24" s="224" t="s">
        <v>1236</v>
      </c>
      <c r="O24" s="224">
        <v>3</v>
      </c>
      <c r="P24" s="224" t="s">
        <v>1236</v>
      </c>
      <c r="Q24" s="224">
        <v>30</v>
      </c>
      <c r="R24" s="337">
        <v>0</v>
      </c>
      <c r="S24" s="339">
        <v>10.5</v>
      </c>
      <c r="T24" s="339">
        <v>21</v>
      </c>
      <c r="U24" s="339">
        <v>62.999999999999986</v>
      </c>
      <c r="V24" s="339">
        <v>21</v>
      </c>
      <c r="W24" s="339">
        <v>0</v>
      </c>
      <c r="X24" s="339">
        <v>10.5</v>
      </c>
      <c r="Y24" s="339">
        <v>21</v>
      </c>
      <c r="Z24" s="339">
        <v>62.999999999999986</v>
      </c>
      <c r="AA24" s="339">
        <v>21</v>
      </c>
      <c r="AB24" s="339" t="e">
        <v>#DIV/0!</v>
      </c>
      <c r="AC24" s="342">
        <v>1</v>
      </c>
      <c r="AD24" s="342">
        <v>1</v>
      </c>
      <c r="AE24" s="342">
        <v>1</v>
      </c>
      <c r="AF24" s="342">
        <v>1</v>
      </c>
      <c r="AG24" s="332"/>
    </row>
    <row r="25" spans="1:33" s="333" customFormat="1">
      <c r="A25" s="224">
        <v>20</v>
      </c>
      <c r="B25" s="340" t="s">
        <v>366</v>
      </c>
      <c r="C25" s="223">
        <v>1</v>
      </c>
      <c r="D25" s="224">
        <v>1</v>
      </c>
      <c r="E25" s="224">
        <v>1</v>
      </c>
      <c r="F25" s="224">
        <v>1</v>
      </c>
      <c r="G25" s="223">
        <v>1.85</v>
      </c>
      <c r="H25" s="223">
        <v>1.85</v>
      </c>
      <c r="I25" s="224">
        <v>24</v>
      </c>
      <c r="J25" s="224" t="s">
        <v>996</v>
      </c>
      <c r="K25" s="224">
        <v>24</v>
      </c>
      <c r="L25" s="341"/>
      <c r="M25" s="224">
        <v>24</v>
      </c>
      <c r="N25" s="224" t="s">
        <v>996</v>
      </c>
      <c r="O25" s="224">
        <v>24</v>
      </c>
      <c r="P25" s="224" t="s">
        <v>996</v>
      </c>
      <c r="Q25" s="224">
        <v>30</v>
      </c>
      <c r="R25" s="337">
        <v>0</v>
      </c>
      <c r="S25" s="339">
        <v>23.400000000000002</v>
      </c>
      <c r="T25" s="339">
        <v>46.800000000000004</v>
      </c>
      <c r="U25" s="339">
        <v>140.39999999999998</v>
      </c>
      <c r="V25" s="339">
        <v>70.199999999999989</v>
      </c>
      <c r="W25" s="339">
        <v>0</v>
      </c>
      <c r="X25" s="339">
        <v>23.400000000000002</v>
      </c>
      <c r="Y25" s="339">
        <v>46.800000000000004</v>
      </c>
      <c r="Z25" s="339">
        <v>140.39999999999998</v>
      </c>
      <c r="AA25" s="339">
        <v>70.199999999999989</v>
      </c>
      <c r="AB25" s="339" t="e">
        <v>#DIV/0!</v>
      </c>
      <c r="AC25" s="342">
        <v>1</v>
      </c>
      <c r="AD25" s="342">
        <v>1</v>
      </c>
      <c r="AE25" s="342">
        <v>1</v>
      </c>
      <c r="AF25" s="342">
        <v>1</v>
      </c>
      <c r="AG25" s="332"/>
    </row>
    <row r="26" spans="1:33" s="333" customFormat="1">
      <c r="A26" s="224">
        <v>21</v>
      </c>
      <c r="B26" s="222" t="s">
        <v>367</v>
      </c>
      <c r="C26" s="223">
        <v>2</v>
      </c>
      <c r="D26" s="224">
        <v>2</v>
      </c>
      <c r="E26" s="224">
        <v>2</v>
      </c>
      <c r="F26" s="224">
        <v>2</v>
      </c>
      <c r="G26" s="223">
        <v>1.85</v>
      </c>
      <c r="H26" s="223">
        <v>1.85</v>
      </c>
      <c r="I26" s="224">
        <v>24</v>
      </c>
      <c r="J26" s="224" t="s">
        <v>996</v>
      </c>
      <c r="K26" s="224">
        <v>24</v>
      </c>
      <c r="L26" s="341"/>
      <c r="M26" s="224">
        <v>24</v>
      </c>
      <c r="N26" s="224" t="s">
        <v>996</v>
      </c>
      <c r="O26" s="224">
        <v>24</v>
      </c>
      <c r="P26" s="224" t="s">
        <v>996</v>
      </c>
      <c r="Q26" s="224">
        <v>30</v>
      </c>
      <c r="R26" s="337">
        <v>0</v>
      </c>
      <c r="S26" s="339">
        <v>1332.0000000000002</v>
      </c>
      <c r="T26" s="339">
        <v>1332.0000000000002</v>
      </c>
      <c r="U26" s="339">
        <v>333.00000000000006</v>
      </c>
      <c r="V26" s="339">
        <v>1332.0000000000002</v>
      </c>
      <c r="W26" s="339">
        <v>0</v>
      </c>
      <c r="X26" s="339">
        <v>1332.0000000000002</v>
      </c>
      <c r="Y26" s="339">
        <v>1332.0000000000002</v>
      </c>
      <c r="Z26" s="339">
        <v>333.00000000000006</v>
      </c>
      <c r="AA26" s="339">
        <v>1332.0000000000002</v>
      </c>
      <c r="AB26" s="339" t="e">
        <v>#DIV/0!</v>
      </c>
      <c r="AC26" s="342">
        <v>1</v>
      </c>
      <c r="AD26" s="342">
        <v>1</v>
      </c>
      <c r="AE26" s="342">
        <v>1</v>
      </c>
      <c r="AF26" s="342">
        <v>1</v>
      </c>
      <c r="AG26" s="332"/>
    </row>
    <row r="27" spans="1:33" s="344" customFormat="1">
      <c r="A27" s="224">
        <v>22</v>
      </c>
      <c r="B27" s="222" t="s">
        <v>368</v>
      </c>
      <c r="C27" s="223">
        <v>1</v>
      </c>
      <c r="D27" s="224">
        <v>1</v>
      </c>
      <c r="E27" s="224">
        <v>1</v>
      </c>
      <c r="F27" s="224">
        <v>1</v>
      </c>
      <c r="G27" s="223">
        <v>2.8</v>
      </c>
      <c r="H27" s="223">
        <v>2.8</v>
      </c>
      <c r="I27" s="224">
        <v>24</v>
      </c>
      <c r="J27" s="224" t="s">
        <v>996</v>
      </c>
      <c r="K27" s="224">
        <v>24</v>
      </c>
      <c r="L27" s="341"/>
      <c r="M27" s="224">
        <v>24</v>
      </c>
      <c r="N27" s="224" t="s">
        <v>996</v>
      </c>
      <c r="O27" s="224">
        <v>24</v>
      </c>
      <c r="P27" s="224" t="s">
        <v>996</v>
      </c>
      <c r="Q27" s="224">
        <v>30</v>
      </c>
      <c r="R27" s="337">
        <v>0</v>
      </c>
      <c r="S27" s="339">
        <v>2664.0000000000005</v>
      </c>
      <c r="T27" s="339">
        <v>2664.0000000000005</v>
      </c>
      <c r="U27" s="339">
        <v>666.00000000000011</v>
      </c>
      <c r="V27" s="339">
        <v>2664.0000000000005</v>
      </c>
      <c r="W27" s="339">
        <v>0</v>
      </c>
      <c r="X27" s="339">
        <v>2664.0000000000005</v>
      </c>
      <c r="Y27" s="339">
        <v>2664.0000000000005</v>
      </c>
      <c r="Z27" s="339">
        <v>666.00000000000011</v>
      </c>
      <c r="AA27" s="339">
        <v>2664.0000000000005</v>
      </c>
      <c r="AB27" s="339" t="e">
        <v>#DIV/0!</v>
      </c>
      <c r="AC27" s="342">
        <v>1</v>
      </c>
      <c r="AD27" s="342">
        <v>1</v>
      </c>
      <c r="AE27" s="342">
        <v>1</v>
      </c>
      <c r="AF27" s="342">
        <v>1</v>
      </c>
    </row>
    <row r="28" spans="1:33" s="333" customFormat="1">
      <c r="A28" s="224">
        <v>23</v>
      </c>
      <c r="B28" s="222" t="s">
        <v>369</v>
      </c>
      <c r="C28" s="223">
        <v>1</v>
      </c>
      <c r="D28" s="224">
        <v>1</v>
      </c>
      <c r="E28" s="224">
        <v>1</v>
      </c>
      <c r="F28" s="224">
        <v>1</v>
      </c>
      <c r="G28" s="223">
        <v>15</v>
      </c>
      <c r="H28" s="223">
        <v>15</v>
      </c>
      <c r="I28" s="224">
        <v>4</v>
      </c>
      <c r="J28" s="224" t="s">
        <v>1236</v>
      </c>
      <c r="K28" s="224">
        <v>4</v>
      </c>
      <c r="L28" s="341"/>
      <c r="M28" s="224">
        <v>6</v>
      </c>
      <c r="N28" s="224" t="s">
        <v>1236</v>
      </c>
      <c r="O28" s="224">
        <v>6</v>
      </c>
      <c r="P28" s="224" t="s">
        <v>1236</v>
      </c>
      <c r="Q28" s="224">
        <v>30</v>
      </c>
      <c r="R28" s="337">
        <v>0</v>
      </c>
      <c r="S28" s="339">
        <v>2015.9999999999995</v>
      </c>
      <c r="T28" s="339">
        <v>2015.9999999999995</v>
      </c>
      <c r="U28" s="339">
        <v>503.99999999999989</v>
      </c>
      <c r="V28" s="339">
        <v>2015.9999999999995</v>
      </c>
      <c r="W28" s="339">
        <v>0</v>
      </c>
      <c r="X28" s="339">
        <v>2015.9999999999995</v>
      </c>
      <c r="Y28" s="339">
        <v>2015.9999999999995</v>
      </c>
      <c r="Z28" s="339">
        <v>503.99999999999989</v>
      </c>
      <c r="AA28" s="339">
        <v>2015.9999999999995</v>
      </c>
      <c r="AB28" s="339" t="e">
        <v>#DIV/0!</v>
      </c>
      <c r="AC28" s="342">
        <v>1</v>
      </c>
      <c r="AD28" s="342">
        <v>1</v>
      </c>
      <c r="AE28" s="342">
        <v>1</v>
      </c>
      <c r="AF28" s="342">
        <v>1</v>
      </c>
      <c r="AG28" s="332"/>
    </row>
    <row r="29" spans="1:33" s="333" customFormat="1">
      <c r="A29" s="224">
        <v>26</v>
      </c>
      <c r="B29" s="222" t="s">
        <v>371</v>
      </c>
      <c r="C29" s="223"/>
      <c r="D29" s="224">
        <v>1</v>
      </c>
      <c r="E29" s="224">
        <v>1</v>
      </c>
      <c r="F29" s="224">
        <v>1</v>
      </c>
      <c r="G29" s="223">
        <v>3.2</v>
      </c>
      <c r="H29" s="223">
        <v>3.2</v>
      </c>
      <c r="I29" s="224">
        <v>4</v>
      </c>
      <c r="J29" s="224" t="s">
        <v>1236</v>
      </c>
      <c r="K29" s="224">
        <v>4</v>
      </c>
      <c r="L29" s="341"/>
      <c r="M29" s="224">
        <v>6</v>
      </c>
      <c r="N29" s="224" t="s">
        <v>1236</v>
      </c>
      <c r="O29" s="224">
        <v>5</v>
      </c>
      <c r="P29" s="224" t="s">
        <v>1236</v>
      </c>
      <c r="Q29" s="224">
        <v>30</v>
      </c>
      <c r="R29" s="337">
        <v>0</v>
      </c>
      <c r="S29" s="339">
        <v>1800</v>
      </c>
      <c r="T29" s="339">
        <v>1800</v>
      </c>
      <c r="U29" s="339">
        <v>2700</v>
      </c>
      <c r="V29" s="339">
        <v>2700</v>
      </c>
      <c r="W29" s="339">
        <v>0</v>
      </c>
      <c r="X29" s="339">
        <v>1800</v>
      </c>
      <c r="Y29" s="339">
        <v>1800</v>
      </c>
      <c r="Z29" s="339">
        <v>2700</v>
      </c>
      <c r="AA29" s="339">
        <v>2700</v>
      </c>
      <c r="AB29" s="339" t="e">
        <v>#DIV/0!</v>
      </c>
      <c r="AC29" s="342">
        <v>1</v>
      </c>
      <c r="AD29" s="342">
        <v>1</v>
      </c>
      <c r="AE29" s="342">
        <v>1</v>
      </c>
      <c r="AF29" s="342">
        <v>1</v>
      </c>
      <c r="AG29" s="332"/>
    </row>
    <row r="30" spans="1:33" s="333" customFormat="1">
      <c r="A30" s="224">
        <v>27</v>
      </c>
      <c r="B30" s="222" t="s">
        <v>372</v>
      </c>
      <c r="C30" s="223">
        <v>18</v>
      </c>
      <c r="D30" s="224">
        <v>18</v>
      </c>
      <c r="E30" s="224">
        <v>18</v>
      </c>
      <c r="F30" s="224">
        <v>18</v>
      </c>
      <c r="G30" s="223">
        <v>2.2000000000000002</v>
      </c>
      <c r="H30" s="223">
        <v>2.2000000000000002</v>
      </c>
      <c r="I30" s="224">
        <v>4</v>
      </c>
      <c r="J30" s="224" t="s">
        <v>1236</v>
      </c>
      <c r="K30" s="224">
        <v>4</v>
      </c>
      <c r="L30" s="341"/>
      <c r="M30" s="224">
        <v>6</v>
      </c>
      <c r="N30" s="224" t="s">
        <v>1236</v>
      </c>
      <c r="O30" s="224">
        <v>4</v>
      </c>
      <c r="P30" s="224" t="s">
        <v>1236</v>
      </c>
      <c r="Q30" s="224">
        <v>30</v>
      </c>
      <c r="R30" s="337">
        <v>0</v>
      </c>
      <c r="S30" s="339">
        <v>0</v>
      </c>
      <c r="T30" s="339">
        <v>384</v>
      </c>
      <c r="U30" s="339">
        <v>576.00000000000011</v>
      </c>
      <c r="V30" s="339">
        <v>480</v>
      </c>
      <c r="W30" s="339">
        <v>0</v>
      </c>
      <c r="X30" s="339">
        <v>0</v>
      </c>
      <c r="Y30" s="339">
        <v>384</v>
      </c>
      <c r="Z30" s="339">
        <v>576.00000000000011</v>
      </c>
      <c r="AA30" s="339">
        <v>480</v>
      </c>
      <c r="AB30" s="339" t="e">
        <v>#DIV/0!</v>
      </c>
      <c r="AC30" s="342" t="e">
        <v>#DIV/0!</v>
      </c>
      <c r="AD30" s="342">
        <v>1</v>
      </c>
      <c r="AE30" s="342">
        <v>1</v>
      </c>
      <c r="AF30" s="342">
        <v>1</v>
      </c>
      <c r="AG30" s="332"/>
    </row>
    <row r="31" spans="1:33" s="333" customFormat="1">
      <c r="A31" s="224">
        <v>28</v>
      </c>
      <c r="B31" s="222" t="s">
        <v>552</v>
      </c>
      <c r="C31" s="223">
        <v>2</v>
      </c>
      <c r="D31" s="224">
        <v>2</v>
      </c>
      <c r="E31" s="224">
        <v>2</v>
      </c>
      <c r="F31" s="224">
        <v>2</v>
      </c>
      <c r="G31" s="223">
        <v>3.5</v>
      </c>
      <c r="H31" s="223">
        <v>3.5</v>
      </c>
      <c r="I31" s="224">
        <v>4</v>
      </c>
      <c r="J31" s="224" t="s">
        <v>1236</v>
      </c>
      <c r="K31" s="224">
        <v>4</v>
      </c>
      <c r="L31" s="341"/>
      <c r="M31" s="224">
        <v>6</v>
      </c>
      <c r="N31" s="224" t="s">
        <v>1236</v>
      </c>
      <c r="O31" s="224">
        <v>4</v>
      </c>
      <c r="P31" s="224" t="s">
        <v>1236</v>
      </c>
      <c r="Q31" s="224">
        <v>30</v>
      </c>
      <c r="R31" s="337">
        <v>0</v>
      </c>
      <c r="S31" s="339">
        <v>528</v>
      </c>
      <c r="T31" s="339">
        <v>1056</v>
      </c>
      <c r="U31" s="339">
        <v>1584.0000000000002</v>
      </c>
      <c r="V31" s="339">
        <v>1056</v>
      </c>
      <c r="W31" s="339">
        <v>0</v>
      </c>
      <c r="X31" s="339">
        <v>528</v>
      </c>
      <c r="Y31" s="339">
        <v>1056</v>
      </c>
      <c r="Z31" s="339">
        <v>1584.0000000000002</v>
      </c>
      <c r="AA31" s="339">
        <v>1056</v>
      </c>
      <c r="AB31" s="339" t="e">
        <v>#DIV/0!</v>
      </c>
      <c r="AC31" s="342">
        <v>1</v>
      </c>
      <c r="AD31" s="342">
        <v>1</v>
      </c>
      <c r="AE31" s="342">
        <v>1</v>
      </c>
      <c r="AF31" s="342">
        <v>1</v>
      </c>
      <c r="AG31" s="332"/>
    </row>
    <row r="32" spans="1:33" s="333" customFormat="1">
      <c r="A32" s="224">
        <v>29</v>
      </c>
      <c r="B32" s="345" t="s">
        <v>347</v>
      </c>
      <c r="C32" s="223">
        <v>1</v>
      </c>
      <c r="D32" s="224">
        <v>1</v>
      </c>
      <c r="E32" s="224">
        <v>1</v>
      </c>
      <c r="F32" s="224">
        <v>1</v>
      </c>
      <c r="G32" s="223">
        <v>3.3</v>
      </c>
      <c r="H32" s="223">
        <v>3.3</v>
      </c>
      <c r="I32" s="224">
        <v>24</v>
      </c>
      <c r="J32" s="224" t="s">
        <v>996</v>
      </c>
      <c r="K32" s="224">
        <v>24</v>
      </c>
      <c r="L32" s="224"/>
      <c r="M32" s="224">
        <v>24</v>
      </c>
      <c r="N32" s="224" t="s">
        <v>996</v>
      </c>
      <c r="O32" s="224">
        <v>4</v>
      </c>
      <c r="P32" s="224" t="s">
        <v>996</v>
      </c>
      <c r="Q32" s="224">
        <v>30</v>
      </c>
      <c r="R32" s="337">
        <v>0</v>
      </c>
      <c r="S32" s="339">
        <v>840</v>
      </c>
      <c r="T32" s="339">
        <v>840</v>
      </c>
      <c r="U32" s="339">
        <v>1260</v>
      </c>
      <c r="V32" s="339">
        <v>840</v>
      </c>
      <c r="W32" s="339">
        <v>0</v>
      </c>
      <c r="X32" s="339">
        <v>840</v>
      </c>
      <c r="Y32" s="339">
        <v>840</v>
      </c>
      <c r="Z32" s="339">
        <v>1260</v>
      </c>
      <c r="AA32" s="339">
        <v>840</v>
      </c>
      <c r="AB32" s="339" t="e">
        <v>#DIV/0!</v>
      </c>
      <c r="AC32" s="342">
        <v>1</v>
      </c>
      <c r="AD32" s="342">
        <v>1</v>
      </c>
      <c r="AE32" s="342">
        <v>1</v>
      </c>
      <c r="AF32" s="342">
        <v>1</v>
      </c>
      <c r="AG32" s="332"/>
    </row>
    <row r="33" spans="1:33" s="333" customFormat="1">
      <c r="A33" s="224">
        <v>30</v>
      </c>
      <c r="B33" s="345" t="s">
        <v>348</v>
      </c>
      <c r="C33" s="223">
        <v>1</v>
      </c>
      <c r="D33" s="224">
        <v>1</v>
      </c>
      <c r="E33" s="224">
        <v>1</v>
      </c>
      <c r="F33" s="224">
        <v>1</v>
      </c>
      <c r="G33" s="223">
        <v>2</v>
      </c>
      <c r="H33" s="223">
        <v>2</v>
      </c>
      <c r="I33" s="224">
        <v>12</v>
      </c>
      <c r="J33" s="343" t="s">
        <v>1580</v>
      </c>
      <c r="K33" s="343" t="s">
        <v>1580</v>
      </c>
      <c r="L33" s="224"/>
      <c r="M33" s="224">
        <v>24</v>
      </c>
      <c r="N33" s="224" t="s">
        <v>996</v>
      </c>
      <c r="O33" s="224">
        <v>24</v>
      </c>
      <c r="P33" s="224" t="s">
        <v>996</v>
      </c>
      <c r="Q33" s="224">
        <v>30</v>
      </c>
      <c r="R33" s="337"/>
      <c r="S33" s="339"/>
      <c r="T33" s="339"/>
      <c r="U33" s="339"/>
      <c r="V33" s="339"/>
      <c r="W33" s="339"/>
      <c r="X33" s="339"/>
      <c r="Y33" s="339"/>
      <c r="Z33" s="339"/>
      <c r="AA33" s="339"/>
      <c r="AB33" s="339"/>
      <c r="AC33" s="342"/>
      <c r="AD33" s="342"/>
      <c r="AE33" s="342"/>
      <c r="AF33" s="342"/>
      <c r="AG33" s="332"/>
    </row>
    <row r="34" spans="1:33" s="333" customFormat="1">
      <c r="A34" s="224">
        <v>31</v>
      </c>
      <c r="B34" s="345" t="s">
        <v>1240</v>
      </c>
      <c r="C34" s="223">
        <v>1</v>
      </c>
      <c r="D34" s="224">
        <v>1</v>
      </c>
      <c r="E34" s="224">
        <v>1</v>
      </c>
      <c r="F34" s="224">
        <v>1</v>
      </c>
      <c r="G34" s="223">
        <v>76</v>
      </c>
      <c r="H34" s="223">
        <v>76</v>
      </c>
      <c r="I34" s="224">
        <v>5</v>
      </c>
      <c r="J34" s="224" t="s">
        <v>1241</v>
      </c>
      <c r="K34" s="224">
        <v>5</v>
      </c>
      <c r="L34" s="224"/>
      <c r="M34" s="224">
        <v>6</v>
      </c>
      <c r="N34" s="224" t="s">
        <v>1241</v>
      </c>
      <c r="O34" s="224">
        <v>6</v>
      </c>
      <c r="P34" s="224" t="s">
        <v>1241</v>
      </c>
      <c r="Q34" s="224">
        <v>30</v>
      </c>
      <c r="R34" s="337">
        <v>0</v>
      </c>
      <c r="S34" s="339">
        <v>0</v>
      </c>
      <c r="T34" s="339">
        <v>0</v>
      </c>
      <c r="U34" s="339">
        <v>0</v>
      </c>
      <c r="V34" s="339">
        <v>0</v>
      </c>
      <c r="W34" s="339">
        <v>0</v>
      </c>
      <c r="X34" s="339">
        <v>0</v>
      </c>
      <c r="Y34" s="339">
        <v>0</v>
      </c>
      <c r="Z34" s="339">
        <v>0</v>
      </c>
      <c r="AA34" s="339">
        <v>0</v>
      </c>
      <c r="AB34" s="339" t="e">
        <v>#DIV/0!</v>
      </c>
      <c r="AC34" s="342" t="e">
        <v>#DIV/0!</v>
      </c>
      <c r="AD34" s="342" t="e">
        <v>#DIV/0!</v>
      </c>
      <c r="AE34" s="342" t="e">
        <v>#DIV/0!</v>
      </c>
      <c r="AF34" s="342" t="e">
        <v>#DIV/0!</v>
      </c>
      <c r="AG34" s="332"/>
    </row>
    <row r="35" spans="1:33" s="333" customFormat="1">
      <c r="A35" s="224">
        <v>32</v>
      </c>
      <c r="B35" s="345" t="s">
        <v>982</v>
      </c>
      <c r="C35" s="223">
        <v>1</v>
      </c>
      <c r="D35" s="224">
        <v>1</v>
      </c>
      <c r="E35" s="224">
        <v>1</v>
      </c>
      <c r="F35" s="224">
        <v>1</v>
      </c>
      <c r="G35" s="223">
        <v>12</v>
      </c>
      <c r="H35" s="223">
        <v>12</v>
      </c>
      <c r="I35" s="224">
        <v>5</v>
      </c>
      <c r="J35" s="224" t="s">
        <v>1241</v>
      </c>
      <c r="K35" s="224">
        <v>5</v>
      </c>
      <c r="L35" s="224"/>
      <c r="M35" s="224">
        <v>6</v>
      </c>
      <c r="N35" s="224" t="s">
        <v>1241</v>
      </c>
      <c r="O35" s="224">
        <v>6</v>
      </c>
      <c r="P35" s="224" t="s">
        <v>1241</v>
      </c>
      <c r="Q35" s="224">
        <v>30</v>
      </c>
      <c r="R35" s="337"/>
      <c r="S35" s="339">
        <v>0</v>
      </c>
      <c r="T35" s="339">
        <v>0</v>
      </c>
      <c r="U35" s="339">
        <v>0</v>
      </c>
      <c r="V35" s="339">
        <v>0</v>
      </c>
      <c r="W35" s="339"/>
      <c r="X35" s="339">
        <v>0</v>
      </c>
      <c r="Y35" s="339">
        <v>0</v>
      </c>
      <c r="Z35" s="339">
        <v>0</v>
      </c>
      <c r="AA35" s="339">
        <v>0</v>
      </c>
      <c r="AB35" s="339"/>
      <c r="AC35" s="342" t="e">
        <v>#DIV/0!</v>
      </c>
      <c r="AD35" s="342" t="e">
        <v>#DIV/0!</v>
      </c>
      <c r="AE35" s="342" t="e">
        <v>#DIV/0!</v>
      </c>
      <c r="AF35" s="342" t="e">
        <v>#DIV/0!</v>
      </c>
      <c r="AG35" s="332"/>
    </row>
    <row r="36" spans="1:33" s="333" customFormat="1">
      <c r="A36" s="334" t="s">
        <v>1242</v>
      </c>
      <c r="B36" s="346" t="s">
        <v>325</v>
      </c>
      <c r="C36" s="347"/>
      <c r="D36" s="334"/>
      <c r="E36" s="334"/>
      <c r="F36" s="334"/>
      <c r="G36" s="347"/>
      <c r="H36" s="347"/>
      <c r="I36" s="334"/>
      <c r="J36" s="334"/>
      <c r="K36" s="334"/>
      <c r="L36" s="334"/>
      <c r="M36" s="334"/>
      <c r="N36" s="334"/>
      <c r="O36" s="334"/>
      <c r="P36" s="334"/>
      <c r="Q36" s="337"/>
      <c r="R36" s="337"/>
      <c r="S36" s="339">
        <v>0</v>
      </c>
      <c r="T36" s="339">
        <v>0</v>
      </c>
      <c r="U36" s="339">
        <v>0</v>
      </c>
      <c r="V36" s="339"/>
      <c r="W36" s="339"/>
      <c r="X36" s="339">
        <v>0</v>
      </c>
      <c r="Y36" s="339">
        <v>0</v>
      </c>
      <c r="Z36" s="339">
        <v>0</v>
      </c>
      <c r="AA36" s="339"/>
      <c r="AB36" s="339"/>
      <c r="AC36" s="342"/>
      <c r="AD36" s="342"/>
      <c r="AE36" s="342"/>
      <c r="AF36" s="342"/>
      <c r="AG36" s="332"/>
    </row>
    <row r="37" spans="1:33" s="333" customFormat="1">
      <c r="A37" s="224">
        <v>1</v>
      </c>
      <c r="B37" s="345" t="s">
        <v>350</v>
      </c>
      <c r="C37" s="223">
        <v>3</v>
      </c>
      <c r="D37" s="224">
        <v>3</v>
      </c>
      <c r="E37" s="224">
        <v>3</v>
      </c>
      <c r="F37" s="224">
        <v>3</v>
      </c>
      <c r="G37" s="223">
        <v>2.5</v>
      </c>
      <c r="H37" s="223">
        <v>2.5</v>
      </c>
      <c r="I37" s="224">
        <v>0</v>
      </c>
      <c r="J37" s="224"/>
      <c r="K37" s="224">
        <v>0</v>
      </c>
      <c r="L37" s="224"/>
      <c r="M37" s="224">
        <v>4</v>
      </c>
      <c r="N37" s="224" t="s">
        <v>1236</v>
      </c>
      <c r="O37" s="224">
        <v>4</v>
      </c>
      <c r="P37" s="224" t="s">
        <v>1236</v>
      </c>
      <c r="Q37" s="224">
        <v>30</v>
      </c>
      <c r="R37" s="337">
        <v>0</v>
      </c>
      <c r="S37" s="339">
        <v>0</v>
      </c>
      <c r="T37" s="339">
        <v>0</v>
      </c>
      <c r="U37" s="339">
        <v>0</v>
      </c>
      <c r="V37" s="339">
        <v>0</v>
      </c>
      <c r="W37" s="339">
        <v>0</v>
      </c>
      <c r="X37" s="339">
        <v>0</v>
      </c>
      <c r="Y37" s="339">
        <v>0</v>
      </c>
      <c r="Z37" s="339">
        <v>0</v>
      </c>
      <c r="AA37" s="339">
        <v>0</v>
      </c>
      <c r="AB37" s="339" t="e">
        <v>#DIV/0!</v>
      </c>
      <c r="AC37" s="342" t="e">
        <v>#DIV/0!</v>
      </c>
      <c r="AD37" s="342" t="e">
        <v>#DIV/0!</v>
      </c>
      <c r="AE37" s="342" t="e">
        <v>#DIV/0!</v>
      </c>
      <c r="AF37" s="342" t="e">
        <v>#DIV/0!</v>
      </c>
      <c r="AG37" s="332"/>
    </row>
    <row r="38" spans="1:33" s="333" customFormat="1">
      <c r="A38" s="224">
        <v>2</v>
      </c>
      <c r="B38" s="345" t="s">
        <v>353</v>
      </c>
      <c r="C38" s="223">
        <v>1</v>
      </c>
      <c r="D38" s="224">
        <v>1</v>
      </c>
      <c r="E38" s="224">
        <v>1</v>
      </c>
      <c r="F38" s="224">
        <v>1</v>
      </c>
      <c r="G38" s="223">
        <v>2.4</v>
      </c>
      <c r="H38" s="223">
        <v>2.4</v>
      </c>
      <c r="I38" s="224">
        <v>0</v>
      </c>
      <c r="J38" s="224"/>
      <c r="K38" s="224">
        <v>0</v>
      </c>
      <c r="L38" s="224"/>
      <c r="M38" s="224">
        <v>6</v>
      </c>
      <c r="N38" s="224" t="s">
        <v>1243</v>
      </c>
      <c r="O38" s="224">
        <v>4</v>
      </c>
      <c r="P38" s="224" t="s">
        <v>1243</v>
      </c>
      <c r="Q38" s="224">
        <v>30</v>
      </c>
      <c r="R38" s="337">
        <v>0</v>
      </c>
      <c r="S38" s="339">
        <v>0</v>
      </c>
      <c r="T38" s="339">
        <v>900</v>
      </c>
      <c r="U38" s="339">
        <v>0</v>
      </c>
      <c r="V38" s="339">
        <v>900</v>
      </c>
      <c r="W38" s="339">
        <v>0</v>
      </c>
      <c r="X38" s="339">
        <v>0</v>
      </c>
      <c r="Y38" s="339">
        <v>900</v>
      </c>
      <c r="Z38" s="339">
        <v>0</v>
      </c>
      <c r="AA38" s="339">
        <v>900</v>
      </c>
      <c r="AB38" s="339" t="e">
        <v>#DIV/0!</v>
      </c>
      <c r="AC38" s="342" t="e">
        <v>#DIV/0!</v>
      </c>
      <c r="AD38" s="342">
        <v>1</v>
      </c>
      <c r="AE38" s="342" t="e">
        <v>#DIV/0!</v>
      </c>
      <c r="AF38" s="342">
        <v>1</v>
      </c>
      <c r="AG38" s="332"/>
    </row>
    <row r="39" spans="1:33" s="333" customFormat="1">
      <c r="A39" s="224">
        <v>3</v>
      </c>
      <c r="B39" s="345" t="s">
        <v>374</v>
      </c>
      <c r="C39" s="223">
        <v>1</v>
      </c>
      <c r="D39" s="224">
        <v>1</v>
      </c>
      <c r="E39" s="224">
        <v>1</v>
      </c>
      <c r="F39" s="224">
        <v>1</v>
      </c>
      <c r="G39" s="223">
        <v>18</v>
      </c>
      <c r="H39" s="223">
        <v>18</v>
      </c>
      <c r="I39" s="224">
        <v>0</v>
      </c>
      <c r="J39" s="224"/>
      <c r="K39" s="224">
        <v>0</v>
      </c>
      <c r="L39" s="224"/>
      <c r="M39" s="224">
        <v>4</v>
      </c>
      <c r="N39" s="224" t="s">
        <v>1236</v>
      </c>
      <c r="O39" s="224">
        <v>4</v>
      </c>
      <c r="P39" s="224" t="s">
        <v>1236</v>
      </c>
      <c r="Q39" s="224">
        <v>30</v>
      </c>
      <c r="R39" s="337">
        <v>0</v>
      </c>
      <c r="S39" s="339">
        <v>0</v>
      </c>
      <c r="T39" s="339">
        <v>0</v>
      </c>
      <c r="U39" s="339">
        <v>0</v>
      </c>
      <c r="V39" s="339">
        <v>0</v>
      </c>
      <c r="W39" s="339">
        <v>0</v>
      </c>
      <c r="X39" s="339">
        <v>0</v>
      </c>
      <c r="Y39" s="339">
        <v>0</v>
      </c>
      <c r="Z39" s="339">
        <v>0</v>
      </c>
      <c r="AA39" s="339">
        <v>0</v>
      </c>
      <c r="AB39" s="339" t="e">
        <v>#DIV/0!</v>
      </c>
      <c r="AC39" s="342" t="e">
        <v>#DIV/0!</v>
      </c>
      <c r="AD39" s="342" t="e">
        <v>#DIV/0!</v>
      </c>
      <c r="AE39" s="342" t="e">
        <v>#DIV/0!</v>
      </c>
      <c r="AF39" s="342" t="e">
        <v>#DIV/0!</v>
      </c>
      <c r="AG39" s="332"/>
    </row>
    <row r="40" spans="1:33" s="333" customFormat="1">
      <c r="A40" s="224">
        <v>4</v>
      </c>
      <c r="B40" s="345" t="s">
        <v>355</v>
      </c>
      <c r="C40" s="223">
        <v>1</v>
      </c>
      <c r="D40" s="348">
        <v>1</v>
      </c>
      <c r="E40" s="341">
        <v>1</v>
      </c>
      <c r="F40" s="341">
        <v>1</v>
      </c>
      <c r="G40" s="223">
        <v>6</v>
      </c>
      <c r="H40" s="223">
        <v>6</v>
      </c>
      <c r="I40" s="224">
        <v>0</v>
      </c>
      <c r="J40" s="224"/>
      <c r="K40" s="224">
        <v>0</v>
      </c>
      <c r="L40" s="224"/>
      <c r="M40" s="341">
        <v>6</v>
      </c>
      <c r="N40" s="224" t="s">
        <v>1236</v>
      </c>
      <c r="O40" s="341">
        <v>4</v>
      </c>
      <c r="P40" s="224" t="s">
        <v>1236</v>
      </c>
      <c r="Q40" s="224">
        <v>30</v>
      </c>
      <c r="R40" s="337">
        <v>0</v>
      </c>
      <c r="S40" s="339">
        <v>0</v>
      </c>
      <c r="T40" s="339">
        <v>0</v>
      </c>
      <c r="U40" s="339">
        <v>0</v>
      </c>
      <c r="V40" s="339">
        <v>0</v>
      </c>
      <c r="W40" s="339">
        <v>0</v>
      </c>
      <c r="X40" s="339">
        <v>0</v>
      </c>
      <c r="Y40" s="339">
        <v>0</v>
      </c>
      <c r="Z40" s="339">
        <v>0</v>
      </c>
      <c r="AA40" s="339">
        <v>0</v>
      </c>
      <c r="AB40" s="339" t="e">
        <v>#DIV/0!</v>
      </c>
      <c r="AC40" s="342" t="e">
        <v>#DIV/0!</v>
      </c>
      <c r="AD40" s="342" t="e">
        <v>#DIV/0!</v>
      </c>
      <c r="AE40" s="342" t="e">
        <v>#DIV/0!</v>
      </c>
      <c r="AF40" s="342" t="e">
        <v>#DIV/0!</v>
      </c>
      <c r="AG40" s="332"/>
    </row>
    <row r="41" spans="1:33" s="333" customFormat="1">
      <c r="A41" s="224">
        <v>5</v>
      </c>
      <c r="B41" s="345" t="s">
        <v>375</v>
      </c>
      <c r="C41" s="223">
        <v>1</v>
      </c>
      <c r="D41" s="224">
        <v>1</v>
      </c>
      <c r="E41" s="224">
        <v>1</v>
      </c>
      <c r="F41" s="224">
        <v>1</v>
      </c>
      <c r="G41" s="223">
        <v>3</v>
      </c>
      <c r="H41" s="223">
        <v>3</v>
      </c>
      <c r="I41" s="224">
        <v>0</v>
      </c>
      <c r="J41" s="224"/>
      <c r="K41" s="224">
        <v>0</v>
      </c>
      <c r="L41" s="224"/>
      <c r="M41" s="224">
        <v>24</v>
      </c>
      <c r="N41" s="224" t="s">
        <v>996</v>
      </c>
      <c r="O41" s="224">
        <v>24</v>
      </c>
      <c r="P41" s="224" t="s">
        <v>996</v>
      </c>
      <c r="Q41" s="224">
        <v>30</v>
      </c>
      <c r="R41" s="337">
        <v>0</v>
      </c>
      <c r="S41" s="339">
        <v>0</v>
      </c>
      <c r="T41" s="339">
        <v>720</v>
      </c>
      <c r="U41" s="339">
        <v>0</v>
      </c>
      <c r="V41" s="339">
        <v>720</v>
      </c>
      <c r="W41" s="339">
        <v>0</v>
      </c>
      <c r="X41" s="339">
        <v>0</v>
      </c>
      <c r="Y41" s="339">
        <v>720</v>
      </c>
      <c r="Z41" s="339">
        <v>0</v>
      </c>
      <c r="AA41" s="339">
        <v>720</v>
      </c>
      <c r="AB41" s="339" t="e">
        <v>#DIV/0!</v>
      </c>
      <c r="AC41" s="342" t="e">
        <v>#DIV/0!</v>
      </c>
      <c r="AD41" s="342">
        <v>1</v>
      </c>
      <c r="AE41" s="342" t="e">
        <v>#DIV/0!</v>
      </c>
      <c r="AF41" s="342">
        <v>1</v>
      </c>
      <c r="AG41" s="332"/>
    </row>
    <row r="42" spans="1:33" s="333" customFormat="1">
      <c r="A42" s="224">
        <v>9</v>
      </c>
      <c r="B42" s="345" t="s">
        <v>360</v>
      </c>
      <c r="C42" s="223">
        <v>5</v>
      </c>
      <c r="D42" s="224">
        <v>5</v>
      </c>
      <c r="E42" s="224">
        <v>5</v>
      </c>
      <c r="F42" s="224">
        <v>5</v>
      </c>
      <c r="G42" s="223">
        <v>0.5</v>
      </c>
      <c r="H42" s="223">
        <v>0.5</v>
      </c>
      <c r="I42" s="224">
        <v>0</v>
      </c>
      <c r="J42" s="224"/>
      <c r="K42" s="224">
        <v>0</v>
      </c>
      <c r="L42" s="224"/>
      <c r="M42" s="224">
        <v>4</v>
      </c>
      <c r="N42" s="224" t="s">
        <v>1236</v>
      </c>
      <c r="O42" s="224">
        <v>4</v>
      </c>
      <c r="P42" s="224" t="s">
        <v>1236</v>
      </c>
      <c r="Q42" s="224">
        <v>30</v>
      </c>
      <c r="R42" s="337">
        <v>0</v>
      </c>
      <c r="S42" s="339">
        <v>0</v>
      </c>
      <c r="T42" s="339">
        <v>2160</v>
      </c>
      <c r="U42" s="339">
        <v>0</v>
      </c>
      <c r="V42" s="339">
        <v>2160</v>
      </c>
      <c r="W42" s="339">
        <v>0</v>
      </c>
      <c r="X42" s="339">
        <v>0</v>
      </c>
      <c r="Y42" s="339">
        <v>2160</v>
      </c>
      <c r="Z42" s="339">
        <v>0</v>
      </c>
      <c r="AA42" s="339">
        <v>2160</v>
      </c>
      <c r="AB42" s="339" t="e">
        <v>#DIV/0!</v>
      </c>
      <c r="AC42" s="342" t="e">
        <v>#DIV/0!</v>
      </c>
      <c r="AD42" s="342">
        <v>1</v>
      </c>
      <c r="AE42" s="342" t="e">
        <v>#DIV/0!</v>
      </c>
      <c r="AF42" s="342">
        <v>1</v>
      </c>
      <c r="AG42" s="332"/>
    </row>
    <row r="43" spans="1:33" s="333" customFormat="1">
      <c r="A43" s="224">
        <v>10</v>
      </c>
      <c r="B43" s="345" t="s">
        <v>381</v>
      </c>
      <c r="C43" s="223">
        <v>2</v>
      </c>
      <c r="D43" s="224">
        <v>2</v>
      </c>
      <c r="E43" s="224">
        <v>2</v>
      </c>
      <c r="F43" s="224">
        <v>2</v>
      </c>
      <c r="G43" s="223">
        <v>0.25</v>
      </c>
      <c r="H43" s="223">
        <v>0.25</v>
      </c>
      <c r="I43" s="224">
        <v>0</v>
      </c>
      <c r="J43" s="224"/>
      <c r="K43" s="224">
        <v>0</v>
      </c>
      <c r="L43" s="224"/>
      <c r="M43" s="224">
        <v>4</v>
      </c>
      <c r="N43" s="224" t="s">
        <v>1236</v>
      </c>
      <c r="O43" s="224">
        <v>4</v>
      </c>
      <c r="P43" s="224" t="s">
        <v>1236</v>
      </c>
      <c r="Q43" s="224">
        <v>30</v>
      </c>
      <c r="R43" s="337">
        <v>0</v>
      </c>
      <c r="S43" s="339">
        <v>0</v>
      </c>
      <c r="T43" s="339">
        <v>480</v>
      </c>
      <c r="U43" s="339">
        <v>0</v>
      </c>
      <c r="V43" s="339">
        <v>480</v>
      </c>
      <c r="W43" s="339">
        <v>0</v>
      </c>
      <c r="X43" s="339">
        <v>0</v>
      </c>
      <c r="Y43" s="339">
        <v>480</v>
      </c>
      <c r="Z43" s="339">
        <v>0</v>
      </c>
      <c r="AA43" s="339">
        <v>480</v>
      </c>
      <c r="AB43" s="339" t="e">
        <v>#DIV/0!</v>
      </c>
      <c r="AC43" s="342" t="e">
        <v>#DIV/0!</v>
      </c>
      <c r="AD43" s="342">
        <v>1</v>
      </c>
      <c r="AE43" s="342" t="e">
        <v>#DIV/0!</v>
      </c>
      <c r="AF43" s="342">
        <v>1</v>
      </c>
      <c r="AG43" s="332"/>
    </row>
    <row r="44" spans="1:33" s="333" customFormat="1">
      <c r="A44" s="224">
        <v>11</v>
      </c>
      <c r="B44" s="345" t="s">
        <v>382</v>
      </c>
      <c r="C44" s="223">
        <v>1</v>
      </c>
      <c r="D44" s="224">
        <v>5</v>
      </c>
      <c r="E44" s="224">
        <v>5</v>
      </c>
      <c r="F44" s="224">
        <v>5</v>
      </c>
      <c r="G44" s="223">
        <v>0.5</v>
      </c>
      <c r="H44" s="223">
        <v>0.5</v>
      </c>
      <c r="I44" s="224">
        <v>0</v>
      </c>
      <c r="J44" s="224"/>
      <c r="K44" s="224">
        <v>0</v>
      </c>
      <c r="L44" s="224"/>
      <c r="M44" s="224">
        <v>4</v>
      </c>
      <c r="N44" s="224" t="s">
        <v>1236</v>
      </c>
      <c r="O44" s="224">
        <v>4</v>
      </c>
      <c r="P44" s="224" t="s">
        <v>1236</v>
      </c>
      <c r="Q44" s="224">
        <v>30</v>
      </c>
      <c r="R44" s="337">
        <v>0</v>
      </c>
      <c r="S44" s="339">
        <v>0</v>
      </c>
      <c r="T44" s="339">
        <v>403.20000000000005</v>
      </c>
      <c r="U44" s="339">
        <v>0</v>
      </c>
      <c r="V44" s="339">
        <v>403.20000000000005</v>
      </c>
      <c r="W44" s="339">
        <v>0</v>
      </c>
      <c r="X44" s="339">
        <v>0</v>
      </c>
      <c r="Y44" s="339">
        <v>403.20000000000005</v>
      </c>
      <c r="Z44" s="339">
        <v>0</v>
      </c>
      <c r="AA44" s="339">
        <v>403.20000000000005</v>
      </c>
      <c r="AB44" s="339" t="e">
        <v>#DIV/0!</v>
      </c>
      <c r="AC44" s="342" t="e">
        <v>#DIV/0!</v>
      </c>
      <c r="AD44" s="342">
        <v>1</v>
      </c>
      <c r="AE44" s="342" t="e">
        <v>#DIV/0!</v>
      </c>
      <c r="AF44" s="342">
        <v>1</v>
      </c>
      <c r="AG44" s="332"/>
    </row>
    <row r="45" spans="1:33" s="333" customFormat="1">
      <c r="A45" s="224">
        <v>12</v>
      </c>
      <c r="B45" s="345" t="s">
        <v>383</v>
      </c>
      <c r="C45" s="223">
        <v>1</v>
      </c>
      <c r="D45" s="348">
        <v>1</v>
      </c>
      <c r="E45" s="341">
        <v>1</v>
      </c>
      <c r="F45" s="341">
        <v>1</v>
      </c>
      <c r="G45" s="223">
        <v>1.4</v>
      </c>
      <c r="H45" s="223">
        <v>1.4</v>
      </c>
      <c r="I45" s="224">
        <v>0</v>
      </c>
      <c r="J45" s="224"/>
      <c r="K45" s="224">
        <v>0</v>
      </c>
      <c r="L45" s="224"/>
      <c r="M45" s="348">
        <v>4</v>
      </c>
      <c r="N45" s="224" t="s">
        <v>1236</v>
      </c>
      <c r="O45" s="341">
        <v>4</v>
      </c>
      <c r="P45" s="224" t="s">
        <v>1236</v>
      </c>
      <c r="Q45" s="224">
        <v>30</v>
      </c>
      <c r="R45" s="337">
        <v>0</v>
      </c>
      <c r="S45" s="339">
        <v>0</v>
      </c>
      <c r="T45" s="339">
        <v>453.6</v>
      </c>
      <c r="U45" s="339">
        <v>0</v>
      </c>
      <c r="V45" s="339">
        <v>453.6</v>
      </c>
      <c r="W45" s="339">
        <v>0</v>
      </c>
      <c r="X45" s="339">
        <v>0</v>
      </c>
      <c r="Y45" s="339">
        <v>453.6</v>
      </c>
      <c r="Z45" s="339">
        <v>0</v>
      </c>
      <c r="AA45" s="339">
        <v>453.6</v>
      </c>
      <c r="AB45" s="339" t="e">
        <v>#DIV/0!</v>
      </c>
      <c r="AC45" s="342" t="e">
        <v>#DIV/0!</v>
      </c>
      <c r="AD45" s="342">
        <v>1</v>
      </c>
      <c r="AE45" s="342" t="e">
        <v>#DIV/0!</v>
      </c>
      <c r="AF45" s="342">
        <v>1</v>
      </c>
      <c r="AG45" s="332"/>
    </row>
    <row r="46" spans="1:33" s="333" customFormat="1">
      <c r="A46" s="224">
        <v>13</v>
      </c>
      <c r="B46" s="345" t="s">
        <v>384</v>
      </c>
      <c r="C46" s="223">
        <v>1</v>
      </c>
      <c r="D46" s="224">
        <v>1</v>
      </c>
      <c r="E46" s="224">
        <v>1</v>
      </c>
      <c r="F46" s="224">
        <v>1</v>
      </c>
      <c r="G46" s="223">
        <v>15</v>
      </c>
      <c r="H46" s="223">
        <v>15</v>
      </c>
      <c r="I46" s="224">
        <v>0</v>
      </c>
      <c r="J46" s="224"/>
      <c r="K46" s="224">
        <v>0</v>
      </c>
      <c r="L46" s="224"/>
      <c r="M46" s="224">
        <v>4</v>
      </c>
      <c r="N46" s="224" t="s">
        <v>1236</v>
      </c>
      <c r="O46" s="224">
        <v>6</v>
      </c>
      <c r="P46" s="224" t="s">
        <v>1236</v>
      </c>
      <c r="Q46" s="224">
        <v>30</v>
      </c>
      <c r="R46" s="337">
        <v>0</v>
      </c>
      <c r="S46" s="339">
        <v>0</v>
      </c>
      <c r="T46" s="339">
        <v>300</v>
      </c>
      <c r="U46" s="339">
        <v>0</v>
      </c>
      <c r="V46" s="339">
        <v>300</v>
      </c>
      <c r="W46" s="339">
        <v>0</v>
      </c>
      <c r="X46" s="339">
        <v>0</v>
      </c>
      <c r="Y46" s="339">
        <v>300</v>
      </c>
      <c r="Z46" s="339">
        <v>0</v>
      </c>
      <c r="AA46" s="339">
        <v>300</v>
      </c>
      <c r="AB46" s="339" t="e">
        <v>#DIV/0!</v>
      </c>
      <c r="AC46" s="342" t="e">
        <v>#DIV/0!</v>
      </c>
      <c r="AD46" s="342">
        <v>1</v>
      </c>
      <c r="AE46" s="342" t="e">
        <v>#DIV/0!</v>
      </c>
      <c r="AF46" s="342">
        <v>1</v>
      </c>
      <c r="AG46" s="332"/>
    </row>
    <row r="47" spans="1:33" s="333" customFormat="1">
      <c r="A47" s="224">
        <v>14</v>
      </c>
      <c r="B47" s="345" t="s">
        <v>372</v>
      </c>
      <c r="C47" s="223">
        <v>20</v>
      </c>
      <c r="D47" s="223">
        <v>20</v>
      </c>
      <c r="E47" s="223">
        <v>20</v>
      </c>
      <c r="F47" s="223">
        <v>20</v>
      </c>
      <c r="G47" s="223">
        <v>2.2000000000000002</v>
      </c>
      <c r="H47" s="223">
        <v>2.2000000000000002</v>
      </c>
      <c r="I47" s="224">
        <v>0</v>
      </c>
      <c r="J47" s="224"/>
      <c r="K47" s="224">
        <v>0</v>
      </c>
      <c r="L47" s="224"/>
      <c r="M47" s="223">
        <v>4</v>
      </c>
      <c r="N47" s="224" t="s">
        <v>1236</v>
      </c>
      <c r="O47" s="223">
        <v>4</v>
      </c>
      <c r="P47" s="224" t="s">
        <v>1236</v>
      </c>
      <c r="Q47" s="224">
        <v>30</v>
      </c>
      <c r="R47" s="337">
        <v>0</v>
      </c>
      <c r="S47" s="339">
        <v>0</v>
      </c>
      <c r="T47" s="339">
        <v>240</v>
      </c>
      <c r="U47" s="339">
        <v>0</v>
      </c>
      <c r="V47" s="339">
        <v>240</v>
      </c>
      <c r="W47" s="339">
        <v>0</v>
      </c>
      <c r="X47" s="339">
        <v>0</v>
      </c>
      <c r="Y47" s="339">
        <v>240</v>
      </c>
      <c r="Z47" s="339">
        <v>0</v>
      </c>
      <c r="AA47" s="339">
        <v>240</v>
      </c>
      <c r="AB47" s="339" t="e">
        <v>#DIV/0!</v>
      </c>
      <c r="AC47" s="342" t="e">
        <v>#DIV/0!</v>
      </c>
      <c r="AD47" s="342">
        <v>1</v>
      </c>
      <c r="AE47" s="342" t="e">
        <v>#DIV/0!</v>
      </c>
      <c r="AF47" s="342">
        <v>1</v>
      </c>
      <c r="AG47" s="332"/>
    </row>
    <row r="48" spans="1:33" s="333" customFormat="1">
      <c r="A48" s="224">
        <v>15</v>
      </c>
      <c r="B48" s="345" t="s">
        <v>982</v>
      </c>
      <c r="C48" s="223">
        <v>1</v>
      </c>
      <c r="D48" s="224">
        <v>1</v>
      </c>
      <c r="E48" s="224">
        <v>1</v>
      </c>
      <c r="F48" s="224">
        <v>1</v>
      </c>
      <c r="G48" s="223">
        <v>12</v>
      </c>
      <c r="H48" s="223">
        <v>12</v>
      </c>
      <c r="I48" s="224">
        <v>0</v>
      </c>
      <c r="J48" s="224"/>
      <c r="K48" s="224">
        <v>0</v>
      </c>
      <c r="L48" s="224"/>
      <c r="M48" s="224">
        <v>5</v>
      </c>
      <c r="N48" s="224" t="s">
        <v>1244</v>
      </c>
      <c r="O48" s="224">
        <v>6</v>
      </c>
      <c r="P48" s="224" t="s">
        <v>1244</v>
      </c>
      <c r="Q48" s="224">
        <v>30</v>
      </c>
      <c r="R48" s="337">
        <v>0</v>
      </c>
      <c r="S48" s="339">
        <v>0</v>
      </c>
      <c r="T48" s="339">
        <v>300</v>
      </c>
      <c r="U48" s="339">
        <v>0</v>
      </c>
      <c r="V48" s="339">
        <v>300</v>
      </c>
      <c r="W48" s="339">
        <v>0</v>
      </c>
      <c r="X48" s="339">
        <v>0</v>
      </c>
      <c r="Y48" s="339">
        <v>300</v>
      </c>
      <c r="Z48" s="339">
        <v>0</v>
      </c>
      <c r="AA48" s="339">
        <v>300</v>
      </c>
      <c r="AB48" s="339" t="e">
        <v>#DIV/0!</v>
      </c>
      <c r="AC48" s="342" t="e">
        <v>#DIV/0!</v>
      </c>
      <c r="AD48" s="342">
        <v>1</v>
      </c>
      <c r="AE48" s="342" t="e">
        <v>#DIV/0!</v>
      </c>
      <c r="AF48" s="342">
        <v>1</v>
      </c>
      <c r="AG48" s="332"/>
    </row>
    <row r="49" spans="1:33" s="333" customFormat="1">
      <c r="A49" s="224">
        <v>16</v>
      </c>
      <c r="B49" s="345" t="s">
        <v>1245</v>
      </c>
      <c r="C49" s="223">
        <v>1</v>
      </c>
      <c r="D49" s="224">
        <v>1</v>
      </c>
      <c r="E49" s="224">
        <v>1</v>
      </c>
      <c r="F49" s="224">
        <v>1</v>
      </c>
      <c r="G49" s="223">
        <v>76</v>
      </c>
      <c r="H49" s="223">
        <v>76</v>
      </c>
      <c r="I49" s="224">
        <v>0</v>
      </c>
      <c r="J49" s="224"/>
      <c r="K49" s="224">
        <v>0</v>
      </c>
      <c r="L49" s="224"/>
      <c r="M49" s="224">
        <v>5</v>
      </c>
      <c r="N49" s="224" t="s">
        <v>1244</v>
      </c>
      <c r="O49" s="224">
        <v>6</v>
      </c>
      <c r="P49" s="224" t="s">
        <v>1244</v>
      </c>
      <c r="Q49" s="224">
        <v>30</v>
      </c>
      <c r="R49" s="337">
        <v>0</v>
      </c>
      <c r="S49" s="339">
        <v>0</v>
      </c>
      <c r="T49" s="339">
        <v>168</v>
      </c>
      <c r="U49" s="339">
        <v>0</v>
      </c>
      <c r="V49" s="339">
        <v>168</v>
      </c>
      <c r="W49" s="339">
        <v>0</v>
      </c>
      <c r="X49" s="339">
        <v>0</v>
      </c>
      <c r="Y49" s="339">
        <v>168</v>
      </c>
      <c r="Z49" s="339">
        <v>0</v>
      </c>
      <c r="AA49" s="339">
        <v>168</v>
      </c>
      <c r="AB49" s="339" t="e">
        <v>#DIV/0!</v>
      </c>
      <c r="AC49" s="342" t="e">
        <v>#DIV/0!</v>
      </c>
      <c r="AD49" s="342">
        <v>1</v>
      </c>
      <c r="AE49" s="342" t="e">
        <v>#DIV/0!</v>
      </c>
      <c r="AF49" s="342">
        <v>1</v>
      </c>
      <c r="AG49" s="332"/>
    </row>
    <row r="50" spans="1:33" s="333" customFormat="1">
      <c r="A50" s="334" t="s">
        <v>1246</v>
      </c>
      <c r="B50" s="346" t="s">
        <v>329</v>
      </c>
      <c r="C50" s="223"/>
      <c r="D50" s="224"/>
      <c r="E50" s="224"/>
      <c r="F50" s="224"/>
      <c r="G50" s="223"/>
      <c r="H50" s="223"/>
      <c r="I50" s="224"/>
      <c r="J50" s="224"/>
      <c r="K50" s="224"/>
      <c r="L50" s="224"/>
      <c r="M50" s="224"/>
      <c r="N50" s="224"/>
      <c r="O50" s="224"/>
      <c r="P50" s="224"/>
      <c r="Q50" s="337"/>
      <c r="R50" s="337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42"/>
      <c r="AD50" s="342"/>
      <c r="AE50" s="342"/>
      <c r="AF50" s="342"/>
      <c r="AG50" s="332"/>
    </row>
    <row r="51" spans="1:33" s="333" customFormat="1">
      <c r="A51" s="224">
        <v>1</v>
      </c>
      <c r="B51" s="345" t="s">
        <v>373</v>
      </c>
      <c r="C51" s="223">
        <v>1</v>
      </c>
      <c r="D51" s="223">
        <v>1</v>
      </c>
      <c r="E51" s="224">
        <v>2</v>
      </c>
      <c r="F51" s="224">
        <v>2</v>
      </c>
      <c r="G51" s="223">
        <v>0.25</v>
      </c>
      <c r="H51" s="223">
        <v>0.25</v>
      </c>
      <c r="I51" s="224">
        <v>4</v>
      </c>
      <c r="J51" s="224" t="s">
        <v>1236</v>
      </c>
      <c r="K51" s="224">
        <v>4</v>
      </c>
      <c r="L51" s="224" t="s">
        <v>1236</v>
      </c>
      <c r="M51" s="224">
        <v>4</v>
      </c>
      <c r="N51" s="224" t="s">
        <v>1236</v>
      </c>
      <c r="O51" s="224">
        <v>6</v>
      </c>
      <c r="P51" s="224" t="s">
        <v>1236</v>
      </c>
      <c r="Q51" s="224">
        <v>30</v>
      </c>
      <c r="R51" s="337">
        <v>0</v>
      </c>
      <c r="S51" s="339">
        <v>0</v>
      </c>
      <c r="T51" s="339">
        <v>4224</v>
      </c>
      <c r="U51" s="339">
        <v>0</v>
      </c>
      <c r="V51" s="339">
        <v>4224</v>
      </c>
      <c r="W51" s="339">
        <v>0</v>
      </c>
      <c r="X51" s="339">
        <v>0</v>
      </c>
      <c r="Y51" s="339">
        <v>4224</v>
      </c>
      <c r="Z51" s="339">
        <v>0</v>
      </c>
      <c r="AA51" s="339">
        <v>4224</v>
      </c>
      <c r="AB51" s="339" t="e">
        <v>#DIV/0!</v>
      </c>
      <c r="AC51" s="342" t="e">
        <v>#DIV/0!</v>
      </c>
      <c r="AD51" s="342">
        <v>1</v>
      </c>
      <c r="AE51" s="342" t="e">
        <v>#DIV/0!</v>
      </c>
      <c r="AF51" s="342">
        <v>1</v>
      </c>
      <c r="AG51" s="332"/>
    </row>
    <row r="52" spans="1:33" s="333" customFormat="1">
      <c r="A52" s="224">
        <v>2</v>
      </c>
      <c r="B52" s="345" t="s">
        <v>353</v>
      </c>
      <c r="C52" s="223">
        <v>1</v>
      </c>
      <c r="D52" s="223">
        <v>1</v>
      </c>
      <c r="E52" s="224">
        <v>1</v>
      </c>
      <c r="F52" s="224">
        <v>1</v>
      </c>
      <c r="G52" s="223">
        <v>2.4</v>
      </c>
      <c r="H52" s="223">
        <v>2.4</v>
      </c>
      <c r="I52" s="224">
        <v>4</v>
      </c>
      <c r="J52" s="224" t="s">
        <v>1236</v>
      </c>
      <c r="K52" s="224">
        <v>4</v>
      </c>
      <c r="L52" s="224" t="s">
        <v>1236</v>
      </c>
      <c r="M52" s="224">
        <v>4</v>
      </c>
      <c r="N52" s="224" t="s">
        <v>1236</v>
      </c>
      <c r="O52" s="224">
        <v>4</v>
      </c>
      <c r="P52" s="224" t="s">
        <v>1236</v>
      </c>
      <c r="Q52" s="224">
        <v>30</v>
      </c>
      <c r="R52" s="337">
        <v>0</v>
      </c>
      <c r="S52" s="339">
        <v>0</v>
      </c>
      <c r="T52" s="339">
        <v>4224</v>
      </c>
      <c r="U52" s="339">
        <v>0</v>
      </c>
      <c r="V52" s="339">
        <v>4224</v>
      </c>
      <c r="W52" s="339">
        <v>0</v>
      </c>
      <c r="X52" s="339">
        <v>0</v>
      </c>
      <c r="Y52" s="339">
        <v>4224</v>
      </c>
      <c r="Z52" s="339">
        <v>0</v>
      </c>
      <c r="AA52" s="339">
        <v>4224</v>
      </c>
      <c r="AB52" s="339" t="e">
        <v>#DIV/0!</v>
      </c>
      <c r="AC52" s="342" t="e">
        <v>#DIV/0!</v>
      </c>
      <c r="AD52" s="342">
        <v>2</v>
      </c>
      <c r="AE52" s="342" t="e">
        <v>#DIV/0!</v>
      </c>
      <c r="AF52" s="342">
        <v>2</v>
      </c>
      <c r="AG52" s="332"/>
    </row>
    <row r="53" spans="1:33" s="333" customFormat="1">
      <c r="A53" s="224">
        <v>3</v>
      </c>
      <c r="B53" s="345" t="s">
        <v>353</v>
      </c>
      <c r="C53" s="223">
        <v>1</v>
      </c>
      <c r="D53" s="223">
        <v>1</v>
      </c>
      <c r="E53" s="341">
        <v>1</v>
      </c>
      <c r="F53" s="341">
        <v>1</v>
      </c>
      <c r="G53" s="223">
        <v>2.4</v>
      </c>
      <c r="H53" s="223">
        <v>2.4</v>
      </c>
      <c r="I53" s="224">
        <v>4</v>
      </c>
      <c r="J53" s="224" t="s">
        <v>1236</v>
      </c>
      <c r="K53" s="348">
        <v>4</v>
      </c>
      <c r="L53" s="224" t="s">
        <v>1236</v>
      </c>
      <c r="M53" s="341">
        <v>4</v>
      </c>
      <c r="N53" s="224" t="s">
        <v>1236</v>
      </c>
      <c r="O53" s="341">
        <v>4</v>
      </c>
      <c r="P53" s="224" t="s">
        <v>1236</v>
      </c>
      <c r="Q53" s="224">
        <v>30</v>
      </c>
      <c r="R53" s="337">
        <v>0</v>
      </c>
      <c r="S53" s="339">
        <v>0</v>
      </c>
      <c r="T53" s="339">
        <v>4224</v>
      </c>
      <c r="U53" s="339">
        <v>0</v>
      </c>
      <c r="V53" s="339">
        <v>4224</v>
      </c>
      <c r="W53" s="339">
        <v>0</v>
      </c>
      <c r="X53" s="339">
        <v>0</v>
      </c>
      <c r="Y53" s="339">
        <v>4224</v>
      </c>
      <c r="Z53" s="339">
        <v>0</v>
      </c>
      <c r="AA53" s="339">
        <v>4224</v>
      </c>
      <c r="AB53" s="339" t="e">
        <v>#DIV/0!</v>
      </c>
      <c r="AC53" s="342" t="e">
        <v>#DIV/0!</v>
      </c>
      <c r="AD53" s="342">
        <v>3</v>
      </c>
      <c r="AE53" s="342" t="e">
        <v>#DIV/0!</v>
      </c>
      <c r="AF53" s="342">
        <v>3</v>
      </c>
      <c r="AG53" s="332"/>
    </row>
    <row r="54" spans="1:33" s="333" customFormat="1">
      <c r="A54" s="224">
        <v>4</v>
      </c>
      <c r="B54" s="345" t="s">
        <v>374</v>
      </c>
      <c r="C54" s="223">
        <v>1</v>
      </c>
      <c r="D54" s="223">
        <v>1</v>
      </c>
      <c r="E54" s="224">
        <v>1</v>
      </c>
      <c r="F54" s="224">
        <v>1</v>
      </c>
      <c r="G54" s="223">
        <v>4</v>
      </c>
      <c r="H54" s="223">
        <v>4</v>
      </c>
      <c r="I54" s="224">
        <v>4</v>
      </c>
      <c r="J54" s="224" t="s">
        <v>1236</v>
      </c>
      <c r="K54" s="224">
        <v>4</v>
      </c>
      <c r="L54" s="224" t="s">
        <v>1236</v>
      </c>
      <c r="M54" s="224">
        <v>4</v>
      </c>
      <c r="N54" s="224" t="s">
        <v>1236</v>
      </c>
      <c r="O54" s="224">
        <v>2</v>
      </c>
      <c r="P54" s="224" t="s">
        <v>1236</v>
      </c>
      <c r="Q54" s="224">
        <v>30</v>
      </c>
      <c r="R54" s="337">
        <v>0</v>
      </c>
      <c r="S54" s="339">
        <v>0</v>
      </c>
      <c r="T54" s="339">
        <v>0</v>
      </c>
      <c r="U54" s="339">
        <v>0</v>
      </c>
      <c r="V54" s="339">
        <v>0</v>
      </c>
      <c r="W54" s="339">
        <v>0</v>
      </c>
      <c r="X54" s="339">
        <v>0</v>
      </c>
      <c r="Y54" s="339">
        <v>0</v>
      </c>
      <c r="Z54" s="339">
        <v>0</v>
      </c>
      <c r="AA54" s="339">
        <v>0</v>
      </c>
      <c r="AB54" s="339" t="e">
        <v>#DIV/0!</v>
      </c>
      <c r="AC54" s="342" t="e">
        <v>#DIV/0!</v>
      </c>
      <c r="AD54" s="342" t="e">
        <v>#DIV/0!</v>
      </c>
      <c r="AE54" s="342" t="e">
        <v>#DIV/0!</v>
      </c>
      <c r="AF54" s="342" t="e">
        <v>#DIV/0!</v>
      </c>
      <c r="AG54" s="332"/>
    </row>
    <row r="55" spans="1:33" s="333" customFormat="1">
      <c r="A55" s="224">
        <v>5</v>
      </c>
      <c r="B55" s="345" t="s">
        <v>375</v>
      </c>
      <c r="C55" s="223">
        <v>1</v>
      </c>
      <c r="D55" s="223">
        <v>1</v>
      </c>
      <c r="E55" s="224">
        <v>1</v>
      </c>
      <c r="F55" s="224">
        <v>1</v>
      </c>
      <c r="G55" s="223">
        <v>3</v>
      </c>
      <c r="H55" s="223">
        <v>3</v>
      </c>
      <c r="I55" s="224">
        <v>4</v>
      </c>
      <c r="J55" s="224" t="s">
        <v>1236</v>
      </c>
      <c r="K55" s="224">
        <v>4</v>
      </c>
      <c r="L55" s="224" t="s">
        <v>1236</v>
      </c>
      <c r="M55" s="224">
        <v>4</v>
      </c>
      <c r="N55" s="224" t="s">
        <v>1236</v>
      </c>
      <c r="O55" s="224">
        <v>24</v>
      </c>
      <c r="P55" s="224" t="s">
        <v>1236</v>
      </c>
      <c r="Q55" s="224">
        <v>30</v>
      </c>
      <c r="R55" s="337">
        <v>0</v>
      </c>
      <c r="S55" s="339">
        <v>0</v>
      </c>
      <c r="T55" s="339">
        <v>0</v>
      </c>
      <c r="U55" s="339">
        <v>60</v>
      </c>
      <c r="V55" s="339">
        <v>90</v>
      </c>
      <c r="W55" s="339">
        <v>0</v>
      </c>
      <c r="X55" s="339">
        <v>0</v>
      </c>
      <c r="Y55" s="339">
        <v>0</v>
      </c>
      <c r="Z55" s="339">
        <v>60</v>
      </c>
      <c r="AA55" s="339">
        <v>90</v>
      </c>
      <c r="AB55" s="339" t="e">
        <v>#DIV/0!</v>
      </c>
      <c r="AC55" s="342" t="e">
        <v>#DIV/0!</v>
      </c>
      <c r="AD55" s="342" t="e">
        <v>#DIV/0!</v>
      </c>
      <c r="AE55" s="342">
        <v>1</v>
      </c>
      <c r="AF55" s="342">
        <v>1</v>
      </c>
      <c r="AG55" s="332"/>
    </row>
    <row r="56" spans="1:33" s="333" customFormat="1">
      <c r="A56" s="224">
        <v>6</v>
      </c>
      <c r="B56" s="345" t="s">
        <v>385</v>
      </c>
      <c r="C56" s="223">
        <v>3</v>
      </c>
      <c r="D56" s="223">
        <v>3</v>
      </c>
      <c r="E56" s="224">
        <v>3</v>
      </c>
      <c r="F56" s="224">
        <v>3</v>
      </c>
      <c r="G56" s="223">
        <v>2.5</v>
      </c>
      <c r="H56" s="223">
        <v>2.5</v>
      </c>
      <c r="I56" s="224">
        <v>4</v>
      </c>
      <c r="J56" s="224" t="s">
        <v>1236</v>
      </c>
      <c r="K56" s="224">
        <v>4</v>
      </c>
      <c r="L56" s="224" t="s">
        <v>1236</v>
      </c>
      <c r="M56" s="224">
        <v>4</v>
      </c>
      <c r="N56" s="224" t="s">
        <v>1236</v>
      </c>
      <c r="O56" s="224">
        <v>4</v>
      </c>
      <c r="P56" s="224" t="s">
        <v>1236</v>
      </c>
      <c r="Q56" s="224">
        <v>30</v>
      </c>
      <c r="R56" s="337">
        <v>0</v>
      </c>
      <c r="S56" s="339">
        <v>0</v>
      </c>
      <c r="T56" s="339">
        <v>0</v>
      </c>
      <c r="U56" s="339">
        <v>288</v>
      </c>
      <c r="V56" s="339">
        <v>288</v>
      </c>
      <c r="W56" s="339">
        <v>0</v>
      </c>
      <c r="X56" s="339">
        <v>0</v>
      </c>
      <c r="Y56" s="339">
        <v>0</v>
      </c>
      <c r="Z56" s="339">
        <v>288</v>
      </c>
      <c r="AA56" s="339">
        <v>288</v>
      </c>
      <c r="AB56" s="339" t="e">
        <v>#DIV/0!</v>
      </c>
      <c r="AC56" s="342" t="e">
        <v>#DIV/0!</v>
      </c>
      <c r="AD56" s="342" t="e">
        <v>#DIV/0!</v>
      </c>
      <c r="AE56" s="342">
        <v>1</v>
      </c>
      <c r="AF56" s="342">
        <v>1</v>
      </c>
      <c r="AG56" s="332"/>
    </row>
    <row r="57" spans="1:33" s="333" customFormat="1">
      <c r="A57" s="224">
        <v>7</v>
      </c>
      <c r="B57" s="345" t="s">
        <v>386</v>
      </c>
      <c r="C57" s="223">
        <v>1</v>
      </c>
      <c r="D57" s="223">
        <v>1</v>
      </c>
      <c r="E57" s="224">
        <v>1</v>
      </c>
      <c r="F57" s="224">
        <v>1</v>
      </c>
      <c r="G57" s="223">
        <v>0.56000000000000005</v>
      </c>
      <c r="H57" s="223">
        <v>0.56000000000000005</v>
      </c>
      <c r="I57" s="224">
        <v>12</v>
      </c>
      <c r="J57" s="224" t="s">
        <v>1580</v>
      </c>
      <c r="K57" s="224" t="s">
        <v>1580</v>
      </c>
      <c r="L57" s="224" t="s">
        <v>996</v>
      </c>
      <c r="M57" s="224">
        <v>24</v>
      </c>
      <c r="N57" s="224" t="s">
        <v>996</v>
      </c>
      <c r="O57" s="224">
        <v>24</v>
      </c>
      <c r="P57" s="224" t="s">
        <v>996</v>
      </c>
      <c r="Q57" s="224">
        <v>30</v>
      </c>
      <c r="R57" s="337">
        <v>0</v>
      </c>
      <c r="S57" s="339">
        <v>0</v>
      </c>
      <c r="T57" s="339">
        <v>0</v>
      </c>
      <c r="U57" s="339">
        <v>288</v>
      </c>
      <c r="V57" s="339">
        <v>288</v>
      </c>
      <c r="W57" s="339">
        <v>0</v>
      </c>
      <c r="X57" s="339">
        <v>0</v>
      </c>
      <c r="Y57" s="339">
        <v>0</v>
      </c>
      <c r="Z57" s="339">
        <v>288</v>
      </c>
      <c r="AA57" s="339">
        <v>288</v>
      </c>
      <c r="AB57" s="339" t="e">
        <v>#DIV/0!</v>
      </c>
      <c r="AC57" s="342" t="e">
        <v>#DIV/0!</v>
      </c>
      <c r="AD57" s="342" t="e">
        <v>#DIV/0!</v>
      </c>
      <c r="AE57" s="342">
        <v>1</v>
      </c>
      <c r="AF57" s="342">
        <v>1</v>
      </c>
      <c r="AG57" s="332"/>
    </row>
    <row r="58" spans="1:33" s="333" customFormat="1">
      <c r="A58" s="224">
        <v>8</v>
      </c>
      <c r="B58" s="345" t="s">
        <v>387</v>
      </c>
      <c r="C58" s="223">
        <v>4</v>
      </c>
      <c r="D58" s="223">
        <v>4</v>
      </c>
      <c r="E58" s="224">
        <v>4</v>
      </c>
      <c r="F58" s="224">
        <v>4</v>
      </c>
      <c r="G58" s="223">
        <v>0.5</v>
      </c>
      <c r="H58" s="223">
        <v>0.5</v>
      </c>
      <c r="I58" s="224">
        <v>4</v>
      </c>
      <c r="J58" s="224" t="s">
        <v>1236</v>
      </c>
      <c r="K58" s="224">
        <v>4</v>
      </c>
      <c r="L58" s="224" t="s">
        <v>1236</v>
      </c>
      <c r="M58" s="224">
        <v>4</v>
      </c>
      <c r="N58" s="224" t="s">
        <v>1236</v>
      </c>
      <c r="O58" s="224">
        <v>4</v>
      </c>
      <c r="P58" s="224" t="s">
        <v>1236</v>
      </c>
      <c r="Q58" s="224">
        <v>30</v>
      </c>
      <c r="R58" s="337">
        <v>0</v>
      </c>
      <c r="S58" s="339">
        <v>0</v>
      </c>
      <c r="T58" s="339">
        <v>0</v>
      </c>
      <c r="U58" s="339">
        <v>480</v>
      </c>
      <c r="V58" s="339">
        <v>240</v>
      </c>
      <c r="W58" s="339">
        <v>0</v>
      </c>
      <c r="X58" s="339">
        <v>0</v>
      </c>
      <c r="Y58" s="339">
        <v>0</v>
      </c>
      <c r="Z58" s="339">
        <v>480</v>
      </c>
      <c r="AA58" s="339">
        <v>240</v>
      </c>
      <c r="AB58" s="339" t="e">
        <v>#DIV/0!</v>
      </c>
      <c r="AC58" s="342" t="e">
        <v>#DIV/0!</v>
      </c>
      <c r="AD58" s="342" t="e">
        <v>#DIV/0!</v>
      </c>
      <c r="AE58" s="342">
        <v>1</v>
      </c>
      <c r="AF58" s="342">
        <v>1</v>
      </c>
      <c r="AG58" s="332"/>
    </row>
    <row r="59" spans="1:33" s="333" customFormat="1">
      <c r="A59" s="224">
        <v>9</v>
      </c>
      <c r="B59" s="345" t="s">
        <v>361</v>
      </c>
      <c r="C59" s="223">
        <v>4</v>
      </c>
      <c r="D59" s="223">
        <v>4</v>
      </c>
      <c r="E59" s="224">
        <v>4</v>
      </c>
      <c r="F59" s="224">
        <v>4</v>
      </c>
      <c r="G59" s="223">
        <v>0.25</v>
      </c>
      <c r="H59" s="223">
        <v>0.25</v>
      </c>
      <c r="I59" s="224">
        <v>4</v>
      </c>
      <c r="J59" s="224" t="s">
        <v>1236</v>
      </c>
      <c r="K59" s="224">
        <v>4</v>
      </c>
      <c r="L59" s="224" t="s">
        <v>1236</v>
      </c>
      <c r="M59" s="224">
        <v>4</v>
      </c>
      <c r="N59" s="224" t="s">
        <v>1236</v>
      </c>
      <c r="O59" s="224">
        <v>4</v>
      </c>
      <c r="P59" s="224" t="s">
        <v>1236</v>
      </c>
      <c r="Q59" s="224">
        <v>30</v>
      </c>
      <c r="R59" s="337">
        <v>0</v>
      </c>
      <c r="S59" s="339">
        <v>0</v>
      </c>
      <c r="T59" s="339">
        <v>0</v>
      </c>
      <c r="U59" s="339">
        <v>360</v>
      </c>
      <c r="V59" s="339">
        <v>2160</v>
      </c>
      <c r="W59" s="339">
        <v>0</v>
      </c>
      <c r="X59" s="339">
        <v>0</v>
      </c>
      <c r="Y59" s="339">
        <v>0</v>
      </c>
      <c r="Z59" s="339">
        <v>360</v>
      </c>
      <c r="AA59" s="339">
        <v>2160</v>
      </c>
      <c r="AB59" s="339" t="e">
        <v>#DIV/0!</v>
      </c>
      <c r="AC59" s="342" t="e">
        <v>#DIV/0!</v>
      </c>
      <c r="AD59" s="342" t="e">
        <v>#DIV/0!</v>
      </c>
      <c r="AE59" s="342">
        <v>1</v>
      </c>
      <c r="AF59" s="342">
        <v>1</v>
      </c>
      <c r="AG59" s="332"/>
    </row>
    <row r="60" spans="1:33" s="333" customFormat="1">
      <c r="A60" s="224">
        <v>10</v>
      </c>
      <c r="B60" s="345" t="s">
        <v>362</v>
      </c>
      <c r="C60" s="223">
        <v>1</v>
      </c>
      <c r="D60" s="223">
        <v>1</v>
      </c>
      <c r="E60" s="341">
        <v>1</v>
      </c>
      <c r="F60" s="341">
        <v>1</v>
      </c>
      <c r="G60" s="223">
        <v>1.4</v>
      </c>
      <c r="H60" s="223">
        <v>1.4</v>
      </c>
      <c r="I60" s="224">
        <v>4</v>
      </c>
      <c r="J60" s="224" t="s">
        <v>1236</v>
      </c>
      <c r="K60" s="348">
        <v>4</v>
      </c>
      <c r="L60" s="224" t="s">
        <v>1236</v>
      </c>
      <c r="M60" s="341">
        <v>4</v>
      </c>
      <c r="N60" s="224" t="s">
        <v>1236</v>
      </c>
      <c r="O60" s="341">
        <v>4</v>
      </c>
      <c r="P60" s="224" t="s">
        <v>1236</v>
      </c>
      <c r="Q60" s="224">
        <v>30</v>
      </c>
      <c r="R60" s="337">
        <v>0</v>
      </c>
      <c r="S60" s="339">
        <v>0</v>
      </c>
      <c r="T60" s="339">
        <v>0</v>
      </c>
      <c r="U60" s="339">
        <v>900</v>
      </c>
      <c r="V60" s="339">
        <v>900</v>
      </c>
      <c r="W60" s="339">
        <v>0</v>
      </c>
      <c r="X60" s="339">
        <v>0</v>
      </c>
      <c r="Y60" s="339">
        <v>0</v>
      </c>
      <c r="Z60" s="339">
        <v>900</v>
      </c>
      <c r="AA60" s="339">
        <v>900</v>
      </c>
      <c r="AB60" s="339" t="e">
        <v>#DIV/0!</v>
      </c>
      <c r="AC60" s="342" t="e">
        <v>#DIV/0!</v>
      </c>
      <c r="AD60" s="342" t="e">
        <v>#DIV/0!</v>
      </c>
      <c r="AE60" s="342">
        <v>1</v>
      </c>
      <c r="AF60" s="342">
        <v>1</v>
      </c>
      <c r="AG60" s="332"/>
    </row>
    <row r="61" spans="1:33" s="333" customFormat="1">
      <c r="A61" s="224">
        <v>11</v>
      </c>
      <c r="B61" s="345" t="s">
        <v>388</v>
      </c>
      <c r="C61" s="223">
        <v>1</v>
      </c>
      <c r="D61" s="223">
        <v>1</v>
      </c>
      <c r="E61" s="224">
        <v>1</v>
      </c>
      <c r="F61" s="224">
        <v>1</v>
      </c>
      <c r="G61" s="223">
        <v>0.21</v>
      </c>
      <c r="H61" s="223">
        <v>0.21</v>
      </c>
      <c r="I61" s="224">
        <v>4</v>
      </c>
      <c r="J61" s="224" t="s">
        <v>1236</v>
      </c>
      <c r="K61" s="224">
        <v>4</v>
      </c>
      <c r="L61" s="224" t="s">
        <v>1236</v>
      </c>
      <c r="M61" s="224">
        <v>4</v>
      </c>
      <c r="N61" s="224" t="s">
        <v>1236</v>
      </c>
      <c r="O61" s="224">
        <v>2</v>
      </c>
      <c r="P61" s="224" t="s">
        <v>1236</v>
      </c>
      <c r="Q61" s="224">
        <v>30</v>
      </c>
      <c r="R61" s="337">
        <v>0</v>
      </c>
      <c r="S61" s="339">
        <v>0</v>
      </c>
      <c r="T61" s="339">
        <v>0</v>
      </c>
      <c r="U61" s="339">
        <v>403.20000000000005</v>
      </c>
      <c r="V61" s="339">
        <v>403.20000000000005</v>
      </c>
      <c r="W61" s="339">
        <v>0</v>
      </c>
      <c r="X61" s="339">
        <v>0</v>
      </c>
      <c r="Y61" s="339">
        <v>0</v>
      </c>
      <c r="Z61" s="339">
        <v>403.20000000000005</v>
      </c>
      <c r="AA61" s="339">
        <v>403.20000000000005</v>
      </c>
      <c r="AB61" s="339" t="e">
        <v>#DIV/0!</v>
      </c>
      <c r="AC61" s="342" t="e">
        <v>#DIV/0!</v>
      </c>
      <c r="AD61" s="342" t="e">
        <v>#DIV/0!</v>
      </c>
      <c r="AE61" s="342">
        <v>1</v>
      </c>
      <c r="AF61" s="342">
        <v>1</v>
      </c>
      <c r="AG61" s="332"/>
    </row>
    <row r="62" spans="1:33" s="333" customFormat="1">
      <c r="A62" s="224">
        <v>12</v>
      </c>
      <c r="B62" s="345" t="s">
        <v>369</v>
      </c>
      <c r="C62" s="223">
        <v>1</v>
      </c>
      <c r="D62" s="223">
        <v>1</v>
      </c>
      <c r="E62" s="224">
        <v>1</v>
      </c>
      <c r="F62" s="224">
        <v>1</v>
      </c>
      <c r="G62" s="223">
        <v>15</v>
      </c>
      <c r="H62" s="223">
        <v>15</v>
      </c>
      <c r="I62" s="224">
        <v>4</v>
      </c>
      <c r="J62" s="224" t="s">
        <v>1236</v>
      </c>
      <c r="K62" s="224">
        <v>4</v>
      </c>
      <c r="L62" s="224" t="s">
        <v>1236</v>
      </c>
      <c r="M62" s="224">
        <v>4</v>
      </c>
      <c r="N62" s="224" t="s">
        <v>1236</v>
      </c>
      <c r="O62" s="224">
        <v>4</v>
      </c>
      <c r="P62" s="224" t="s">
        <v>1236</v>
      </c>
      <c r="Q62" s="224">
        <v>30</v>
      </c>
      <c r="R62" s="337">
        <v>0</v>
      </c>
      <c r="S62" s="339">
        <v>0</v>
      </c>
      <c r="T62" s="339">
        <v>0</v>
      </c>
      <c r="U62" s="339">
        <v>480</v>
      </c>
      <c r="V62" s="339">
        <v>480</v>
      </c>
      <c r="W62" s="339">
        <v>0</v>
      </c>
      <c r="X62" s="339">
        <v>0</v>
      </c>
      <c r="Y62" s="339">
        <v>0</v>
      </c>
      <c r="Z62" s="339">
        <v>480</v>
      </c>
      <c r="AA62" s="339">
        <v>480</v>
      </c>
      <c r="AB62" s="339" t="e">
        <v>#DIV/0!</v>
      </c>
      <c r="AC62" s="342" t="e">
        <v>#DIV/0!</v>
      </c>
      <c r="AD62" s="342" t="e">
        <v>#DIV/0!</v>
      </c>
      <c r="AE62" s="342">
        <v>1</v>
      </c>
      <c r="AF62" s="342">
        <v>1</v>
      </c>
      <c r="AG62" s="332"/>
    </row>
    <row r="63" spans="1:33" s="333" customFormat="1">
      <c r="A63" s="224">
        <v>13</v>
      </c>
      <c r="B63" s="222" t="s">
        <v>370</v>
      </c>
      <c r="C63" s="223">
        <v>1</v>
      </c>
      <c r="D63" s="223">
        <v>1</v>
      </c>
      <c r="E63" s="224">
        <v>1</v>
      </c>
      <c r="F63" s="224">
        <v>1</v>
      </c>
      <c r="G63" s="223">
        <v>5.2</v>
      </c>
      <c r="H63" s="223">
        <v>5.2</v>
      </c>
      <c r="I63" s="224">
        <v>4</v>
      </c>
      <c r="J63" s="224" t="s">
        <v>1236</v>
      </c>
      <c r="K63" s="224">
        <v>4</v>
      </c>
      <c r="L63" s="224" t="s">
        <v>1236</v>
      </c>
      <c r="M63" s="224">
        <v>4</v>
      </c>
      <c r="N63" s="224" t="s">
        <v>1236</v>
      </c>
      <c r="O63" s="224">
        <v>6</v>
      </c>
      <c r="P63" s="224" t="s">
        <v>1243</v>
      </c>
      <c r="Q63" s="224">
        <v>30</v>
      </c>
      <c r="R63" s="337">
        <v>0</v>
      </c>
      <c r="S63" s="339">
        <v>0</v>
      </c>
      <c r="T63" s="339">
        <v>0</v>
      </c>
      <c r="U63" s="339">
        <v>120</v>
      </c>
      <c r="V63" s="339">
        <v>120</v>
      </c>
      <c r="W63" s="339">
        <v>0</v>
      </c>
      <c r="X63" s="339">
        <v>0</v>
      </c>
      <c r="Y63" s="339">
        <v>0</v>
      </c>
      <c r="Z63" s="339">
        <v>120</v>
      </c>
      <c r="AA63" s="339">
        <v>120</v>
      </c>
      <c r="AB63" s="339" t="e">
        <v>#DIV/0!</v>
      </c>
      <c r="AC63" s="342" t="e">
        <v>#DIV/0!</v>
      </c>
      <c r="AD63" s="342" t="e">
        <v>#DIV/0!</v>
      </c>
      <c r="AE63" s="342">
        <v>1</v>
      </c>
      <c r="AF63" s="342">
        <v>1</v>
      </c>
      <c r="AG63" s="332"/>
    </row>
    <row r="64" spans="1:33" s="333" customFormat="1" ht="18" customHeight="1">
      <c r="A64" s="224">
        <v>14</v>
      </c>
      <c r="B64" s="222" t="s">
        <v>372</v>
      </c>
      <c r="C64" s="223">
        <v>26</v>
      </c>
      <c r="D64" s="224">
        <v>26</v>
      </c>
      <c r="E64" s="224">
        <v>26</v>
      </c>
      <c r="F64" s="224">
        <v>26</v>
      </c>
      <c r="G64" s="223">
        <v>2.2000000000000002</v>
      </c>
      <c r="H64" s="223">
        <v>2.2000000000000002</v>
      </c>
      <c r="I64" s="224">
        <v>4</v>
      </c>
      <c r="J64" s="224" t="s">
        <v>1236</v>
      </c>
      <c r="K64" s="224">
        <v>4</v>
      </c>
      <c r="L64" s="224" t="s">
        <v>1236</v>
      </c>
      <c r="M64" s="224">
        <v>4</v>
      </c>
      <c r="N64" s="224" t="s">
        <v>1236</v>
      </c>
      <c r="O64" s="224">
        <v>4</v>
      </c>
      <c r="P64" s="224" t="s">
        <v>1236</v>
      </c>
      <c r="Q64" s="224">
        <v>30</v>
      </c>
      <c r="R64" s="337">
        <v>0</v>
      </c>
      <c r="S64" s="339">
        <v>0</v>
      </c>
      <c r="T64" s="339">
        <v>0</v>
      </c>
      <c r="U64" s="339">
        <v>168</v>
      </c>
      <c r="V64" s="339">
        <v>168</v>
      </c>
      <c r="W64" s="339">
        <v>0</v>
      </c>
      <c r="X64" s="339">
        <v>0</v>
      </c>
      <c r="Y64" s="339">
        <v>0</v>
      </c>
      <c r="Z64" s="339">
        <v>168</v>
      </c>
      <c r="AA64" s="339">
        <v>168</v>
      </c>
      <c r="AB64" s="339" t="e">
        <v>#DIV/0!</v>
      </c>
      <c r="AC64" s="342" t="e">
        <v>#DIV/0!</v>
      </c>
      <c r="AD64" s="342" t="e">
        <v>#DIV/0!</v>
      </c>
      <c r="AE64" s="342">
        <v>1</v>
      </c>
      <c r="AF64" s="342">
        <v>1</v>
      </c>
      <c r="AG64" s="332"/>
    </row>
    <row r="65" spans="1:33" s="333" customFormat="1">
      <c r="A65" s="224">
        <v>15</v>
      </c>
      <c r="B65" s="222" t="s">
        <v>1247</v>
      </c>
      <c r="C65" s="223">
        <v>1</v>
      </c>
      <c r="D65" s="224">
        <v>1</v>
      </c>
      <c r="E65" s="224">
        <v>1</v>
      </c>
      <c r="F65" s="224">
        <v>1</v>
      </c>
      <c r="G65" s="223">
        <v>9.6</v>
      </c>
      <c r="H65" s="223">
        <v>9.6</v>
      </c>
      <c r="I65" s="224">
        <v>4</v>
      </c>
      <c r="J65" s="224" t="s">
        <v>1236</v>
      </c>
      <c r="K65" s="224">
        <v>4</v>
      </c>
      <c r="L65" s="224" t="s">
        <v>1236</v>
      </c>
      <c r="M65" s="224">
        <v>4</v>
      </c>
      <c r="N65" s="224" t="s">
        <v>1236</v>
      </c>
      <c r="O65" s="224">
        <v>6</v>
      </c>
      <c r="P65" s="224" t="s">
        <v>1236</v>
      </c>
      <c r="Q65" s="224">
        <v>30</v>
      </c>
      <c r="R65" s="337">
        <v>0</v>
      </c>
      <c r="S65" s="339">
        <v>0</v>
      </c>
      <c r="T65" s="339">
        <v>0</v>
      </c>
      <c r="U65" s="339">
        <v>25.2</v>
      </c>
      <c r="V65" s="339">
        <v>12.6</v>
      </c>
      <c r="W65" s="339">
        <v>0</v>
      </c>
      <c r="X65" s="339">
        <v>0</v>
      </c>
      <c r="Y65" s="339">
        <v>0</v>
      </c>
      <c r="Z65" s="339">
        <v>25.2</v>
      </c>
      <c r="AA65" s="339">
        <v>12.6</v>
      </c>
      <c r="AB65" s="339" t="e">
        <v>#DIV/0!</v>
      </c>
      <c r="AC65" s="342" t="e">
        <v>#DIV/0!</v>
      </c>
      <c r="AD65" s="342" t="e">
        <v>#DIV/0!</v>
      </c>
      <c r="AE65" s="342">
        <v>1</v>
      </c>
      <c r="AF65" s="342">
        <v>1</v>
      </c>
      <c r="AG65" s="332"/>
    </row>
    <row r="66" spans="1:33" s="333" customFormat="1">
      <c r="A66" s="224">
        <v>16</v>
      </c>
      <c r="B66" s="222" t="s">
        <v>1248</v>
      </c>
      <c r="C66" s="223">
        <v>1</v>
      </c>
      <c r="D66" s="224">
        <v>1</v>
      </c>
      <c r="E66" s="224">
        <v>1</v>
      </c>
      <c r="F66" s="224">
        <v>1</v>
      </c>
      <c r="G66" s="223">
        <v>12</v>
      </c>
      <c r="H66" s="223">
        <v>12</v>
      </c>
      <c r="I66" s="224">
        <v>5</v>
      </c>
      <c r="J66" s="224" t="s">
        <v>1241</v>
      </c>
      <c r="K66" s="224">
        <v>5</v>
      </c>
      <c r="L66" s="224" t="s">
        <v>1241</v>
      </c>
      <c r="M66" s="224">
        <v>5</v>
      </c>
      <c r="N66" s="224" t="s">
        <v>1241</v>
      </c>
      <c r="O66" s="224">
        <v>6</v>
      </c>
      <c r="P66" s="224" t="s">
        <v>1249</v>
      </c>
      <c r="Q66" s="224">
        <v>30</v>
      </c>
      <c r="R66" s="337">
        <v>0</v>
      </c>
      <c r="S66" s="339">
        <v>0</v>
      </c>
      <c r="T66" s="339">
        <v>0</v>
      </c>
      <c r="U66" s="339">
        <v>1800</v>
      </c>
      <c r="V66" s="339">
        <v>1800</v>
      </c>
      <c r="W66" s="339">
        <v>0</v>
      </c>
      <c r="X66" s="339">
        <v>0</v>
      </c>
      <c r="Y66" s="339">
        <v>0</v>
      </c>
      <c r="Z66" s="339">
        <v>1800</v>
      </c>
      <c r="AA66" s="339">
        <v>1800</v>
      </c>
      <c r="AB66" s="339" t="e">
        <v>#DIV/0!</v>
      </c>
      <c r="AC66" s="342" t="e">
        <v>#DIV/0!</v>
      </c>
      <c r="AD66" s="342" t="e">
        <v>#DIV/0!</v>
      </c>
      <c r="AE66" s="342">
        <v>1</v>
      </c>
      <c r="AF66" s="342">
        <v>1</v>
      </c>
      <c r="AG66" s="332"/>
    </row>
    <row r="67" spans="1:33" s="333" customFormat="1">
      <c r="A67" s="224">
        <v>17</v>
      </c>
      <c r="B67" s="222" t="s">
        <v>1250</v>
      </c>
      <c r="C67" s="223">
        <v>1</v>
      </c>
      <c r="D67" s="224">
        <v>1</v>
      </c>
      <c r="E67" s="224">
        <v>1</v>
      </c>
      <c r="F67" s="224">
        <v>1</v>
      </c>
      <c r="G67" s="223">
        <v>40</v>
      </c>
      <c r="H67" s="223">
        <v>40</v>
      </c>
      <c r="I67" s="224">
        <v>5</v>
      </c>
      <c r="J67" s="224" t="s">
        <v>1241</v>
      </c>
      <c r="K67" s="224">
        <v>5</v>
      </c>
      <c r="L67" s="224" t="s">
        <v>1241</v>
      </c>
      <c r="M67" s="224">
        <v>5</v>
      </c>
      <c r="N67" s="224" t="s">
        <v>1241</v>
      </c>
      <c r="O67" s="224">
        <v>6</v>
      </c>
      <c r="P67" s="224" t="s">
        <v>1249</v>
      </c>
      <c r="Q67" s="224">
        <v>30</v>
      </c>
      <c r="R67" s="337">
        <v>0</v>
      </c>
      <c r="S67" s="339">
        <v>0</v>
      </c>
      <c r="T67" s="339">
        <v>0</v>
      </c>
      <c r="U67" s="339">
        <v>624</v>
      </c>
      <c r="V67" s="339">
        <v>936.00000000000011</v>
      </c>
      <c r="W67" s="339">
        <v>0</v>
      </c>
      <c r="X67" s="339">
        <v>0</v>
      </c>
      <c r="Y67" s="339">
        <v>0</v>
      </c>
      <c r="Z67" s="339">
        <v>624</v>
      </c>
      <c r="AA67" s="339">
        <v>936.00000000000011</v>
      </c>
      <c r="AB67" s="339" t="e">
        <v>#DIV/0!</v>
      </c>
      <c r="AC67" s="342" t="e">
        <v>#DIV/0!</v>
      </c>
      <c r="AD67" s="342" t="e">
        <v>#DIV/0!</v>
      </c>
      <c r="AE67" s="342">
        <v>1</v>
      </c>
      <c r="AF67" s="342">
        <v>1</v>
      </c>
      <c r="AG67" s="332"/>
    </row>
    <row r="68" spans="1:33" s="333" customFormat="1">
      <c r="A68" s="224">
        <v>18</v>
      </c>
      <c r="B68" s="222" t="s">
        <v>1251</v>
      </c>
      <c r="C68" s="223">
        <v>1</v>
      </c>
      <c r="D68" s="224">
        <v>1</v>
      </c>
      <c r="E68" s="224">
        <v>1</v>
      </c>
      <c r="F68" s="224">
        <v>1</v>
      </c>
      <c r="G68" s="223">
        <v>2.6</v>
      </c>
      <c r="H68" s="223">
        <v>2.6</v>
      </c>
      <c r="I68" s="224">
        <v>12</v>
      </c>
      <c r="J68" s="224" t="s">
        <v>1580</v>
      </c>
      <c r="K68" s="224" t="s">
        <v>1580</v>
      </c>
      <c r="L68" s="224" t="s">
        <v>996</v>
      </c>
      <c r="M68" s="224">
        <v>24</v>
      </c>
      <c r="N68" s="224" t="s">
        <v>996</v>
      </c>
      <c r="O68" s="224">
        <v>24</v>
      </c>
      <c r="P68" s="224" t="s">
        <v>996</v>
      </c>
      <c r="Q68" s="224">
        <v>30</v>
      </c>
      <c r="R68" s="337">
        <v>0</v>
      </c>
      <c r="S68" s="339">
        <v>0</v>
      </c>
      <c r="T68" s="339">
        <v>0</v>
      </c>
      <c r="U68" s="339">
        <v>6864</v>
      </c>
      <c r="V68" s="339">
        <v>6864</v>
      </c>
      <c r="W68" s="339">
        <v>0</v>
      </c>
      <c r="X68" s="339">
        <v>0</v>
      </c>
      <c r="Y68" s="339">
        <v>0</v>
      </c>
      <c r="Z68" s="339">
        <v>6864</v>
      </c>
      <c r="AA68" s="339">
        <v>6864</v>
      </c>
      <c r="AB68" s="339" t="e">
        <v>#DIV/0!</v>
      </c>
      <c r="AC68" s="342" t="e">
        <v>#DIV/0!</v>
      </c>
      <c r="AD68" s="342" t="e">
        <v>#DIV/0!</v>
      </c>
      <c r="AE68" s="342">
        <v>1</v>
      </c>
      <c r="AF68" s="342">
        <v>1</v>
      </c>
      <c r="AG68" s="332"/>
    </row>
    <row r="69" spans="1:33" s="333" customFormat="1">
      <c r="A69" s="224">
        <v>19</v>
      </c>
      <c r="B69" s="222" t="s">
        <v>1252</v>
      </c>
      <c r="C69" s="223">
        <v>1</v>
      </c>
      <c r="D69" s="224">
        <v>2</v>
      </c>
      <c r="E69" s="224">
        <v>2</v>
      </c>
      <c r="F69" s="224">
        <v>2</v>
      </c>
      <c r="G69" s="223">
        <v>2</v>
      </c>
      <c r="H69" s="223">
        <v>2</v>
      </c>
      <c r="I69" s="224">
        <v>4</v>
      </c>
      <c r="J69" s="224" t="s">
        <v>1236</v>
      </c>
      <c r="K69" s="224">
        <v>4</v>
      </c>
      <c r="L69" s="224" t="s">
        <v>1236</v>
      </c>
      <c r="M69" s="224">
        <v>4</v>
      </c>
      <c r="N69" s="224" t="s">
        <v>1236</v>
      </c>
      <c r="O69" s="224">
        <v>4</v>
      </c>
      <c r="P69" s="224" t="s">
        <v>1236</v>
      </c>
      <c r="Q69" s="224">
        <v>30</v>
      </c>
      <c r="R69" s="337">
        <v>0</v>
      </c>
      <c r="S69" s="339">
        <v>0</v>
      </c>
      <c r="T69" s="339">
        <v>0</v>
      </c>
      <c r="U69" s="339"/>
      <c r="V69" s="339"/>
      <c r="W69" s="339">
        <v>0</v>
      </c>
      <c r="X69" s="339">
        <v>0</v>
      </c>
      <c r="Y69" s="339">
        <v>0</v>
      </c>
      <c r="Z69" s="339"/>
      <c r="AA69" s="339"/>
      <c r="AB69" s="339"/>
      <c r="AC69" s="342"/>
      <c r="AD69" s="342"/>
      <c r="AE69" s="342"/>
      <c r="AF69" s="342"/>
      <c r="AG69" s="332"/>
    </row>
    <row r="70" spans="1:33" s="333" customFormat="1">
      <c r="A70" s="224">
        <v>20</v>
      </c>
      <c r="B70" s="222" t="s">
        <v>1253</v>
      </c>
      <c r="C70" s="223">
        <v>1</v>
      </c>
      <c r="D70" s="224">
        <v>1</v>
      </c>
      <c r="E70" s="224">
        <v>1</v>
      </c>
      <c r="F70" s="224">
        <v>1</v>
      </c>
      <c r="G70" s="223">
        <v>0.5</v>
      </c>
      <c r="H70" s="223">
        <v>0.5</v>
      </c>
      <c r="I70" s="224">
        <v>12</v>
      </c>
      <c r="J70" s="224" t="s">
        <v>1580</v>
      </c>
      <c r="K70" s="224" t="s">
        <v>1580</v>
      </c>
      <c r="L70" s="224" t="s">
        <v>996</v>
      </c>
      <c r="M70" s="224">
        <v>24</v>
      </c>
      <c r="N70" s="224" t="s">
        <v>996</v>
      </c>
      <c r="O70" s="224">
        <v>24</v>
      </c>
      <c r="P70" s="224" t="s">
        <v>996</v>
      </c>
      <c r="Q70" s="224">
        <v>30</v>
      </c>
      <c r="R70" s="337">
        <v>0</v>
      </c>
      <c r="S70" s="339">
        <v>0</v>
      </c>
      <c r="T70" s="339">
        <v>0</v>
      </c>
      <c r="U70" s="339"/>
      <c r="V70" s="339"/>
      <c r="W70" s="339">
        <v>0</v>
      </c>
      <c r="X70" s="339">
        <v>0</v>
      </c>
      <c r="Y70" s="339">
        <v>0</v>
      </c>
      <c r="Z70" s="339"/>
      <c r="AA70" s="339"/>
      <c r="AB70" s="339"/>
      <c r="AC70" s="342"/>
      <c r="AD70" s="342"/>
      <c r="AE70" s="342"/>
      <c r="AF70" s="342"/>
      <c r="AG70" s="332"/>
    </row>
    <row r="71" spans="1:33" s="333" customFormat="1">
      <c r="A71" s="224">
        <v>21</v>
      </c>
      <c r="B71" s="222" t="s">
        <v>1254</v>
      </c>
      <c r="C71" s="223">
        <v>1</v>
      </c>
      <c r="D71" s="224">
        <v>2</v>
      </c>
      <c r="E71" s="224">
        <v>2</v>
      </c>
      <c r="F71" s="224">
        <v>2</v>
      </c>
      <c r="G71" s="223">
        <v>0.75</v>
      </c>
      <c r="H71" s="223">
        <v>0.75</v>
      </c>
      <c r="I71" s="224">
        <v>12</v>
      </c>
      <c r="J71" s="224" t="s">
        <v>1580</v>
      </c>
      <c r="K71" s="224" t="s">
        <v>1580</v>
      </c>
      <c r="L71" s="224" t="s">
        <v>996</v>
      </c>
      <c r="M71" s="224">
        <v>24</v>
      </c>
      <c r="N71" s="224" t="s">
        <v>996</v>
      </c>
      <c r="O71" s="224">
        <v>24</v>
      </c>
      <c r="P71" s="224" t="s">
        <v>996</v>
      </c>
      <c r="Q71" s="224">
        <v>30</v>
      </c>
      <c r="R71" s="337">
        <v>0</v>
      </c>
      <c r="S71" s="339">
        <v>0</v>
      </c>
      <c r="T71" s="339">
        <v>0</v>
      </c>
      <c r="U71" s="339"/>
      <c r="V71" s="339"/>
      <c r="W71" s="339">
        <v>0</v>
      </c>
      <c r="X71" s="339">
        <v>0</v>
      </c>
      <c r="Y71" s="339">
        <v>0</v>
      </c>
      <c r="Z71" s="339"/>
      <c r="AA71" s="339"/>
      <c r="AB71" s="339"/>
      <c r="AC71" s="342"/>
      <c r="AD71" s="342"/>
      <c r="AE71" s="342"/>
      <c r="AF71" s="342"/>
      <c r="AG71" s="332"/>
    </row>
    <row r="72" spans="1:33" s="333" customFormat="1">
      <c r="A72" s="224">
        <v>22</v>
      </c>
      <c r="B72" s="222" t="s">
        <v>1255</v>
      </c>
      <c r="C72" s="223">
        <v>1</v>
      </c>
      <c r="D72" s="224">
        <v>1</v>
      </c>
      <c r="E72" s="224">
        <v>1</v>
      </c>
      <c r="F72" s="224">
        <v>1</v>
      </c>
      <c r="G72" s="223">
        <v>0.75</v>
      </c>
      <c r="H72" s="223">
        <v>0.75</v>
      </c>
      <c r="I72" s="224">
        <v>12</v>
      </c>
      <c r="J72" s="224" t="s">
        <v>1580</v>
      </c>
      <c r="K72" s="224" t="s">
        <v>1580</v>
      </c>
      <c r="L72" s="224" t="s">
        <v>996</v>
      </c>
      <c r="M72" s="224">
        <v>24</v>
      </c>
      <c r="N72" s="224" t="s">
        <v>996</v>
      </c>
      <c r="O72" s="224">
        <v>24</v>
      </c>
      <c r="P72" s="224" t="s">
        <v>996</v>
      </c>
      <c r="Q72" s="224">
        <v>30</v>
      </c>
      <c r="R72" s="337">
        <v>0</v>
      </c>
      <c r="S72" s="339">
        <v>0</v>
      </c>
      <c r="T72" s="339">
        <v>0</v>
      </c>
      <c r="U72" s="339"/>
      <c r="V72" s="339"/>
      <c r="W72" s="339">
        <v>0</v>
      </c>
      <c r="X72" s="339">
        <v>0</v>
      </c>
      <c r="Y72" s="339">
        <v>0</v>
      </c>
      <c r="Z72" s="339"/>
      <c r="AA72" s="339"/>
      <c r="AB72" s="339"/>
      <c r="AC72" s="342"/>
      <c r="AD72" s="342"/>
      <c r="AE72" s="342"/>
      <c r="AF72" s="342"/>
      <c r="AG72" s="332"/>
    </row>
    <row r="73" spans="1:33" s="333" customFormat="1">
      <c r="A73" s="334" t="s">
        <v>1256</v>
      </c>
      <c r="B73" s="335" t="s">
        <v>389</v>
      </c>
      <c r="C73" s="223"/>
      <c r="D73" s="224"/>
      <c r="E73" s="224"/>
      <c r="F73" s="224"/>
      <c r="G73" s="223"/>
      <c r="H73" s="223"/>
      <c r="I73" s="224"/>
      <c r="J73" s="224"/>
      <c r="K73" s="224"/>
      <c r="L73" s="224"/>
      <c r="M73" s="224"/>
      <c r="N73" s="224"/>
      <c r="O73" s="224"/>
      <c r="P73" s="224"/>
      <c r="Q73" s="337">
        <v>0</v>
      </c>
      <c r="R73" s="337">
        <v>0</v>
      </c>
      <c r="S73" s="339">
        <v>0</v>
      </c>
      <c r="T73" s="339">
        <v>0</v>
      </c>
      <c r="U73" s="339"/>
      <c r="V73" s="339"/>
      <c r="W73" s="339">
        <v>0</v>
      </c>
      <c r="X73" s="339">
        <v>0</v>
      </c>
      <c r="Y73" s="339">
        <v>0</v>
      </c>
      <c r="Z73" s="339"/>
      <c r="AA73" s="339"/>
      <c r="AB73" s="339"/>
      <c r="AC73" s="342"/>
      <c r="AD73" s="342"/>
      <c r="AE73" s="342"/>
      <c r="AF73" s="342"/>
      <c r="AG73" s="332"/>
    </row>
    <row r="74" spans="1:33" s="333" customFormat="1">
      <c r="A74" s="224">
        <v>1</v>
      </c>
      <c r="B74" s="222" t="s">
        <v>373</v>
      </c>
      <c r="C74" s="224">
        <v>1</v>
      </c>
      <c r="D74" s="224">
        <v>1</v>
      </c>
      <c r="E74" s="224">
        <v>1</v>
      </c>
      <c r="F74" s="224">
        <v>1</v>
      </c>
      <c r="G74" s="223">
        <v>0.25</v>
      </c>
      <c r="H74" s="223">
        <v>0.25</v>
      </c>
      <c r="I74" s="224">
        <v>0</v>
      </c>
      <c r="J74" s="224"/>
      <c r="K74" s="224">
        <v>0</v>
      </c>
      <c r="L74" s="224"/>
      <c r="M74" s="224">
        <v>0</v>
      </c>
      <c r="N74" s="224"/>
      <c r="O74" s="224">
        <v>6</v>
      </c>
      <c r="P74" s="224" t="s">
        <v>1257</v>
      </c>
      <c r="Q74" s="224">
        <v>30</v>
      </c>
      <c r="R74" s="337">
        <v>0</v>
      </c>
      <c r="S74" s="339">
        <v>0</v>
      </c>
      <c r="T74" s="339">
        <v>0</v>
      </c>
      <c r="U74" s="339"/>
      <c r="V74" s="339"/>
      <c r="W74" s="339">
        <v>0</v>
      </c>
      <c r="X74" s="339">
        <v>0</v>
      </c>
      <c r="Y74" s="339">
        <v>0</v>
      </c>
      <c r="Z74" s="339"/>
      <c r="AA74" s="339"/>
      <c r="AB74" s="339"/>
      <c r="AC74" s="342"/>
      <c r="AD74" s="342"/>
      <c r="AE74" s="342"/>
      <c r="AF74" s="342"/>
      <c r="AG74" s="332"/>
    </row>
    <row r="75" spans="1:33" s="333" customFormat="1">
      <c r="A75" s="224">
        <v>2</v>
      </c>
      <c r="B75" s="222" t="s">
        <v>353</v>
      </c>
      <c r="C75" s="224">
        <v>1</v>
      </c>
      <c r="D75" s="224">
        <v>1</v>
      </c>
      <c r="E75" s="224">
        <v>1</v>
      </c>
      <c r="F75" s="224">
        <v>1</v>
      </c>
      <c r="G75" s="223">
        <v>2</v>
      </c>
      <c r="H75" s="223">
        <v>2</v>
      </c>
      <c r="I75" s="224">
        <v>0</v>
      </c>
      <c r="J75" s="224"/>
      <c r="K75" s="224">
        <v>0</v>
      </c>
      <c r="L75" s="224"/>
      <c r="M75" s="224">
        <v>0</v>
      </c>
      <c r="N75" s="224"/>
      <c r="O75" s="224">
        <v>4</v>
      </c>
      <c r="P75" s="224" t="s">
        <v>1236</v>
      </c>
      <c r="Q75" s="224">
        <v>30</v>
      </c>
      <c r="R75" s="337">
        <v>0</v>
      </c>
      <c r="S75" s="339">
        <v>0</v>
      </c>
      <c r="T75" s="339">
        <v>0</v>
      </c>
      <c r="U75" s="339"/>
      <c r="V75" s="339"/>
      <c r="W75" s="339">
        <v>0</v>
      </c>
      <c r="X75" s="339">
        <v>0</v>
      </c>
      <c r="Y75" s="339"/>
      <c r="Z75" s="339"/>
      <c r="AA75" s="339"/>
      <c r="AB75" s="339"/>
      <c r="AC75" s="342"/>
      <c r="AD75" s="342"/>
      <c r="AE75" s="342"/>
      <c r="AF75" s="342"/>
      <c r="AG75" s="332"/>
    </row>
    <row r="76" spans="1:33" s="333" customFormat="1">
      <c r="A76" s="224">
        <v>3</v>
      </c>
      <c r="B76" s="222" t="s">
        <v>353</v>
      </c>
      <c r="C76" s="224">
        <v>1</v>
      </c>
      <c r="D76" s="224">
        <v>1</v>
      </c>
      <c r="E76" s="224">
        <v>1</v>
      </c>
      <c r="F76" s="224">
        <v>1</v>
      </c>
      <c r="G76" s="223">
        <v>2</v>
      </c>
      <c r="H76" s="223">
        <v>2</v>
      </c>
      <c r="I76" s="224">
        <v>0</v>
      </c>
      <c r="J76" s="224"/>
      <c r="K76" s="224">
        <v>0</v>
      </c>
      <c r="L76" s="224"/>
      <c r="M76" s="224">
        <v>0</v>
      </c>
      <c r="N76" s="224"/>
      <c r="O76" s="224">
        <v>4</v>
      </c>
      <c r="P76" s="224" t="s">
        <v>1236</v>
      </c>
      <c r="Q76" s="224">
        <v>30</v>
      </c>
      <c r="R76" s="337">
        <v>0</v>
      </c>
      <c r="S76" s="339">
        <v>0</v>
      </c>
      <c r="T76" s="339">
        <v>0</v>
      </c>
      <c r="U76" s="339"/>
      <c r="V76" s="339"/>
      <c r="W76" s="339">
        <v>0</v>
      </c>
      <c r="X76" s="339"/>
      <c r="Y76" s="339"/>
      <c r="Z76" s="339"/>
      <c r="AA76" s="339"/>
      <c r="AB76" s="339"/>
      <c r="AC76" s="342"/>
      <c r="AD76" s="342"/>
      <c r="AE76" s="342"/>
      <c r="AF76" s="342"/>
      <c r="AG76" s="332"/>
    </row>
    <row r="77" spans="1:33" s="333" customFormat="1">
      <c r="A77" s="224">
        <v>4</v>
      </c>
      <c r="B77" s="222" t="s">
        <v>376</v>
      </c>
      <c r="C77" s="224">
        <v>1</v>
      </c>
      <c r="D77" s="224">
        <v>1</v>
      </c>
      <c r="E77" s="224">
        <v>1</v>
      </c>
      <c r="F77" s="224">
        <v>1</v>
      </c>
      <c r="G77" s="223">
        <v>2</v>
      </c>
      <c r="H77" s="223">
        <v>2</v>
      </c>
      <c r="I77" s="224">
        <v>0</v>
      </c>
      <c r="J77" s="224"/>
      <c r="K77" s="224">
        <v>0</v>
      </c>
      <c r="L77" s="224"/>
      <c r="M77" s="224">
        <v>0</v>
      </c>
      <c r="N77" s="224"/>
      <c r="O77" s="224">
        <v>4</v>
      </c>
      <c r="P77" s="224" t="s">
        <v>1236</v>
      </c>
      <c r="Q77" s="224">
        <v>30</v>
      </c>
      <c r="R77" s="337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  <c r="AD77" s="339"/>
      <c r="AE77" s="339"/>
      <c r="AF77" s="339"/>
      <c r="AG77" s="332"/>
    </row>
    <row r="78" spans="1:33" s="333" customFormat="1">
      <c r="A78" s="224">
        <v>6</v>
      </c>
      <c r="B78" s="340" t="s">
        <v>360</v>
      </c>
      <c r="C78" s="224">
        <v>4</v>
      </c>
      <c r="D78" s="224">
        <v>4</v>
      </c>
      <c r="E78" s="224">
        <v>4</v>
      </c>
      <c r="F78" s="224">
        <v>4</v>
      </c>
      <c r="G78" s="223">
        <v>0.25</v>
      </c>
      <c r="H78" s="223">
        <v>0.25</v>
      </c>
      <c r="I78" s="224">
        <v>0</v>
      </c>
      <c r="J78" s="224"/>
      <c r="K78" s="224">
        <v>0</v>
      </c>
      <c r="L78" s="224"/>
      <c r="M78" s="224">
        <v>0</v>
      </c>
      <c r="N78" s="224"/>
      <c r="O78" s="224">
        <v>4</v>
      </c>
      <c r="P78" s="224" t="s">
        <v>1236</v>
      </c>
      <c r="Q78" s="224">
        <v>30</v>
      </c>
      <c r="R78" s="337">
        <v>0</v>
      </c>
      <c r="S78" s="339">
        <v>0</v>
      </c>
      <c r="T78" s="339">
        <v>0</v>
      </c>
      <c r="U78" s="339">
        <v>30</v>
      </c>
      <c r="V78" s="339">
        <v>30</v>
      </c>
      <c r="W78" s="339">
        <v>0</v>
      </c>
      <c r="X78" s="339">
        <v>0</v>
      </c>
      <c r="Y78" s="339">
        <v>0</v>
      </c>
      <c r="Z78" s="339">
        <v>30</v>
      </c>
      <c r="AA78" s="339">
        <v>30</v>
      </c>
      <c r="AB78" s="339" t="e">
        <v>#DIV/0!</v>
      </c>
      <c r="AC78" s="342" t="e">
        <v>#DIV/0!</v>
      </c>
      <c r="AD78" s="342" t="e">
        <v>#DIV/0!</v>
      </c>
      <c r="AE78" s="342">
        <v>1</v>
      </c>
      <c r="AF78" s="342">
        <v>1</v>
      </c>
      <c r="AG78" s="332"/>
    </row>
    <row r="79" spans="1:33" s="333" customFormat="1">
      <c r="A79" s="224">
        <v>7</v>
      </c>
      <c r="B79" s="340" t="s">
        <v>383</v>
      </c>
      <c r="C79" s="224">
        <v>1</v>
      </c>
      <c r="D79" s="224">
        <v>1</v>
      </c>
      <c r="E79" s="224">
        <v>1</v>
      </c>
      <c r="F79" s="224">
        <v>1</v>
      </c>
      <c r="G79" s="223">
        <v>1.4</v>
      </c>
      <c r="H79" s="223">
        <v>1.4</v>
      </c>
      <c r="I79" s="224">
        <v>0</v>
      </c>
      <c r="J79" s="224"/>
      <c r="K79" s="224">
        <v>0</v>
      </c>
      <c r="L79" s="224"/>
      <c r="M79" s="224">
        <v>0</v>
      </c>
      <c r="N79" s="224"/>
      <c r="O79" s="224">
        <v>4</v>
      </c>
      <c r="P79" s="224" t="s">
        <v>1236</v>
      </c>
      <c r="Q79" s="224">
        <v>30</v>
      </c>
      <c r="R79" s="337">
        <v>0</v>
      </c>
      <c r="S79" s="339">
        <v>0</v>
      </c>
      <c r="T79" s="339">
        <v>0</v>
      </c>
      <c r="U79" s="339">
        <v>240</v>
      </c>
      <c r="V79" s="339">
        <v>240</v>
      </c>
      <c r="W79" s="339">
        <v>0</v>
      </c>
      <c r="X79" s="339">
        <v>0</v>
      </c>
      <c r="Y79" s="339">
        <v>0</v>
      </c>
      <c r="Z79" s="339">
        <v>240</v>
      </c>
      <c r="AA79" s="339">
        <v>240</v>
      </c>
      <c r="AB79" s="339" t="e">
        <v>#DIV/0!</v>
      </c>
      <c r="AC79" s="342" t="e">
        <v>#DIV/0!</v>
      </c>
      <c r="AD79" s="342" t="e">
        <v>#DIV/0!</v>
      </c>
      <c r="AE79" s="342">
        <v>1</v>
      </c>
      <c r="AF79" s="342">
        <v>1</v>
      </c>
      <c r="AG79" s="332"/>
    </row>
    <row r="80" spans="1:33" s="333" customFormat="1">
      <c r="A80" s="224">
        <v>8</v>
      </c>
      <c r="B80" s="340" t="s">
        <v>390</v>
      </c>
      <c r="C80" s="224">
        <v>1</v>
      </c>
      <c r="D80" s="224">
        <v>1</v>
      </c>
      <c r="E80" s="224">
        <v>1</v>
      </c>
      <c r="F80" s="224">
        <v>1</v>
      </c>
      <c r="G80" s="223">
        <v>6</v>
      </c>
      <c r="H80" s="223">
        <v>6</v>
      </c>
      <c r="I80" s="224">
        <v>0</v>
      </c>
      <c r="J80" s="224"/>
      <c r="K80" s="224">
        <v>0</v>
      </c>
      <c r="L80" s="224"/>
      <c r="M80" s="224">
        <v>0</v>
      </c>
      <c r="N80" s="224"/>
      <c r="O80" s="224">
        <v>4</v>
      </c>
      <c r="P80" s="224" t="s">
        <v>1236</v>
      </c>
      <c r="Q80" s="224">
        <v>30</v>
      </c>
      <c r="R80" s="337">
        <v>0</v>
      </c>
      <c r="S80" s="339">
        <v>0</v>
      </c>
      <c r="T80" s="339">
        <v>0</v>
      </c>
      <c r="U80" s="339">
        <v>240</v>
      </c>
      <c r="V80" s="339">
        <v>240</v>
      </c>
      <c r="W80" s="339">
        <v>0</v>
      </c>
      <c r="X80" s="339">
        <v>0</v>
      </c>
      <c r="Y80" s="339">
        <v>0</v>
      </c>
      <c r="Z80" s="339">
        <v>240</v>
      </c>
      <c r="AA80" s="339">
        <v>240</v>
      </c>
      <c r="AB80" s="339" t="e">
        <v>#DIV/0!</v>
      </c>
      <c r="AC80" s="342" t="e">
        <v>#DIV/0!</v>
      </c>
      <c r="AD80" s="342" t="e">
        <v>#DIV/0!</v>
      </c>
      <c r="AE80" s="342">
        <v>1</v>
      </c>
      <c r="AF80" s="342">
        <v>1</v>
      </c>
      <c r="AG80" s="332"/>
    </row>
    <row r="81" spans="1:33" s="333" customFormat="1">
      <c r="A81" s="224">
        <v>9</v>
      </c>
      <c r="B81" s="340" t="s">
        <v>372</v>
      </c>
      <c r="C81" s="224">
        <v>10</v>
      </c>
      <c r="D81" s="224">
        <v>10</v>
      </c>
      <c r="E81" s="224">
        <v>10</v>
      </c>
      <c r="F81" s="224">
        <v>10</v>
      </c>
      <c r="G81" s="223">
        <v>2.2000000000000002</v>
      </c>
      <c r="H81" s="223">
        <v>2.2000000000000002</v>
      </c>
      <c r="I81" s="224">
        <v>0</v>
      </c>
      <c r="J81" s="224"/>
      <c r="K81" s="224">
        <v>0</v>
      </c>
      <c r="L81" s="224"/>
      <c r="M81" s="224">
        <v>0</v>
      </c>
      <c r="N81" s="224"/>
      <c r="O81" s="224">
        <v>4</v>
      </c>
      <c r="P81" s="224" t="s">
        <v>1236</v>
      </c>
      <c r="Q81" s="224">
        <v>30</v>
      </c>
      <c r="R81" s="337">
        <v>0</v>
      </c>
      <c r="S81" s="339">
        <v>0</v>
      </c>
      <c r="T81" s="339">
        <v>0</v>
      </c>
      <c r="U81" s="339">
        <v>240</v>
      </c>
      <c r="V81" s="339">
        <v>240</v>
      </c>
      <c r="W81" s="339">
        <v>0</v>
      </c>
      <c r="X81" s="339">
        <v>0</v>
      </c>
      <c r="Y81" s="339">
        <v>0</v>
      </c>
      <c r="Z81" s="339">
        <v>240</v>
      </c>
      <c r="AA81" s="339">
        <v>240</v>
      </c>
      <c r="AB81" s="339" t="e">
        <v>#DIV/0!</v>
      </c>
      <c r="AC81" s="342" t="e">
        <v>#DIV/0!</v>
      </c>
      <c r="AD81" s="342" t="e">
        <v>#DIV/0!</v>
      </c>
      <c r="AE81" s="342">
        <v>1</v>
      </c>
      <c r="AF81" s="342">
        <v>1</v>
      </c>
      <c r="AG81" s="332"/>
    </row>
    <row r="82" spans="1:33" s="333" customFormat="1">
      <c r="A82" s="224">
        <v>10</v>
      </c>
      <c r="B82" s="340" t="s">
        <v>372</v>
      </c>
      <c r="C82" s="224">
        <v>6</v>
      </c>
      <c r="D82" s="224">
        <v>6</v>
      </c>
      <c r="E82" s="224">
        <v>6</v>
      </c>
      <c r="F82" s="224">
        <v>6</v>
      </c>
      <c r="G82" s="223">
        <v>2.2000000000000002</v>
      </c>
      <c r="H82" s="223">
        <v>2.2000000000000002</v>
      </c>
      <c r="I82" s="224">
        <v>0</v>
      </c>
      <c r="J82" s="224"/>
      <c r="K82" s="224">
        <v>0</v>
      </c>
      <c r="L82" s="224"/>
      <c r="M82" s="224">
        <v>0</v>
      </c>
      <c r="N82" s="224"/>
      <c r="O82" s="224">
        <v>4</v>
      </c>
      <c r="P82" s="224" t="s">
        <v>1236</v>
      </c>
      <c r="Q82" s="224">
        <v>30</v>
      </c>
      <c r="R82" s="337">
        <v>0</v>
      </c>
      <c r="S82" s="339">
        <v>0</v>
      </c>
      <c r="T82" s="339">
        <v>0</v>
      </c>
      <c r="U82" s="339">
        <v>525.6</v>
      </c>
      <c r="V82" s="339">
        <v>525.6</v>
      </c>
      <c r="W82" s="339">
        <v>0</v>
      </c>
      <c r="X82" s="339">
        <v>0</v>
      </c>
      <c r="Y82" s="339">
        <v>0</v>
      </c>
      <c r="Z82" s="339">
        <v>525.6</v>
      </c>
      <c r="AA82" s="339">
        <v>525.6</v>
      </c>
      <c r="AB82" s="339" t="e">
        <v>#DIV/0!</v>
      </c>
      <c r="AC82" s="342" t="e">
        <v>#DIV/0!</v>
      </c>
      <c r="AD82" s="342" t="e">
        <v>#DIV/0!</v>
      </c>
      <c r="AE82" s="342">
        <v>1</v>
      </c>
      <c r="AF82" s="342">
        <v>1</v>
      </c>
      <c r="AG82" s="332"/>
    </row>
    <row r="83" spans="1:33" s="333" customFormat="1">
      <c r="A83" s="224">
        <v>11</v>
      </c>
      <c r="B83" s="340" t="s">
        <v>1258</v>
      </c>
      <c r="C83" s="224">
        <v>1</v>
      </c>
      <c r="D83" s="224">
        <v>1</v>
      </c>
      <c r="E83" s="224">
        <v>1</v>
      </c>
      <c r="F83" s="224">
        <v>1</v>
      </c>
      <c r="G83" s="223">
        <v>1.5</v>
      </c>
      <c r="H83" s="223">
        <v>1.5</v>
      </c>
      <c r="I83" s="224">
        <v>0</v>
      </c>
      <c r="J83" s="224"/>
      <c r="K83" s="224">
        <v>0</v>
      </c>
      <c r="L83" s="224"/>
      <c r="M83" s="224">
        <v>0</v>
      </c>
      <c r="N83" s="224"/>
      <c r="O83" s="224">
        <v>6</v>
      </c>
      <c r="P83" s="224" t="s">
        <v>1236</v>
      </c>
      <c r="Q83" s="224">
        <v>30</v>
      </c>
      <c r="R83" s="337">
        <v>0</v>
      </c>
      <c r="S83" s="339">
        <v>0</v>
      </c>
      <c r="T83" s="339">
        <v>0</v>
      </c>
      <c r="U83" s="339">
        <v>210</v>
      </c>
      <c r="V83" s="339">
        <v>210</v>
      </c>
      <c r="W83" s="339">
        <v>0</v>
      </c>
      <c r="X83" s="339">
        <v>0</v>
      </c>
      <c r="Y83" s="339">
        <v>0</v>
      </c>
      <c r="Z83" s="339">
        <v>210</v>
      </c>
      <c r="AA83" s="339">
        <v>210</v>
      </c>
      <c r="AB83" s="339" t="e">
        <v>#DIV/0!</v>
      </c>
      <c r="AC83" s="342" t="e">
        <v>#DIV/0!</v>
      </c>
      <c r="AD83" s="342" t="e">
        <v>#DIV/0!</v>
      </c>
      <c r="AE83" s="342">
        <v>1</v>
      </c>
      <c r="AF83" s="342">
        <v>1</v>
      </c>
      <c r="AG83" s="332"/>
    </row>
    <row r="84" spans="1:33" s="333" customFormat="1">
      <c r="A84" s="224">
        <v>12</v>
      </c>
      <c r="B84" s="340" t="s">
        <v>1259</v>
      </c>
      <c r="C84" s="224">
        <v>1</v>
      </c>
      <c r="D84" s="224">
        <v>1</v>
      </c>
      <c r="E84" s="224">
        <v>1</v>
      </c>
      <c r="F84" s="224">
        <v>1</v>
      </c>
      <c r="G84" s="223">
        <v>12</v>
      </c>
      <c r="H84" s="223">
        <v>12</v>
      </c>
      <c r="I84" s="224">
        <v>0</v>
      </c>
      <c r="J84" s="224"/>
      <c r="K84" s="224">
        <v>0</v>
      </c>
      <c r="L84" s="224"/>
      <c r="M84" s="224">
        <v>0</v>
      </c>
      <c r="N84" s="224"/>
      <c r="O84" s="224">
        <v>6</v>
      </c>
      <c r="P84" s="224" t="s">
        <v>1236</v>
      </c>
      <c r="Q84" s="224">
        <v>30</v>
      </c>
      <c r="R84" s="337">
        <v>0</v>
      </c>
      <c r="S84" s="339">
        <v>0</v>
      </c>
      <c r="T84" s="339">
        <v>0</v>
      </c>
      <c r="U84" s="339">
        <v>168</v>
      </c>
      <c r="V84" s="339">
        <v>168</v>
      </c>
      <c r="W84" s="339">
        <v>0</v>
      </c>
      <c r="X84" s="339">
        <v>0</v>
      </c>
      <c r="Y84" s="339">
        <v>0</v>
      </c>
      <c r="Z84" s="339">
        <v>168</v>
      </c>
      <c r="AA84" s="339">
        <v>168</v>
      </c>
      <c r="AB84" s="339" t="e">
        <v>#DIV/0!</v>
      </c>
      <c r="AC84" s="342" t="e">
        <v>#DIV/0!</v>
      </c>
      <c r="AD84" s="342" t="e">
        <v>#DIV/0!</v>
      </c>
      <c r="AE84" s="342">
        <v>1</v>
      </c>
      <c r="AF84" s="342">
        <v>1</v>
      </c>
      <c r="AG84" s="332"/>
    </row>
    <row r="85" spans="1:33" s="333" customFormat="1">
      <c r="A85" s="334" t="s">
        <v>1260</v>
      </c>
      <c r="B85" s="349" t="s">
        <v>553</v>
      </c>
      <c r="C85" s="338"/>
      <c r="D85" s="337"/>
      <c r="E85" s="337"/>
      <c r="F85" s="337"/>
      <c r="G85" s="338"/>
      <c r="H85" s="338"/>
      <c r="I85" s="337"/>
      <c r="J85" s="337"/>
      <c r="K85" s="337"/>
      <c r="L85" s="337"/>
      <c r="M85" s="337">
        <v>4</v>
      </c>
      <c r="N85" s="337"/>
      <c r="O85" s="337">
        <v>4</v>
      </c>
      <c r="P85" s="337"/>
      <c r="Q85" s="337"/>
      <c r="R85" s="337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42"/>
      <c r="AD85" s="342"/>
      <c r="AE85" s="342"/>
      <c r="AF85" s="342"/>
      <c r="AG85" s="332"/>
    </row>
    <row r="86" spans="1:33" s="333" customFormat="1">
      <c r="A86" s="224">
        <v>1</v>
      </c>
      <c r="B86" s="222" t="s">
        <v>554</v>
      </c>
      <c r="C86" s="338"/>
      <c r="D86" s="337"/>
      <c r="E86" s="337">
        <v>10</v>
      </c>
      <c r="F86" s="337">
        <v>10</v>
      </c>
      <c r="G86" s="338">
        <v>2.2000000000000002</v>
      </c>
      <c r="H86" s="338">
        <v>2.2000000000000002</v>
      </c>
      <c r="I86" s="337">
        <v>0</v>
      </c>
      <c r="J86" s="337"/>
      <c r="K86" s="337">
        <v>0</v>
      </c>
      <c r="L86" s="337"/>
      <c r="M86" s="337">
        <v>0</v>
      </c>
      <c r="N86" s="337"/>
      <c r="O86" s="224">
        <v>6</v>
      </c>
      <c r="P86" s="224" t="s">
        <v>1257</v>
      </c>
      <c r="Q86" s="337">
        <v>30</v>
      </c>
      <c r="R86" s="337">
        <v>0</v>
      </c>
      <c r="S86" s="339">
        <v>0</v>
      </c>
      <c r="T86" s="339">
        <v>0</v>
      </c>
      <c r="U86" s="339">
        <v>2640</v>
      </c>
      <c r="V86" s="339">
        <v>2640</v>
      </c>
      <c r="W86" s="339">
        <v>0</v>
      </c>
      <c r="X86" s="339">
        <v>0</v>
      </c>
      <c r="Y86" s="339">
        <v>0</v>
      </c>
      <c r="Z86" s="339">
        <v>2640</v>
      </c>
      <c r="AA86" s="339">
        <v>2640</v>
      </c>
      <c r="AB86" s="339" t="e">
        <v>#DIV/0!</v>
      </c>
      <c r="AC86" s="342" t="e">
        <v>#DIV/0!</v>
      </c>
      <c r="AD86" s="342" t="e">
        <v>#DIV/0!</v>
      </c>
      <c r="AE86" s="342">
        <v>1</v>
      </c>
      <c r="AF86" s="342">
        <v>1</v>
      </c>
      <c r="AG86" s="332"/>
    </row>
    <row r="87" spans="1:33" s="333" customFormat="1">
      <c r="A87" s="224">
        <v>2</v>
      </c>
      <c r="B87" s="340" t="s">
        <v>555</v>
      </c>
      <c r="C87" s="338"/>
      <c r="D87" s="337"/>
      <c r="E87" s="337">
        <v>6</v>
      </c>
      <c r="F87" s="337">
        <v>6</v>
      </c>
      <c r="G87" s="338">
        <v>2.2000000000000002</v>
      </c>
      <c r="H87" s="338">
        <v>2.2000000000000002</v>
      </c>
      <c r="I87" s="337">
        <v>0</v>
      </c>
      <c r="J87" s="337"/>
      <c r="K87" s="337">
        <v>0</v>
      </c>
      <c r="L87" s="337"/>
      <c r="M87" s="337">
        <v>0</v>
      </c>
      <c r="N87" s="337"/>
      <c r="O87" s="224">
        <v>4</v>
      </c>
      <c r="P87" s="224" t="s">
        <v>1236</v>
      </c>
      <c r="Q87" s="337">
        <v>30</v>
      </c>
      <c r="R87" s="337">
        <v>0</v>
      </c>
      <c r="S87" s="339">
        <v>0</v>
      </c>
      <c r="T87" s="339">
        <v>0</v>
      </c>
      <c r="U87" s="339">
        <v>1584.0000000000002</v>
      </c>
      <c r="V87" s="339">
        <v>1584.0000000000002</v>
      </c>
      <c r="W87" s="339">
        <v>0</v>
      </c>
      <c r="X87" s="339">
        <v>0</v>
      </c>
      <c r="Y87" s="339">
        <v>0</v>
      </c>
      <c r="Z87" s="339">
        <v>1584.0000000000002</v>
      </c>
      <c r="AA87" s="339">
        <v>1584.0000000000002</v>
      </c>
      <c r="AB87" s="339" t="e">
        <v>#DIV/0!</v>
      </c>
      <c r="AC87" s="342" t="e">
        <v>#DIV/0!</v>
      </c>
      <c r="AD87" s="342" t="e">
        <v>#DIV/0!</v>
      </c>
      <c r="AE87" s="342">
        <v>1</v>
      </c>
      <c r="AF87" s="342">
        <v>1</v>
      </c>
      <c r="AG87" s="332"/>
    </row>
    <row r="88" spans="1:33" s="333" customFormat="1">
      <c r="A88" s="224">
        <v>3</v>
      </c>
      <c r="B88" s="340" t="s">
        <v>1261</v>
      </c>
      <c r="C88" s="338"/>
      <c r="D88" s="337">
        <v>1</v>
      </c>
      <c r="E88" s="337">
        <v>1</v>
      </c>
      <c r="F88" s="337">
        <v>1</v>
      </c>
      <c r="G88" s="338">
        <v>1.5</v>
      </c>
      <c r="H88" s="338">
        <v>1.5</v>
      </c>
      <c r="I88" s="337">
        <v>0</v>
      </c>
      <c r="J88" s="337"/>
      <c r="K88" s="337">
        <v>0</v>
      </c>
      <c r="L88" s="337"/>
      <c r="M88" s="337">
        <v>0</v>
      </c>
      <c r="N88" s="337"/>
      <c r="O88" s="337">
        <v>0</v>
      </c>
      <c r="P88" s="337"/>
      <c r="Q88" s="337">
        <v>0</v>
      </c>
      <c r="R88" s="337">
        <v>0</v>
      </c>
      <c r="S88" s="339">
        <v>0</v>
      </c>
      <c r="T88" s="339">
        <v>0</v>
      </c>
      <c r="U88" s="339"/>
      <c r="V88" s="339"/>
      <c r="W88" s="339">
        <v>0</v>
      </c>
      <c r="X88" s="339">
        <v>0</v>
      </c>
      <c r="Y88" s="339">
        <v>0</v>
      </c>
      <c r="Z88" s="339"/>
      <c r="AA88" s="339"/>
      <c r="AB88" s="339"/>
      <c r="AC88" s="342"/>
      <c r="AD88" s="342"/>
      <c r="AE88" s="342"/>
      <c r="AF88" s="342"/>
      <c r="AG88" s="332"/>
    </row>
    <row r="89" spans="1:33" s="333" customFormat="1">
      <c r="A89" s="224">
        <v>4</v>
      </c>
      <c r="B89" s="340" t="s">
        <v>1262</v>
      </c>
      <c r="C89" s="338"/>
      <c r="D89" s="337">
        <v>1</v>
      </c>
      <c r="E89" s="337">
        <v>1</v>
      </c>
      <c r="F89" s="337">
        <v>1</v>
      </c>
      <c r="G89" s="338">
        <v>12</v>
      </c>
      <c r="H89" s="338">
        <v>12</v>
      </c>
      <c r="I89" s="337">
        <v>0</v>
      </c>
      <c r="J89" s="337"/>
      <c r="K89" s="337">
        <v>0</v>
      </c>
      <c r="L89" s="337"/>
      <c r="M89" s="337">
        <v>0</v>
      </c>
      <c r="N89" s="337"/>
      <c r="O89" s="337">
        <v>0</v>
      </c>
      <c r="P89" s="337"/>
      <c r="Q89" s="337">
        <v>0</v>
      </c>
      <c r="R89" s="337">
        <v>0</v>
      </c>
      <c r="S89" s="339">
        <v>0</v>
      </c>
      <c r="T89" s="339">
        <v>0</v>
      </c>
      <c r="U89" s="339"/>
      <c r="V89" s="339"/>
      <c r="W89" s="339">
        <v>0</v>
      </c>
      <c r="X89" s="339">
        <v>0</v>
      </c>
      <c r="Y89" s="339">
        <v>0</v>
      </c>
      <c r="Z89" s="339"/>
      <c r="AA89" s="339"/>
      <c r="AB89" s="339"/>
      <c r="AC89" s="342"/>
      <c r="AD89" s="342"/>
      <c r="AE89" s="342"/>
      <c r="AF89" s="342"/>
      <c r="AG89" s="332"/>
    </row>
    <row r="90" spans="1:33" s="333" customFormat="1">
      <c r="A90" s="224">
        <v>5</v>
      </c>
      <c r="B90" s="340" t="s">
        <v>1263</v>
      </c>
      <c r="C90" s="338"/>
      <c r="D90" s="337">
        <v>1</v>
      </c>
      <c r="E90" s="337">
        <v>1</v>
      </c>
      <c r="F90" s="337">
        <v>1</v>
      </c>
      <c r="G90" s="338">
        <v>40</v>
      </c>
      <c r="H90" s="338">
        <v>40</v>
      </c>
      <c r="I90" s="337">
        <v>0</v>
      </c>
      <c r="J90" s="337"/>
      <c r="K90" s="337">
        <v>0</v>
      </c>
      <c r="L90" s="337"/>
      <c r="M90" s="337">
        <v>0</v>
      </c>
      <c r="N90" s="337"/>
      <c r="O90" s="337">
        <v>0</v>
      </c>
      <c r="P90" s="337"/>
      <c r="Q90" s="337">
        <v>0</v>
      </c>
      <c r="R90" s="337">
        <v>0</v>
      </c>
      <c r="S90" s="339">
        <v>0</v>
      </c>
      <c r="T90" s="339">
        <v>0</v>
      </c>
      <c r="U90" s="339"/>
      <c r="V90" s="339"/>
      <c r="W90" s="339">
        <v>0</v>
      </c>
      <c r="X90" s="339">
        <v>0</v>
      </c>
      <c r="Y90" s="339">
        <v>0</v>
      </c>
      <c r="Z90" s="339"/>
      <c r="AA90" s="339"/>
      <c r="AB90" s="339"/>
      <c r="AC90" s="342"/>
      <c r="AD90" s="342"/>
      <c r="AE90" s="342"/>
      <c r="AF90" s="342"/>
      <c r="AG90" s="332"/>
    </row>
    <row r="91" spans="1:33" s="332" customFormat="1">
      <c r="A91" s="350" t="s">
        <v>18</v>
      </c>
      <c r="B91" s="349" t="s">
        <v>1264</v>
      </c>
      <c r="C91" s="347"/>
      <c r="D91" s="334"/>
      <c r="E91" s="334"/>
      <c r="F91" s="334"/>
      <c r="G91" s="347"/>
      <c r="H91" s="223"/>
      <c r="I91" s="334"/>
      <c r="J91" s="334"/>
      <c r="K91" s="334"/>
      <c r="L91" s="334"/>
      <c r="M91" s="334"/>
      <c r="N91" s="334"/>
      <c r="O91" s="334"/>
      <c r="P91" s="350"/>
      <c r="Q91" s="350"/>
      <c r="R91" s="350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2"/>
      <c r="AD91" s="352"/>
      <c r="AE91" s="352"/>
      <c r="AF91" s="352"/>
    </row>
    <row r="92" spans="1:33" s="332" customFormat="1" ht="18" customHeight="1">
      <c r="A92" s="350" t="s">
        <v>1265</v>
      </c>
      <c r="B92" s="349" t="s">
        <v>1266</v>
      </c>
      <c r="C92" s="347"/>
      <c r="D92" s="334"/>
      <c r="E92" s="334"/>
      <c r="F92" s="334"/>
      <c r="G92" s="347"/>
      <c r="H92" s="223"/>
      <c r="I92" s="334"/>
      <c r="J92" s="334"/>
      <c r="K92" s="334"/>
      <c r="L92" s="334"/>
      <c r="M92" s="334"/>
      <c r="N92" s="334"/>
      <c r="O92" s="334"/>
      <c r="P92" s="350"/>
      <c r="Q92" s="350"/>
      <c r="R92" s="350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2"/>
      <c r="AD92" s="352"/>
      <c r="AE92" s="352"/>
      <c r="AF92" s="352"/>
    </row>
    <row r="93" spans="1:33" s="333" customFormat="1" ht="18" customHeight="1">
      <c r="A93" s="337">
        <v>1</v>
      </c>
      <c r="B93" s="340" t="s">
        <v>230</v>
      </c>
      <c r="C93" s="223">
        <v>1</v>
      </c>
      <c r="D93" s="224">
        <v>1</v>
      </c>
      <c r="E93" s="224">
        <v>1</v>
      </c>
      <c r="F93" s="224">
        <v>1</v>
      </c>
      <c r="G93" s="223">
        <v>2</v>
      </c>
      <c r="H93" s="223">
        <v>2</v>
      </c>
      <c r="I93" s="223">
        <v>12</v>
      </c>
      <c r="J93" s="224" t="s">
        <v>1580</v>
      </c>
      <c r="K93" s="223">
        <v>24</v>
      </c>
      <c r="L93" s="224" t="s">
        <v>1580</v>
      </c>
      <c r="M93" s="223">
        <v>24</v>
      </c>
      <c r="N93" s="224" t="s">
        <v>996</v>
      </c>
      <c r="O93" s="223">
        <v>24</v>
      </c>
      <c r="P93" s="224" t="s">
        <v>996</v>
      </c>
      <c r="Q93" s="337">
        <v>30</v>
      </c>
      <c r="R93" s="337">
        <v>480</v>
      </c>
      <c r="S93" s="339">
        <v>40</v>
      </c>
      <c r="T93" s="339">
        <v>80</v>
      </c>
      <c r="U93" s="339">
        <v>240</v>
      </c>
      <c r="V93" s="339">
        <v>480</v>
      </c>
      <c r="W93" s="339">
        <v>480</v>
      </c>
      <c r="X93" s="339">
        <v>40</v>
      </c>
      <c r="Y93" s="339">
        <v>80</v>
      </c>
      <c r="Z93" s="339">
        <v>240</v>
      </c>
      <c r="AA93" s="339">
        <v>480</v>
      </c>
      <c r="AB93" s="339">
        <v>1</v>
      </c>
      <c r="AC93" s="342">
        <v>1</v>
      </c>
      <c r="AD93" s="342">
        <v>1</v>
      </c>
      <c r="AE93" s="342">
        <v>1</v>
      </c>
      <c r="AF93" s="342">
        <v>1</v>
      </c>
      <c r="AG93" s="332"/>
    </row>
    <row r="94" spans="1:33" s="333" customFormat="1" ht="18" customHeight="1">
      <c r="A94" s="337">
        <v>2</v>
      </c>
      <c r="B94" s="340" t="s">
        <v>231</v>
      </c>
      <c r="C94" s="223">
        <v>1</v>
      </c>
      <c r="D94" s="224">
        <v>1</v>
      </c>
      <c r="E94" s="224">
        <v>1</v>
      </c>
      <c r="F94" s="224">
        <v>1</v>
      </c>
      <c r="G94" s="223">
        <v>2.8</v>
      </c>
      <c r="H94" s="223">
        <v>2.8</v>
      </c>
      <c r="I94" s="223">
        <v>12</v>
      </c>
      <c r="J94" s="224" t="s">
        <v>1580</v>
      </c>
      <c r="K94" s="223">
        <v>24</v>
      </c>
      <c r="L94" s="224" t="s">
        <v>1580</v>
      </c>
      <c r="M94" s="223">
        <v>24</v>
      </c>
      <c r="N94" s="224" t="s">
        <v>996</v>
      </c>
      <c r="O94" s="223">
        <v>24</v>
      </c>
      <c r="P94" s="224" t="s">
        <v>996</v>
      </c>
      <c r="Q94" s="337">
        <v>30</v>
      </c>
      <c r="R94" s="337">
        <v>671.99999999999989</v>
      </c>
      <c r="S94" s="339">
        <v>56</v>
      </c>
      <c r="T94" s="339">
        <v>112</v>
      </c>
      <c r="U94" s="339">
        <v>335.99999999999994</v>
      </c>
      <c r="V94" s="339">
        <v>671.99999999999989</v>
      </c>
      <c r="W94" s="339">
        <v>671.99999999999989</v>
      </c>
      <c r="X94" s="339">
        <v>56</v>
      </c>
      <c r="Y94" s="339">
        <v>112</v>
      </c>
      <c r="Z94" s="339">
        <v>335.99999999999994</v>
      </c>
      <c r="AA94" s="339">
        <v>671.99999999999989</v>
      </c>
      <c r="AB94" s="339">
        <v>1</v>
      </c>
      <c r="AC94" s="342">
        <v>1</v>
      </c>
      <c r="AD94" s="342">
        <v>1</v>
      </c>
      <c r="AE94" s="342">
        <v>1</v>
      </c>
      <c r="AF94" s="342">
        <v>1</v>
      </c>
      <c r="AG94" s="332"/>
    </row>
    <row r="95" spans="1:33" s="333" customFormat="1" ht="18" customHeight="1">
      <c r="A95" s="337">
        <v>3</v>
      </c>
      <c r="B95" s="340" t="s">
        <v>232</v>
      </c>
      <c r="C95" s="223">
        <v>1</v>
      </c>
      <c r="D95" s="224">
        <v>1</v>
      </c>
      <c r="E95" s="224">
        <v>1</v>
      </c>
      <c r="F95" s="224">
        <v>1</v>
      </c>
      <c r="G95" s="223">
        <v>2</v>
      </c>
      <c r="H95" s="223">
        <v>2</v>
      </c>
      <c r="I95" s="223">
        <v>12</v>
      </c>
      <c r="J95" s="224" t="s">
        <v>1580</v>
      </c>
      <c r="K95" s="223">
        <v>24</v>
      </c>
      <c r="L95" s="224" t="s">
        <v>1580</v>
      </c>
      <c r="M95" s="223">
        <v>24</v>
      </c>
      <c r="N95" s="224" t="s">
        <v>996</v>
      </c>
      <c r="O95" s="223">
        <v>24</v>
      </c>
      <c r="P95" s="224" t="s">
        <v>996</v>
      </c>
      <c r="Q95" s="337">
        <v>30</v>
      </c>
      <c r="R95" s="337">
        <v>480</v>
      </c>
      <c r="S95" s="339">
        <v>40</v>
      </c>
      <c r="T95" s="339">
        <v>80</v>
      </c>
      <c r="U95" s="339">
        <v>240</v>
      </c>
      <c r="V95" s="339">
        <v>480</v>
      </c>
      <c r="W95" s="339">
        <v>480</v>
      </c>
      <c r="X95" s="339">
        <v>40</v>
      </c>
      <c r="Y95" s="339">
        <v>80</v>
      </c>
      <c r="Z95" s="339">
        <v>240</v>
      </c>
      <c r="AA95" s="339">
        <v>480</v>
      </c>
      <c r="AB95" s="339">
        <v>1</v>
      </c>
      <c r="AC95" s="342">
        <v>1</v>
      </c>
      <c r="AD95" s="342">
        <v>1</v>
      </c>
      <c r="AE95" s="342">
        <v>1</v>
      </c>
      <c r="AF95" s="342">
        <v>1</v>
      </c>
      <c r="AG95" s="332"/>
    </row>
    <row r="96" spans="1:33" s="333" customFormat="1" ht="18" customHeight="1">
      <c r="A96" s="337">
        <v>4</v>
      </c>
      <c r="B96" s="340" t="s">
        <v>233</v>
      </c>
      <c r="C96" s="223">
        <v>1</v>
      </c>
      <c r="D96" s="224">
        <v>1</v>
      </c>
      <c r="E96" s="224">
        <v>1</v>
      </c>
      <c r="F96" s="224">
        <v>1</v>
      </c>
      <c r="G96" s="223">
        <v>3.3</v>
      </c>
      <c r="H96" s="223">
        <v>3.3</v>
      </c>
      <c r="I96" s="223">
        <v>12</v>
      </c>
      <c r="J96" s="224" t="s">
        <v>1580</v>
      </c>
      <c r="K96" s="223">
        <v>24</v>
      </c>
      <c r="L96" s="224" t="s">
        <v>1580</v>
      </c>
      <c r="M96" s="223">
        <v>24</v>
      </c>
      <c r="N96" s="224" t="s">
        <v>996</v>
      </c>
      <c r="O96" s="223">
        <v>24</v>
      </c>
      <c r="P96" s="224" t="s">
        <v>996</v>
      </c>
      <c r="Q96" s="337">
        <v>30</v>
      </c>
      <c r="R96" s="337">
        <v>791.99999999999989</v>
      </c>
      <c r="S96" s="339">
        <v>66</v>
      </c>
      <c r="T96" s="339">
        <v>132</v>
      </c>
      <c r="U96" s="339">
        <v>395.99999999999994</v>
      </c>
      <c r="V96" s="339">
        <v>791.99999999999989</v>
      </c>
      <c r="W96" s="339">
        <v>791.99999999999989</v>
      </c>
      <c r="X96" s="339">
        <v>66</v>
      </c>
      <c r="Y96" s="339">
        <v>132</v>
      </c>
      <c r="Z96" s="339">
        <v>395.99999999999994</v>
      </c>
      <c r="AA96" s="339">
        <v>791.99999999999989</v>
      </c>
      <c r="AB96" s="339">
        <v>1</v>
      </c>
      <c r="AC96" s="342">
        <v>1</v>
      </c>
      <c r="AD96" s="342">
        <v>1</v>
      </c>
      <c r="AE96" s="342">
        <v>1</v>
      </c>
      <c r="AF96" s="342">
        <v>1</v>
      </c>
      <c r="AG96" s="332"/>
    </row>
    <row r="97" spans="1:33" s="333" customFormat="1" ht="18" customHeight="1">
      <c r="A97" s="337">
        <v>5</v>
      </c>
      <c r="B97" s="340" t="s">
        <v>235</v>
      </c>
      <c r="C97" s="223">
        <v>1</v>
      </c>
      <c r="D97" s="224">
        <v>1</v>
      </c>
      <c r="E97" s="224">
        <v>1</v>
      </c>
      <c r="F97" s="224">
        <v>1</v>
      </c>
      <c r="G97" s="223">
        <v>3.3</v>
      </c>
      <c r="H97" s="223">
        <v>3.3</v>
      </c>
      <c r="I97" s="223">
        <v>12</v>
      </c>
      <c r="J97" s="224" t="s">
        <v>1580</v>
      </c>
      <c r="K97" s="223">
        <v>24</v>
      </c>
      <c r="L97" s="224" t="s">
        <v>1580</v>
      </c>
      <c r="M97" s="223">
        <v>24</v>
      </c>
      <c r="N97" s="224" t="s">
        <v>996</v>
      </c>
      <c r="O97" s="223">
        <v>24</v>
      </c>
      <c r="P97" s="224" t="s">
        <v>996</v>
      </c>
      <c r="Q97" s="337">
        <v>30</v>
      </c>
      <c r="R97" s="337">
        <v>791.99999999999989</v>
      </c>
      <c r="S97" s="339">
        <v>66</v>
      </c>
      <c r="T97" s="339">
        <v>132</v>
      </c>
      <c r="U97" s="339">
        <v>395.99999999999994</v>
      </c>
      <c r="V97" s="339">
        <v>791.99999999999989</v>
      </c>
      <c r="W97" s="339">
        <v>791.99999999999989</v>
      </c>
      <c r="X97" s="339">
        <v>66</v>
      </c>
      <c r="Y97" s="339">
        <v>132</v>
      </c>
      <c r="Z97" s="339">
        <v>395.99999999999994</v>
      </c>
      <c r="AA97" s="339">
        <v>791.99999999999989</v>
      </c>
      <c r="AB97" s="339">
        <v>1</v>
      </c>
      <c r="AC97" s="342">
        <v>1</v>
      </c>
      <c r="AD97" s="342">
        <v>1</v>
      </c>
      <c r="AE97" s="342">
        <v>1</v>
      </c>
      <c r="AF97" s="342">
        <v>1</v>
      </c>
      <c r="AG97" s="332"/>
    </row>
    <row r="98" spans="1:33" s="333" customFormat="1" ht="18" customHeight="1">
      <c r="A98" s="337">
        <v>6</v>
      </c>
      <c r="B98" s="340" t="s">
        <v>236</v>
      </c>
      <c r="C98" s="223">
        <v>1</v>
      </c>
      <c r="D98" s="224">
        <v>1</v>
      </c>
      <c r="E98" s="224">
        <v>1</v>
      </c>
      <c r="F98" s="224">
        <v>1</v>
      </c>
      <c r="G98" s="223">
        <v>2</v>
      </c>
      <c r="H98" s="223">
        <v>2</v>
      </c>
      <c r="I98" s="223">
        <v>12</v>
      </c>
      <c r="J98" s="224" t="s">
        <v>1580</v>
      </c>
      <c r="K98" s="223">
        <v>24</v>
      </c>
      <c r="L98" s="224" t="s">
        <v>1580</v>
      </c>
      <c r="M98" s="223">
        <v>24</v>
      </c>
      <c r="N98" s="224" t="s">
        <v>996</v>
      </c>
      <c r="O98" s="223">
        <v>24</v>
      </c>
      <c r="P98" s="224" t="s">
        <v>996</v>
      </c>
      <c r="Q98" s="337">
        <v>30</v>
      </c>
      <c r="R98" s="337">
        <v>480</v>
      </c>
      <c r="S98" s="339">
        <v>40</v>
      </c>
      <c r="T98" s="339">
        <v>80</v>
      </c>
      <c r="U98" s="339">
        <v>240</v>
      </c>
      <c r="V98" s="339">
        <v>480</v>
      </c>
      <c r="W98" s="339">
        <v>480</v>
      </c>
      <c r="X98" s="339">
        <v>40</v>
      </c>
      <c r="Y98" s="339">
        <v>80</v>
      </c>
      <c r="Z98" s="339">
        <v>240</v>
      </c>
      <c r="AA98" s="339">
        <v>480</v>
      </c>
      <c r="AB98" s="339">
        <v>1</v>
      </c>
      <c r="AC98" s="342">
        <v>1</v>
      </c>
      <c r="AD98" s="342">
        <v>1</v>
      </c>
      <c r="AE98" s="342">
        <v>1</v>
      </c>
      <c r="AF98" s="342">
        <v>1</v>
      </c>
      <c r="AG98" s="332"/>
    </row>
    <row r="99" spans="1:33" s="333" customFormat="1" ht="18" customHeight="1">
      <c r="A99" s="337">
        <v>7</v>
      </c>
      <c r="B99" s="340" t="s">
        <v>237</v>
      </c>
      <c r="C99" s="223">
        <v>1</v>
      </c>
      <c r="D99" s="224">
        <v>1</v>
      </c>
      <c r="E99" s="224">
        <v>1</v>
      </c>
      <c r="F99" s="224">
        <v>1</v>
      </c>
      <c r="G99" s="223">
        <v>2</v>
      </c>
      <c r="H99" s="223">
        <v>2</v>
      </c>
      <c r="I99" s="223">
        <v>12</v>
      </c>
      <c r="J99" s="224" t="s">
        <v>1580</v>
      </c>
      <c r="K99" s="223">
        <v>24</v>
      </c>
      <c r="L99" s="224" t="s">
        <v>1580</v>
      </c>
      <c r="M99" s="223">
        <v>24</v>
      </c>
      <c r="N99" s="224" t="s">
        <v>996</v>
      </c>
      <c r="O99" s="223">
        <v>24</v>
      </c>
      <c r="P99" s="224" t="s">
        <v>996</v>
      </c>
      <c r="Q99" s="337">
        <v>30</v>
      </c>
      <c r="R99" s="337">
        <v>480</v>
      </c>
      <c r="S99" s="339">
        <v>40</v>
      </c>
      <c r="T99" s="339">
        <v>80</v>
      </c>
      <c r="U99" s="339">
        <v>240</v>
      </c>
      <c r="V99" s="339">
        <v>480</v>
      </c>
      <c r="W99" s="339">
        <v>480</v>
      </c>
      <c r="X99" s="339">
        <v>40</v>
      </c>
      <c r="Y99" s="339">
        <v>80</v>
      </c>
      <c r="Z99" s="339">
        <v>240</v>
      </c>
      <c r="AA99" s="339">
        <v>480</v>
      </c>
      <c r="AB99" s="339">
        <v>1</v>
      </c>
      <c r="AC99" s="342">
        <v>1</v>
      </c>
      <c r="AD99" s="342">
        <v>1</v>
      </c>
      <c r="AE99" s="342">
        <v>1</v>
      </c>
      <c r="AF99" s="342">
        <v>1</v>
      </c>
      <c r="AG99" s="332"/>
    </row>
    <row r="100" spans="1:33" s="333" customFormat="1" ht="18" customHeight="1">
      <c r="A100" s="337">
        <v>8</v>
      </c>
      <c r="B100" s="340" t="s">
        <v>322</v>
      </c>
      <c r="C100" s="223">
        <v>1</v>
      </c>
      <c r="D100" s="224">
        <v>1</v>
      </c>
      <c r="E100" s="224">
        <v>1</v>
      </c>
      <c r="F100" s="224">
        <v>1</v>
      </c>
      <c r="G100" s="223">
        <v>0.56000000000000005</v>
      </c>
      <c r="H100" s="223">
        <v>0.56000000000000005</v>
      </c>
      <c r="I100" s="223">
        <v>4</v>
      </c>
      <c r="J100" s="224" t="s">
        <v>1236</v>
      </c>
      <c r="K100" s="223">
        <v>4</v>
      </c>
      <c r="L100" s="224" t="s">
        <v>1236</v>
      </c>
      <c r="M100" s="223">
        <v>4</v>
      </c>
      <c r="N100" s="224" t="s">
        <v>1236</v>
      </c>
      <c r="O100" s="223">
        <v>4</v>
      </c>
      <c r="P100" s="224" t="s">
        <v>1236</v>
      </c>
      <c r="Q100" s="337">
        <v>30</v>
      </c>
      <c r="R100" s="337">
        <v>791.99999999999989</v>
      </c>
      <c r="S100" s="339">
        <v>66</v>
      </c>
      <c r="T100" s="339">
        <v>132</v>
      </c>
      <c r="U100" s="339">
        <v>395.99999999999994</v>
      </c>
      <c r="V100" s="339">
        <v>791.99999999999989</v>
      </c>
      <c r="W100" s="339">
        <v>791.99999999999989</v>
      </c>
      <c r="X100" s="339">
        <v>66</v>
      </c>
      <c r="Y100" s="339">
        <v>132</v>
      </c>
      <c r="Z100" s="339">
        <v>395.99999999999994</v>
      </c>
      <c r="AA100" s="339">
        <v>791.99999999999989</v>
      </c>
      <c r="AB100" s="339">
        <v>1</v>
      </c>
      <c r="AC100" s="342">
        <v>1</v>
      </c>
      <c r="AD100" s="342">
        <v>1</v>
      </c>
      <c r="AE100" s="342">
        <v>1</v>
      </c>
      <c r="AF100" s="342">
        <v>1</v>
      </c>
      <c r="AG100" s="332"/>
    </row>
    <row r="101" spans="1:33" s="333" customFormat="1" ht="18" customHeight="1">
      <c r="A101" s="337">
        <v>9</v>
      </c>
      <c r="B101" s="222" t="s">
        <v>319</v>
      </c>
      <c r="C101" s="223">
        <v>1</v>
      </c>
      <c r="D101" s="224">
        <v>2</v>
      </c>
      <c r="E101" s="224">
        <v>3</v>
      </c>
      <c r="F101" s="224">
        <v>3</v>
      </c>
      <c r="G101" s="223">
        <v>0.72</v>
      </c>
      <c r="H101" s="223">
        <v>0.72</v>
      </c>
      <c r="I101" s="223">
        <v>12</v>
      </c>
      <c r="J101" s="224" t="s">
        <v>1580</v>
      </c>
      <c r="K101" s="223">
        <v>24</v>
      </c>
      <c r="L101" s="224" t="s">
        <v>996</v>
      </c>
      <c r="M101" s="223">
        <v>24</v>
      </c>
      <c r="N101" s="224" t="s">
        <v>996</v>
      </c>
      <c r="O101" s="223">
        <v>24</v>
      </c>
      <c r="P101" s="224" t="s">
        <v>996</v>
      </c>
      <c r="Q101" s="337">
        <v>30</v>
      </c>
      <c r="R101" s="337">
        <v>791.99999999999989</v>
      </c>
      <c r="S101" s="339">
        <v>66</v>
      </c>
      <c r="T101" s="339">
        <v>132</v>
      </c>
      <c r="U101" s="339">
        <v>395.99999999999994</v>
      </c>
      <c r="V101" s="339">
        <v>791.99999999999989</v>
      </c>
      <c r="W101" s="339">
        <v>791.99999999999989</v>
      </c>
      <c r="X101" s="339">
        <v>66</v>
      </c>
      <c r="Y101" s="339">
        <v>132</v>
      </c>
      <c r="Z101" s="339">
        <v>395.99999999999994</v>
      </c>
      <c r="AA101" s="339">
        <v>791.99999999999989</v>
      </c>
      <c r="AB101" s="339">
        <v>1</v>
      </c>
      <c r="AC101" s="342">
        <v>1</v>
      </c>
      <c r="AD101" s="342">
        <v>1</v>
      </c>
      <c r="AE101" s="342">
        <v>1</v>
      </c>
      <c r="AF101" s="342">
        <v>1</v>
      </c>
      <c r="AG101" s="332"/>
    </row>
    <row r="102" spans="1:33" s="333" customFormat="1" ht="18" customHeight="1">
      <c r="A102" s="337">
        <v>10</v>
      </c>
      <c r="B102" s="349" t="s">
        <v>1267</v>
      </c>
      <c r="C102" s="347"/>
      <c r="D102" s="334"/>
      <c r="E102" s="334"/>
      <c r="F102" s="334"/>
      <c r="G102" s="347"/>
      <c r="H102" s="347"/>
      <c r="I102" s="334"/>
      <c r="J102" s="334"/>
      <c r="K102" s="334"/>
      <c r="L102" s="334"/>
      <c r="M102" s="334"/>
      <c r="N102" s="334"/>
      <c r="O102" s="334"/>
      <c r="P102" s="337"/>
      <c r="Q102" s="337"/>
      <c r="R102" s="337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42"/>
      <c r="AD102" s="342"/>
      <c r="AE102" s="342"/>
      <c r="AF102" s="342"/>
      <c r="AG102" s="332"/>
    </row>
    <row r="103" spans="1:33" s="333" customFormat="1" ht="18" customHeight="1">
      <c r="A103" s="337">
        <v>2</v>
      </c>
      <c r="B103" s="340" t="s">
        <v>293</v>
      </c>
      <c r="C103" s="223">
        <v>1</v>
      </c>
      <c r="D103" s="224">
        <v>1</v>
      </c>
      <c r="E103" s="224">
        <v>3</v>
      </c>
      <c r="F103" s="224">
        <v>3</v>
      </c>
      <c r="G103" s="223">
        <v>0.35</v>
      </c>
      <c r="H103" s="223">
        <v>0.35</v>
      </c>
      <c r="I103" s="223">
        <v>12</v>
      </c>
      <c r="J103" s="224" t="s">
        <v>1580</v>
      </c>
      <c r="K103" s="224">
        <v>24</v>
      </c>
      <c r="L103" s="224" t="s">
        <v>996</v>
      </c>
      <c r="M103" s="224">
        <v>24</v>
      </c>
      <c r="N103" s="224" t="s">
        <v>996</v>
      </c>
      <c r="O103" s="224">
        <v>24</v>
      </c>
      <c r="P103" s="224" t="s">
        <v>996</v>
      </c>
      <c r="Q103" s="337">
        <v>30</v>
      </c>
      <c r="R103" s="337">
        <v>0</v>
      </c>
      <c r="S103" s="339">
        <v>0</v>
      </c>
      <c r="T103" s="339">
        <v>720</v>
      </c>
      <c r="U103" s="339">
        <v>720</v>
      </c>
      <c r="V103" s="339">
        <v>720</v>
      </c>
      <c r="W103" s="339">
        <v>0</v>
      </c>
      <c r="X103" s="339">
        <v>0</v>
      </c>
      <c r="Y103" s="339">
        <v>720</v>
      </c>
      <c r="Z103" s="339">
        <v>720</v>
      </c>
      <c r="AA103" s="339">
        <v>720</v>
      </c>
      <c r="AB103" s="339" t="e">
        <v>#DIV/0!</v>
      </c>
      <c r="AC103" s="342" t="e">
        <v>#DIV/0!</v>
      </c>
      <c r="AD103" s="342">
        <v>1</v>
      </c>
      <c r="AE103" s="342">
        <v>1</v>
      </c>
      <c r="AF103" s="342">
        <v>1</v>
      </c>
      <c r="AG103" s="332"/>
    </row>
    <row r="104" spans="1:33" s="333" customFormat="1" ht="18" customHeight="1">
      <c r="A104" s="337">
        <v>3</v>
      </c>
      <c r="B104" s="340" t="s">
        <v>298</v>
      </c>
      <c r="C104" s="223">
        <v>1</v>
      </c>
      <c r="D104" s="224">
        <v>1</v>
      </c>
      <c r="E104" s="224">
        <v>1</v>
      </c>
      <c r="F104" s="224">
        <v>1</v>
      </c>
      <c r="G104" s="223">
        <v>1</v>
      </c>
      <c r="H104" s="223">
        <v>1</v>
      </c>
      <c r="I104" s="224">
        <v>3</v>
      </c>
      <c r="J104" s="224" t="s">
        <v>1268</v>
      </c>
      <c r="K104" s="224">
        <v>6</v>
      </c>
      <c r="L104" s="224" t="s">
        <v>1268</v>
      </c>
      <c r="M104" s="224">
        <v>6</v>
      </c>
      <c r="N104" s="224" t="s">
        <v>1268</v>
      </c>
      <c r="O104" s="224">
        <v>6</v>
      </c>
      <c r="P104" s="224" t="s">
        <v>1268</v>
      </c>
      <c r="Q104" s="337">
        <v>30</v>
      </c>
      <c r="R104" s="337">
        <v>0</v>
      </c>
      <c r="S104" s="339">
        <v>90</v>
      </c>
      <c r="T104" s="339">
        <v>180</v>
      </c>
      <c r="U104" s="339">
        <v>180</v>
      </c>
      <c r="V104" s="339">
        <v>180</v>
      </c>
      <c r="W104" s="339">
        <v>0</v>
      </c>
      <c r="X104" s="339">
        <v>90</v>
      </c>
      <c r="Y104" s="339">
        <v>180</v>
      </c>
      <c r="Z104" s="339">
        <v>180</v>
      </c>
      <c r="AA104" s="339">
        <v>180</v>
      </c>
      <c r="AB104" s="339" t="e">
        <v>#DIV/0!</v>
      </c>
      <c r="AC104" s="342">
        <v>1</v>
      </c>
      <c r="AD104" s="342">
        <v>1</v>
      </c>
      <c r="AE104" s="342">
        <v>1</v>
      </c>
      <c r="AF104" s="342">
        <v>1</v>
      </c>
      <c r="AG104" s="332"/>
    </row>
    <row r="105" spans="1:33" s="333" customFormat="1" ht="18" customHeight="1">
      <c r="A105" s="337">
        <v>4</v>
      </c>
      <c r="B105" s="340" t="s">
        <v>299</v>
      </c>
      <c r="C105" s="223">
        <v>1</v>
      </c>
      <c r="D105" s="224">
        <v>1</v>
      </c>
      <c r="E105" s="224">
        <v>1</v>
      </c>
      <c r="F105" s="224">
        <v>1</v>
      </c>
      <c r="G105" s="223">
        <v>1.4</v>
      </c>
      <c r="H105" s="223">
        <v>1.4</v>
      </c>
      <c r="I105" s="224">
        <v>2</v>
      </c>
      <c r="J105" s="224" t="s">
        <v>1268</v>
      </c>
      <c r="K105" s="224">
        <v>6</v>
      </c>
      <c r="L105" s="224" t="s">
        <v>1268</v>
      </c>
      <c r="M105" s="224">
        <v>6</v>
      </c>
      <c r="N105" s="224" t="s">
        <v>1268</v>
      </c>
      <c r="O105" s="224">
        <v>6</v>
      </c>
      <c r="P105" s="224" t="s">
        <v>1268</v>
      </c>
      <c r="Q105" s="337">
        <v>30</v>
      </c>
      <c r="R105" s="337">
        <v>0</v>
      </c>
      <c r="S105" s="339">
        <v>84</v>
      </c>
      <c r="T105" s="339">
        <v>251.99999999999994</v>
      </c>
      <c r="U105" s="339">
        <v>251.99999999999994</v>
      </c>
      <c r="V105" s="339">
        <v>251.99999999999994</v>
      </c>
      <c r="W105" s="339">
        <v>0</v>
      </c>
      <c r="X105" s="339">
        <v>84</v>
      </c>
      <c r="Y105" s="339">
        <v>251.99999999999994</v>
      </c>
      <c r="Z105" s="339">
        <v>251.99999999999994</v>
      </c>
      <c r="AA105" s="339">
        <v>251.99999999999994</v>
      </c>
      <c r="AB105" s="339" t="e">
        <v>#DIV/0!</v>
      </c>
      <c r="AC105" s="342">
        <v>1</v>
      </c>
      <c r="AD105" s="342">
        <v>1</v>
      </c>
      <c r="AE105" s="342">
        <v>1</v>
      </c>
      <c r="AF105" s="342">
        <v>1</v>
      </c>
      <c r="AG105" s="332"/>
    </row>
    <row r="106" spans="1:33" s="333" customFormat="1" ht="18" customHeight="1">
      <c r="A106" s="337">
        <v>5</v>
      </c>
      <c r="B106" s="340" t="s">
        <v>301</v>
      </c>
      <c r="C106" s="223">
        <v>1</v>
      </c>
      <c r="D106" s="224">
        <v>1</v>
      </c>
      <c r="E106" s="224">
        <v>1</v>
      </c>
      <c r="F106" s="224">
        <v>1</v>
      </c>
      <c r="G106" s="223">
        <v>2.2000000000000002</v>
      </c>
      <c r="H106" s="223">
        <v>2.2000000000000002</v>
      </c>
      <c r="I106" s="224">
        <v>4</v>
      </c>
      <c r="J106" s="224" t="s">
        <v>1268</v>
      </c>
      <c r="K106" s="224">
        <v>6</v>
      </c>
      <c r="L106" s="224" t="s">
        <v>1268</v>
      </c>
      <c r="M106" s="224">
        <v>6</v>
      </c>
      <c r="N106" s="224" t="s">
        <v>1268</v>
      </c>
      <c r="O106" s="224">
        <v>6</v>
      </c>
      <c r="P106" s="224" t="s">
        <v>1268</v>
      </c>
      <c r="Q106" s="337">
        <v>30</v>
      </c>
      <c r="R106" s="337">
        <v>0</v>
      </c>
      <c r="S106" s="339">
        <v>0</v>
      </c>
      <c r="T106" s="339">
        <v>52.199999999999996</v>
      </c>
      <c r="U106" s="339">
        <v>104.39999999999999</v>
      </c>
      <c r="V106" s="339">
        <v>104.39999999999999</v>
      </c>
      <c r="W106" s="339">
        <v>0</v>
      </c>
      <c r="X106" s="339">
        <v>0</v>
      </c>
      <c r="Y106" s="339">
        <v>52.199999999999996</v>
      </c>
      <c r="Z106" s="339">
        <v>104.39999999999999</v>
      </c>
      <c r="AA106" s="339">
        <v>104.39999999999999</v>
      </c>
      <c r="AB106" s="339" t="e">
        <v>#DIV/0!</v>
      </c>
      <c r="AC106" s="342" t="e">
        <v>#DIV/0!</v>
      </c>
      <c r="AD106" s="342">
        <v>1</v>
      </c>
      <c r="AE106" s="342">
        <v>1</v>
      </c>
      <c r="AF106" s="342">
        <v>1</v>
      </c>
      <c r="AG106" s="332"/>
    </row>
    <row r="107" spans="1:33" s="333" customFormat="1" ht="18" customHeight="1">
      <c r="A107" s="337">
        <v>6</v>
      </c>
      <c r="B107" s="340" t="s">
        <v>305</v>
      </c>
      <c r="C107" s="223">
        <v>1</v>
      </c>
      <c r="D107" s="224">
        <v>1</v>
      </c>
      <c r="E107" s="224">
        <v>1</v>
      </c>
      <c r="F107" s="224">
        <v>1</v>
      </c>
      <c r="G107" s="223">
        <v>15</v>
      </c>
      <c r="H107" s="223">
        <v>15</v>
      </c>
      <c r="I107" s="224">
        <v>4</v>
      </c>
      <c r="J107" s="224" t="s">
        <v>998</v>
      </c>
      <c r="K107" s="224">
        <v>6</v>
      </c>
      <c r="L107" s="224" t="s">
        <v>998</v>
      </c>
      <c r="M107" s="224">
        <v>1</v>
      </c>
      <c r="N107" s="224" t="s">
        <v>998</v>
      </c>
      <c r="O107" s="224">
        <v>1</v>
      </c>
      <c r="P107" s="224" t="s">
        <v>998</v>
      </c>
      <c r="Q107" s="337">
        <v>30</v>
      </c>
      <c r="R107" s="337">
        <v>0</v>
      </c>
      <c r="S107" s="339">
        <v>264</v>
      </c>
      <c r="T107" s="339">
        <v>396.00000000000006</v>
      </c>
      <c r="U107" s="339">
        <v>396.00000000000006</v>
      </c>
      <c r="V107" s="339">
        <v>396.00000000000006</v>
      </c>
      <c r="W107" s="339">
        <v>0</v>
      </c>
      <c r="X107" s="339">
        <v>264</v>
      </c>
      <c r="Y107" s="339">
        <v>396.00000000000006</v>
      </c>
      <c r="Z107" s="339">
        <v>396.00000000000006</v>
      </c>
      <c r="AA107" s="339">
        <v>396.00000000000006</v>
      </c>
      <c r="AB107" s="339" t="e">
        <v>#DIV/0!</v>
      </c>
      <c r="AC107" s="342">
        <v>1</v>
      </c>
      <c r="AD107" s="342">
        <v>1</v>
      </c>
      <c r="AE107" s="342">
        <v>1</v>
      </c>
      <c r="AF107" s="342">
        <v>1</v>
      </c>
      <c r="AG107" s="332"/>
    </row>
    <row r="108" spans="1:33" s="333" customFormat="1" ht="32.25" customHeight="1">
      <c r="A108" s="337">
        <v>7</v>
      </c>
      <c r="B108" s="222" t="s">
        <v>316</v>
      </c>
      <c r="C108" s="223">
        <v>1</v>
      </c>
      <c r="D108" s="224">
        <v>1</v>
      </c>
      <c r="E108" s="224">
        <v>1</v>
      </c>
      <c r="F108" s="224">
        <v>1</v>
      </c>
      <c r="G108" s="223">
        <v>0.56000000000000005</v>
      </c>
      <c r="H108" s="223">
        <v>0.56000000000000005</v>
      </c>
      <c r="I108" s="223">
        <v>12</v>
      </c>
      <c r="J108" s="224" t="s">
        <v>1580</v>
      </c>
      <c r="K108" s="224">
        <v>12</v>
      </c>
      <c r="L108" s="224" t="s">
        <v>996</v>
      </c>
      <c r="M108" s="224">
        <v>12</v>
      </c>
      <c r="N108" s="224" t="s">
        <v>1580</v>
      </c>
      <c r="O108" s="224">
        <v>12</v>
      </c>
      <c r="P108" s="224" t="s">
        <v>1580</v>
      </c>
      <c r="Q108" s="337">
        <v>30</v>
      </c>
      <c r="R108" s="337">
        <v>0</v>
      </c>
      <c r="S108" s="339">
        <v>1800</v>
      </c>
      <c r="T108" s="339">
        <v>2700</v>
      </c>
      <c r="U108" s="339">
        <v>450</v>
      </c>
      <c r="V108" s="339">
        <v>1350</v>
      </c>
      <c r="W108" s="339">
        <v>0</v>
      </c>
      <c r="X108" s="339">
        <v>1800</v>
      </c>
      <c r="Y108" s="339">
        <v>2700</v>
      </c>
      <c r="Z108" s="339">
        <v>450</v>
      </c>
      <c r="AA108" s="339">
        <v>1350</v>
      </c>
      <c r="AB108" s="339" t="e">
        <v>#DIV/0!</v>
      </c>
      <c r="AC108" s="342">
        <v>1</v>
      </c>
      <c r="AD108" s="342">
        <v>1</v>
      </c>
      <c r="AE108" s="342">
        <v>1</v>
      </c>
      <c r="AF108" s="342">
        <v>1</v>
      </c>
      <c r="AG108" s="332"/>
    </row>
    <row r="109" spans="1:33" s="333" customFormat="1" ht="18" customHeight="1">
      <c r="A109" s="337">
        <v>8</v>
      </c>
      <c r="B109" s="222" t="s">
        <v>317</v>
      </c>
      <c r="C109" s="223">
        <v>1</v>
      </c>
      <c r="D109" s="224">
        <v>1</v>
      </c>
      <c r="E109" s="224">
        <v>3</v>
      </c>
      <c r="F109" s="224">
        <v>3</v>
      </c>
      <c r="G109" s="223">
        <v>0.63</v>
      </c>
      <c r="H109" s="223">
        <v>0.63</v>
      </c>
      <c r="I109" s="223">
        <v>12</v>
      </c>
      <c r="J109" s="224" t="s">
        <v>1580</v>
      </c>
      <c r="K109" s="224">
        <v>12</v>
      </c>
      <c r="L109" s="224" t="s">
        <v>996</v>
      </c>
      <c r="M109" s="224">
        <v>12</v>
      </c>
      <c r="N109" s="224" t="s">
        <v>1580</v>
      </c>
      <c r="O109" s="224">
        <v>12</v>
      </c>
      <c r="P109" s="224" t="s">
        <v>996</v>
      </c>
      <c r="Q109" s="337">
        <v>30</v>
      </c>
      <c r="R109" s="337">
        <v>0</v>
      </c>
      <c r="S109" s="339">
        <v>4320</v>
      </c>
      <c r="T109" s="339">
        <v>5184</v>
      </c>
      <c r="U109" s="339">
        <v>1728</v>
      </c>
      <c r="V109" s="339">
        <v>4320</v>
      </c>
      <c r="W109" s="339">
        <v>0</v>
      </c>
      <c r="X109" s="339">
        <v>4320</v>
      </c>
      <c r="Y109" s="339">
        <v>5184</v>
      </c>
      <c r="Z109" s="339">
        <v>1728</v>
      </c>
      <c r="AA109" s="339">
        <v>4320</v>
      </c>
      <c r="AB109" s="339" t="e">
        <v>#DIV/0!</v>
      </c>
      <c r="AC109" s="342">
        <v>1</v>
      </c>
      <c r="AD109" s="342">
        <v>1</v>
      </c>
      <c r="AE109" s="342">
        <v>1</v>
      </c>
      <c r="AF109" s="342">
        <v>1</v>
      </c>
      <c r="AG109" s="332"/>
    </row>
    <row r="110" spans="1:33" s="333" customFormat="1" ht="18" customHeight="1">
      <c r="A110" s="337">
        <v>9</v>
      </c>
      <c r="B110" s="222" t="s">
        <v>318</v>
      </c>
      <c r="C110" s="223">
        <v>1</v>
      </c>
      <c r="D110" s="224">
        <v>1</v>
      </c>
      <c r="E110" s="224">
        <v>1</v>
      </c>
      <c r="F110" s="224">
        <v>1</v>
      </c>
      <c r="G110" s="223">
        <v>0.65</v>
      </c>
      <c r="H110" s="223">
        <v>0.65</v>
      </c>
      <c r="I110" s="223">
        <v>12</v>
      </c>
      <c r="J110" s="224" t="s">
        <v>1580</v>
      </c>
      <c r="K110" s="224">
        <v>12</v>
      </c>
      <c r="L110" s="224" t="s">
        <v>996</v>
      </c>
      <c r="M110" s="224">
        <v>12</v>
      </c>
      <c r="N110" s="224" t="s">
        <v>1580</v>
      </c>
      <c r="O110" s="224">
        <v>12</v>
      </c>
      <c r="P110" s="224" t="s">
        <v>996</v>
      </c>
      <c r="Q110" s="337">
        <v>30</v>
      </c>
      <c r="R110" s="337">
        <v>0</v>
      </c>
      <c r="S110" s="339">
        <v>0</v>
      </c>
      <c r="T110" s="339">
        <v>5274</v>
      </c>
      <c r="U110" s="339">
        <v>1758</v>
      </c>
      <c r="V110" s="339">
        <v>3516</v>
      </c>
      <c r="W110" s="339">
        <v>0</v>
      </c>
      <c r="X110" s="339">
        <v>0</v>
      </c>
      <c r="Y110" s="339">
        <v>5274</v>
      </c>
      <c r="Z110" s="339">
        <v>1758</v>
      </c>
      <c r="AA110" s="339">
        <v>3516</v>
      </c>
      <c r="AB110" s="339" t="e">
        <v>#DIV/0!</v>
      </c>
      <c r="AC110" s="342" t="e">
        <v>#DIV/0!</v>
      </c>
      <c r="AD110" s="342">
        <v>1</v>
      </c>
      <c r="AE110" s="342">
        <v>1</v>
      </c>
      <c r="AF110" s="342">
        <v>1</v>
      </c>
      <c r="AG110" s="332"/>
    </row>
    <row r="111" spans="1:33" s="333" customFormat="1" ht="18" customHeight="1">
      <c r="A111" s="337">
        <v>10</v>
      </c>
      <c r="B111" s="340" t="s">
        <v>322</v>
      </c>
      <c r="C111" s="223">
        <v>1</v>
      </c>
      <c r="D111" s="224">
        <v>1</v>
      </c>
      <c r="E111" s="224">
        <v>1</v>
      </c>
      <c r="F111" s="224">
        <v>1</v>
      </c>
      <c r="G111" s="223">
        <v>0.56000000000000005</v>
      </c>
      <c r="H111" s="223">
        <v>0.56000000000000005</v>
      </c>
      <c r="I111" s="223">
        <v>12</v>
      </c>
      <c r="J111" s="224" t="s">
        <v>1580</v>
      </c>
      <c r="K111" s="224">
        <v>24</v>
      </c>
      <c r="L111" s="224" t="s">
        <v>996</v>
      </c>
      <c r="M111" s="224">
        <v>24</v>
      </c>
      <c r="N111" s="224" t="s">
        <v>996</v>
      </c>
      <c r="O111" s="224">
        <v>24</v>
      </c>
      <c r="P111" s="224" t="s">
        <v>996</v>
      </c>
      <c r="Q111" s="337">
        <v>30</v>
      </c>
      <c r="R111" s="337">
        <v>1209.6000000000001</v>
      </c>
      <c r="S111" s="339">
        <v>1612.8000000000002</v>
      </c>
      <c r="T111" s="339">
        <v>403.20000000000005</v>
      </c>
      <c r="U111" s="339">
        <v>1209.6000000000001</v>
      </c>
      <c r="V111" s="339">
        <v>2419.2000000000003</v>
      </c>
      <c r="W111" s="339">
        <v>1209.6000000000001</v>
      </c>
      <c r="X111" s="339">
        <v>1612.8000000000002</v>
      </c>
      <c r="Y111" s="339">
        <v>403.20000000000005</v>
      </c>
      <c r="Z111" s="339">
        <v>1209.6000000000001</v>
      </c>
      <c r="AA111" s="339">
        <v>2419.2000000000003</v>
      </c>
      <c r="AB111" s="339">
        <v>1</v>
      </c>
      <c r="AC111" s="342">
        <v>1</v>
      </c>
      <c r="AD111" s="342">
        <v>1</v>
      </c>
      <c r="AE111" s="342">
        <v>1</v>
      </c>
      <c r="AF111" s="342">
        <v>1</v>
      </c>
      <c r="AG111" s="332"/>
    </row>
    <row r="112" spans="1:33" s="333" customFormat="1" ht="18" customHeight="1">
      <c r="A112" s="337">
        <v>11</v>
      </c>
      <c r="B112" s="340" t="s">
        <v>323</v>
      </c>
      <c r="C112" s="223">
        <v>1</v>
      </c>
      <c r="D112" s="224">
        <v>1</v>
      </c>
      <c r="E112" s="224">
        <v>1</v>
      </c>
      <c r="F112" s="224">
        <v>1</v>
      </c>
      <c r="G112" s="223">
        <v>0.63</v>
      </c>
      <c r="H112" s="223">
        <v>0.63</v>
      </c>
      <c r="I112" s="223">
        <v>12</v>
      </c>
      <c r="J112" s="224" t="s">
        <v>1580</v>
      </c>
      <c r="K112" s="224">
        <v>24</v>
      </c>
      <c r="L112" s="224" t="s">
        <v>996</v>
      </c>
      <c r="M112" s="224">
        <v>24</v>
      </c>
      <c r="N112" s="224" t="s">
        <v>996</v>
      </c>
      <c r="O112" s="224">
        <v>24</v>
      </c>
      <c r="P112" s="224" t="s">
        <v>996</v>
      </c>
      <c r="Q112" s="337">
        <v>30</v>
      </c>
      <c r="R112" s="337">
        <v>403.20000000000005</v>
      </c>
      <c r="S112" s="339">
        <v>403.20000000000005</v>
      </c>
      <c r="T112" s="339">
        <v>100.80000000000001</v>
      </c>
      <c r="U112" s="339">
        <v>201.60000000000002</v>
      </c>
      <c r="V112" s="339">
        <v>403.20000000000005</v>
      </c>
      <c r="W112" s="339">
        <v>403.20000000000005</v>
      </c>
      <c r="X112" s="339">
        <v>403.20000000000005</v>
      </c>
      <c r="Y112" s="339">
        <v>100.80000000000001</v>
      </c>
      <c r="Z112" s="339">
        <v>201.60000000000002</v>
      </c>
      <c r="AA112" s="339">
        <v>403.20000000000005</v>
      </c>
      <c r="AB112" s="339">
        <v>1</v>
      </c>
      <c r="AC112" s="342">
        <v>1</v>
      </c>
      <c r="AD112" s="342">
        <v>1</v>
      </c>
      <c r="AE112" s="342">
        <v>1</v>
      </c>
      <c r="AF112" s="342">
        <v>1</v>
      </c>
      <c r="AG112" s="332"/>
    </row>
    <row r="113" spans="1:33" s="333" customFormat="1" ht="18" customHeight="1">
      <c r="A113" s="337">
        <v>12</v>
      </c>
      <c r="B113" s="340" t="s">
        <v>324</v>
      </c>
      <c r="C113" s="223"/>
      <c r="D113" s="224"/>
      <c r="E113" s="224"/>
      <c r="F113" s="224"/>
      <c r="G113" s="223">
        <v>0.72</v>
      </c>
      <c r="H113" s="223">
        <v>0.72</v>
      </c>
      <c r="I113" s="223">
        <v>12</v>
      </c>
      <c r="J113" s="224" t="s">
        <v>1580</v>
      </c>
      <c r="K113" s="224">
        <v>24</v>
      </c>
      <c r="L113" s="224" t="s">
        <v>996</v>
      </c>
      <c r="M113" s="224">
        <v>24</v>
      </c>
      <c r="N113" s="224" t="s">
        <v>996</v>
      </c>
      <c r="O113" s="224">
        <v>24</v>
      </c>
      <c r="P113" s="224" t="s">
        <v>996</v>
      </c>
      <c r="Q113" s="337">
        <v>30</v>
      </c>
      <c r="R113" s="337">
        <v>453.6</v>
      </c>
      <c r="S113" s="339">
        <v>453.6</v>
      </c>
      <c r="T113" s="339">
        <v>113.4</v>
      </c>
      <c r="U113" s="339">
        <v>680.4</v>
      </c>
      <c r="V113" s="339">
        <v>1360.8</v>
      </c>
      <c r="W113" s="339">
        <v>453.6</v>
      </c>
      <c r="X113" s="339">
        <v>453.6</v>
      </c>
      <c r="Y113" s="339">
        <v>113.4</v>
      </c>
      <c r="Z113" s="339">
        <v>680.4</v>
      </c>
      <c r="AA113" s="339">
        <v>1360.8</v>
      </c>
      <c r="AB113" s="339">
        <v>1</v>
      </c>
      <c r="AC113" s="342">
        <v>1</v>
      </c>
      <c r="AD113" s="342">
        <v>1</v>
      </c>
      <c r="AE113" s="342">
        <v>1</v>
      </c>
      <c r="AF113" s="342">
        <v>1</v>
      </c>
      <c r="AG113" s="332"/>
    </row>
    <row r="114" spans="1:33" s="333" customFormat="1" ht="18" customHeight="1">
      <c r="A114" s="337">
        <v>13</v>
      </c>
      <c r="B114" s="349" t="s">
        <v>1269</v>
      </c>
      <c r="C114" s="347"/>
      <c r="D114" s="334"/>
      <c r="E114" s="334"/>
      <c r="F114" s="334"/>
      <c r="G114" s="347"/>
      <c r="H114" s="347"/>
      <c r="I114" s="334"/>
      <c r="J114" s="334"/>
      <c r="K114" s="334"/>
      <c r="L114" s="334"/>
      <c r="M114" s="334"/>
      <c r="N114" s="334"/>
      <c r="O114" s="224"/>
      <c r="P114" s="337"/>
      <c r="Q114" s="337"/>
      <c r="R114" s="337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42"/>
      <c r="AD114" s="342"/>
      <c r="AE114" s="342"/>
      <c r="AF114" s="342"/>
      <c r="AG114" s="332"/>
    </row>
    <row r="115" spans="1:33" s="333" customFormat="1" ht="18" customHeight="1">
      <c r="A115" s="337">
        <v>14</v>
      </c>
      <c r="B115" s="340" t="s">
        <v>326</v>
      </c>
      <c r="C115" s="223">
        <v>1</v>
      </c>
      <c r="D115" s="224">
        <v>1</v>
      </c>
      <c r="E115" s="224">
        <v>1</v>
      </c>
      <c r="F115" s="224">
        <v>1</v>
      </c>
      <c r="G115" s="223">
        <v>0.56000000000000005</v>
      </c>
      <c r="H115" s="223">
        <v>0.56000000000000005</v>
      </c>
      <c r="I115" s="224">
        <v>12</v>
      </c>
      <c r="J115" s="224" t="s">
        <v>1580</v>
      </c>
      <c r="K115" s="224">
        <v>12</v>
      </c>
      <c r="L115" s="224" t="s">
        <v>1580</v>
      </c>
      <c r="M115" s="224">
        <v>12</v>
      </c>
      <c r="N115" s="224" t="s">
        <v>1580</v>
      </c>
      <c r="O115" s="224">
        <v>24</v>
      </c>
      <c r="P115" s="224" t="s">
        <v>996</v>
      </c>
      <c r="Q115" s="337">
        <v>30</v>
      </c>
      <c r="R115" s="337">
        <v>518.40000000000009</v>
      </c>
      <c r="S115" s="339">
        <v>518.40000000000009</v>
      </c>
      <c r="T115" s="339">
        <v>259.20000000000005</v>
      </c>
      <c r="U115" s="339">
        <v>777.6</v>
      </c>
      <c r="V115" s="339">
        <v>1555.2</v>
      </c>
      <c r="W115" s="339">
        <v>518.40000000000009</v>
      </c>
      <c r="X115" s="339">
        <v>518.40000000000009</v>
      </c>
      <c r="Y115" s="339">
        <v>259.20000000000005</v>
      </c>
      <c r="Z115" s="339">
        <v>777.6</v>
      </c>
      <c r="AA115" s="339">
        <v>1555.2</v>
      </c>
      <c r="AB115" s="339">
        <v>1</v>
      </c>
      <c r="AC115" s="342">
        <v>1</v>
      </c>
      <c r="AD115" s="342">
        <v>1</v>
      </c>
      <c r="AE115" s="342">
        <v>1</v>
      </c>
      <c r="AF115" s="342">
        <v>1</v>
      </c>
      <c r="AG115" s="332"/>
    </row>
    <row r="116" spans="1:33" s="333" customFormat="1" ht="18" customHeight="1">
      <c r="A116" s="337">
        <v>15</v>
      </c>
      <c r="B116" s="340" t="s">
        <v>353</v>
      </c>
      <c r="C116" s="341">
        <v>1</v>
      </c>
      <c r="D116" s="224">
        <v>1</v>
      </c>
      <c r="E116" s="224">
        <v>1</v>
      </c>
      <c r="F116" s="224">
        <v>1</v>
      </c>
      <c r="G116" s="223">
        <v>2.4</v>
      </c>
      <c r="H116" s="223">
        <v>2.4</v>
      </c>
      <c r="I116" s="224">
        <v>2</v>
      </c>
      <c r="J116" s="224" t="s">
        <v>1236</v>
      </c>
      <c r="K116" s="224">
        <v>4</v>
      </c>
      <c r="L116" s="341"/>
      <c r="M116" s="224">
        <v>6</v>
      </c>
      <c r="N116" s="224" t="s">
        <v>1236</v>
      </c>
      <c r="O116" s="224">
        <v>30</v>
      </c>
      <c r="P116" s="337" t="s">
        <v>1236</v>
      </c>
      <c r="Q116" s="337">
        <v>30</v>
      </c>
      <c r="R116" s="337">
        <v>0</v>
      </c>
      <c r="S116" s="339">
        <v>0</v>
      </c>
      <c r="T116" s="339">
        <v>0</v>
      </c>
      <c r="U116" s="339">
        <v>0</v>
      </c>
      <c r="V116" s="339">
        <v>0</v>
      </c>
      <c r="W116" s="339">
        <v>0</v>
      </c>
      <c r="X116" s="339">
        <v>0</v>
      </c>
      <c r="Y116" s="339">
        <v>0</v>
      </c>
      <c r="Z116" s="339">
        <v>0</v>
      </c>
      <c r="AA116" s="339">
        <v>0</v>
      </c>
      <c r="AB116" s="339" t="e">
        <v>#DIV/0!</v>
      </c>
      <c r="AC116" s="342" t="e">
        <v>#DIV/0!</v>
      </c>
      <c r="AD116" s="342" t="e">
        <v>#DIV/0!</v>
      </c>
      <c r="AE116" s="342" t="e">
        <v>#DIV/0!</v>
      </c>
      <c r="AF116" s="342" t="e">
        <v>#DIV/0!</v>
      </c>
      <c r="AG116" s="332"/>
    </row>
    <row r="117" spans="1:33" s="333" customFormat="1" ht="18" customHeight="1">
      <c r="A117" s="337">
        <v>16</v>
      </c>
      <c r="B117" s="340" t="s">
        <v>327</v>
      </c>
      <c r="C117" s="223">
        <v>1</v>
      </c>
      <c r="D117" s="224">
        <v>1</v>
      </c>
      <c r="E117" s="224">
        <v>1</v>
      </c>
      <c r="F117" s="224">
        <v>1</v>
      </c>
      <c r="G117" s="223">
        <v>0.63</v>
      </c>
      <c r="H117" s="223">
        <v>0.63</v>
      </c>
      <c r="I117" s="224">
        <v>12</v>
      </c>
      <c r="J117" s="224" t="s">
        <v>1580</v>
      </c>
      <c r="K117" s="224">
        <v>12</v>
      </c>
      <c r="L117" s="224" t="s">
        <v>1580</v>
      </c>
      <c r="M117" s="224">
        <v>12</v>
      </c>
      <c r="N117" s="224" t="s">
        <v>1580</v>
      </c>
      <c r="O117" s="224">
        <v>24</v>
      </c>
      <c r="P117" s="224" t="s">
        <v>996</v>
      </c>
      <c r="Q117" s="337">
        <v>30</v>
      </c>
      <c r="R117" s="337">
        <v>0</v>
      </c>
      <c r="S117" s="339">
        <v>0</v>
      </c>
      <c r="T117" s="339">
        <v>0</v>
      </c>
      <c r="U117" s="339">
        <v>0</v>
      </c>
      <c r="V117" s="339">
        <v>0</v>
      </c>
      <c r="W117" s="339">
        <v>0</v>
      </c>
      <c r="X117" s="339">
        <v>0</v>
      </c>
      <c r="Y117" s="339">
        <v>0</v>
      </c>
      <c r="Z117" s="339">
        <v>0</v>
      </c>
      <c r="AA117" s="339">
        <v>0</v>
      </c>
      <c r="AB117" s="339" t="e">
        <v>#DIV/0!</v>
      </c>
      <c r="AC117" s="342" t="e">
        <v>#DIV/0!</v>
      </c>
      <c r="AD117" s="342" t="e">
        <v>#DIV/0!</v>
      </c>
      <c r="AE117" s="342" t="e">
        <v>#DIV/0!</v>
      </c>
      <c r="AF117" s="342" t="e">
        <v>#DIV/0!</v>
      </c>
      <c r="AG117" s="332"/>
    </row>
    <row r="118" spans="1:33" s="333" customFormat="1" ht="18" customHeight="1">
      <c r="A118" s="337">
        <v>17</v>
      </c>
      <c r="B118" s="340" t="s">
        <v>1270</v>
      </c>
      <c r="C118" s="223">
        <v>1</v>
      </c>
      <c r="D118" s="224">
        <v>1</v>
      </c>
      <c r="E118" s="224">
        <v>1</v>
      </c>
      <c r="F118" s="224">
        <v>1</v>
      </c>
      <c r="G118" s="223">
        <v>2</v>
      </c>
      <c r="H118" s="223">
        <v>2</v>
      </c>
      <c r="I118" s="224">
        <v>12</v>
      </c>
      <c r="J118" s="224" t="s">
        <v>1134</v>
      </c>
      <c r="K118" s="224">
        <v>12</v>
      </c>
      <c r="L118" s="224" t="s">
        <v>1134</v>
      </c>
      <c r="M118" s="224">
        <v>12</v>
      </c>
      <c r="N118" s="224" t="s">
        <v>1134</v>
      </c>
      <c r="O118" s="224">
        <v>30</v>
      </c>
      <c r="P118" s="337" t="s">
        <v>1236</v>
      </c>
      <c r="Q118" s="337">
        <v>30</v>
      </c>
      <c r="R118" s="337">
        <v>0</v>
      </c>
      <c r="S118" s="339">
        <v>0</v>
      </c>
      <c r="T118" s="339">
        <v>0</v>
      </c>
      <c r="U118" s="339">
        <v>0</v>
      </c>
      <c r="V118" s="339">
        <v>0</v>
      </c>
      <c r="W118" s="339">
        <v>0</v>
      </c>
      <c r="X118" s="339">
        <v>0</v>
      </c>
      <c r="Y118" s="339">
        <v>0</v>
      </c>
      <c r="Z118" s="339">
        <v>0</v>
      </c>
      <c r="AA118" s="339">
        <v>0</v>
      </c>
      <c r="AB118" s="339" t="e">
        <v>#DIV/0!</v>
      </c>
      <c r="AC118" s="342" t="e">
        <v>#DIV/0!</v>
      </c>
      <c r="AD118" s="342" t="e">
        <v>#DIV/0!</v>
      </c>
      <c r="AE118" s="342" t="e">
        <v>#DIV/0!</v>
      </c>
      <c r="AF118" s="342" t="e">
        <v>#DIV/0!</v>
      </c>
      <c r="AG118" s="332"/>
    </row>
    <row r="119" spans="1:33" s="333" customFormat="1" ht="30" customHeight="1">
      <c r="A119" s="337">
        <v>18</v>
      </c>
      <c r="B119" s="340" t="s">
        <v>1271</v>
      </c>
      <c r="C119" s="223">
        <v>1</v>
      </c>
      <c r="D119" s="223">
        <v>1</v>
      </c>
      <c r="E119" s="223">
        <v>1</v>
      </c>
      <c r="F119" s="223">
        <v>1</v>
      </c>
      <c r="G119" s="223">
        <v>2</v>
      </c>
      <c r="H119" s="223">
        <v>2</v>
      </c>
      <c r="I119" s="223"/>
      <c r="J119" s="224"/>
      <c r="K119" s="224">
        <v>4</v>
      </c>
      <c r="L119" s="224" t="s">
        <v>998</v>
      </c>
      <c r="M119" s="224">
        <v>4</v>
      </c>
      <c r="N119" s="224" t="s">
        <v>998</v>
      </c>
      <c r="O119" s="224">
        <v>30</v>
      </c>
      <c r="P119" s="337" t="s">
        <v>1236</v>
      </c>
      <c r="Q119" s="337">
        <v>30</v>
      </c>
      <c r="R119" s="337">
        <v>0</v>
      </c>
      <c r="S119" s="339">
        <v>0</v>
      </c>
      <c r="T119" s="339">
        <v>0</v>
      </c>
      <c r="U119" s="339">
        <v>0</v>
      </c>
      <c r="V119" s="339">
        <v>0</v>
      </c>
      <c r="W119" s="339">
        <v>0</v>
      </c>
      <c r="X119" s="339">
        <v>0</v>
      </c>
      <c r="Y119" s="339">
        <v>0</v>
      </c>
      <c r="Z119" s="339">
        <v>0</v>
      </c>
      <c r="AA119" s="339">
        <v>0</v>
      </c>
      <c r="AB119" s="339" t="e">
        <v>#DIV/0!</v>
      </c>
      <c r="AC119" s="342" t="e">
        <v>#DIV/0!</v>
      </c>
      <c r="AD119" s="342" t="e">
        <v>#DIV/0!</v>
      </c>
      <c r="AE119" s="342" t="e">
        <v>#DIV/0!</v>
      </c>
      <c r="AF119" s="342" t="e">
        <v>#DIV/0!</v>
      </c>
      <c r="AG119" s="332"/>
    </row>
    <row r="120" spans="1:33" s="332" customFormat="1" ht="18" customHeight="1">
      <c r="A120" s="350" t="s">
        <v>1272</v>
      </c>
      <c r="B120" s="353" t="s">
        <v>1273</v>
      </c>
      <c r="C120" s="354"/>
      <c r="D120" s="354"/>
      <c r="E120" s="354"/>
      <c r="F120" s="354"/>
      <c r="G120" s="354"/>
      <c r="H120" s="354"/>
      <c r="I120" s="355"/>
      <c r="J120" s="355"/>
      <c r="K120" s="356"/>
      <c r="L120" s="53"/>
      <c r="M120" s="53"/>
      <c r="N120" s="354"/>
      <c r="O120" s="354"/>
      <c r="P120" s="354"/>
      <c r="Q120" s="354"/>
      <c r="R120" s="354"/>
      <c r="S120" s="354"/>
      <c r="T120" s="354"/>
      <c r="U120" s="350"/>
      <c r="V120" s="350"/>
      <c r="W120" s="350"/>
      <c r="X120" s="350"/>
      <c r="Y120" s="350"/>
      <c r="Z120" s="350"/>
      <c r="AA120" s="350"/>
      <c r="AB120" s="350"/>
      <c r="AC120" s="350"/>
      <c r="AD120" s="350"/>
      <c r="AE120" s="350"/>
      <c r="AF120" s="350"/>
    </row>
    <row r="121" spans="1:33" s="333" customFormat="1" ht="18" customHeight="1">
      <c r="A121" s="337">
        <v>1</v>
      </c>
      <c r="B121" s="345" t="s">
        <v>257</v>
      </c>
      <c r="C121" s="223">
        <v>1</v>
      </c>
      <c r="D121" s="223">
        <v>1</v>
      </c>
      <c r="E121" s="224">
        <v>1</v>
      </c>
      <c r="F121" s="224">
        <v>1</v>
      </c>
      <c r="G121" s="223">
        <v>2.8</v>
      </c>
      <c r="H121" s="223">
        <v>2.8</v>
      </c>
      <c r="I121" s="223">
        <v>12</v>
      </c>
      <c r="J121" s="223" t="s">
        <v>996</v>
      </c>
      <c r="K121" s="223">
        <v>12</v>
      </c>
      <c r="L121" s="223" t="s">
        <v>996</v>
      </c>
      <c r="M121" s="223">
        <v>24</v>
      </c>
      <c r="N121" s="223" t="s">
        <v>996</v>
      </c>
      <c r="O121" s="223">
        <v>24</v>
      </c>
      <c r="P121" s="223" t="s">
        <v>996</v>
      </c>
      <c r="Q121" s="224">
        <v>30</v>
      </c>
      <c r="R121" s="224">
        <v>12</v>
      </c>
      <c r="S121" s="224" t="s">
        <v>996</v>
      </c>
      <c r="T121" s="224">
        <v>30</v>
      </c>
      <c r="U121" s="339">
        <v>60</v>
      </c>
      <c r="V121" s="339">
        <v>60</v>
      </c>
      <c r="W121" s="339">
        <v>0</v>
      </c>
      <c r="X121" s="339">
        <v>60</v>
      </c>
      <c r="Y121" s="339">
        <v>60</v>
      </c>
      <c r="Z121" s="339">
        <v>60</v>
      </c>
      <c r="AA121" s="339">
        <v>60</v>
      </c>
      <c r="AB121" s="339" t="e">
        <v>#DIV/0!</v>
      </c>
      <c r="AC121" s="342">
        <v>1</v>
      </c>
      <c r="AD121" s="342">
        <v>1</v>
      </c>
      <c r="AE121" s="342">
        <v>1</v>
      </c>
      <c r="AF121" s="342">
        <v>1</v>
      </c>
      <c r="AG121" s="332"/>
    </row>
    <row r="122" spans="1:33" s="333" customFormat="1" ht="30.75" customHeight="1">
      <c r="A122" s="337">
        <v>2</v>
      </c>
      <c r="B122" s="345" t="s">
        <v>258</v>
      </c>
      <c r="C122" s="223">
        <v>1</v>
      </c>
      <c r="D122" s="223">
        <v>1</v>
      </c>
      <c r="E122" s="224">
        <v>1</v>
      </c>
      <c r="F122" s="224">
        <v>1</v>
      </c>
      <c r="G122" s="223">
        <v>4.2</v>
      </c>
      <c r="H122" s="223">
        <v>4.2</v>
      </c>
      <c r="I122" s="223">
        <v>24</v>
      </c>
      <c r="J122" s="223" t="s">
        <v>1133</v>
      </c>
      <c r="K122" s="223">
        <v>24</v>
      </c>
      <c r="L122" s="223" t="s">
        <v>1133</v>
      </c>
      <c r="M122" s="223">
        <v>24</v>
      </c>
      <c r="N122" s="223" t="s">
        <v>1133</v>
      </c>
      <c r="O122" s="223">
        <v>24</v>
      </c>
      <c r="P122" s="223" t="s">
        <v>1133</v>
      </c>
      <c r="Q122" s="224">
        <v>30</v>
      </c>
      <c r="R122" s="224">
        <v>12</v>
      </c>
      <c r="S122" s="224" t="s">
        <v>996</v>
      </c>
      <c r="T122" s="224">
        <v>30</v>
      </c>
      <c r="U122" s="339">
        <v>288</v>
      </c>
      <c r="V122" s="339">
        <v>288</v>
      </c>
      <c r="W122" s="339">
        <v>0</v>
      </c>
      <c r="X122" s="339">
        <v>288</v>
      </c>
      <c r="Y122" s="339">
        <v>288</v>
      </c>
      <c r="Z122" s="339">
        <v>288</v>
      </c>
      <c r="AA122" s="339">
        <v>288</v>
      </c>
      <c r="AB122" s="339" t="e">
        <v>#DIV/0!</v>
      </c>
      <c r="AC122" s="342">
        <v>1</v>
      </c>
      <c r="AD122" s="342">
        <v>1</v>
      </c>
      <c r="AE122" s="342">
        <v>1</v>
      </c>
      <c r="AF122" s="342">
        <v>1</v>
      </c>
      <c r="AG122" s="332"/>
    </row>
    <row r="123" spans="1:33" s="333" customFormat="1" ht="18" customHeight="1">
      <c r="A123" s="337">
        <v>3</v>
      </c>
      <c r="B123" s="349" t="s">
        <v>1274</v>
      </c>
      <c r="C123" s="347"/>
      <c r="D123" s="347"/>
      <c r="E123" s="334"/>
      <c r="F123" s="334"/>
      <c r="G123" s="334"/>
      <c r="H123" s="334"/>
      <c r="I123" s="223"/>
      <c r="J123" s="347"/>
      <c r="K123" s="357"/>
      <c r="L123" s="334"/>
      <c r="M123" s="334"/>
      <c r="N123" s="334"/>
      <c r="O123" s="348"/>
      <c r="P123" s="334"/>
      <c r="Q123" s="334"/>
      <c r="R123" s="334"/>
      <c r="S123" s="334"/>
      <c r="T123" s="334"/>
      <c r="U123" s="339">
        <v>60</v>
      </c>
      <c r="V123" s="339">
        <v>60</v>
      </c>
      <c r="W123" s="339">
        <v>0</v>
      </c>
      <c r="X123" s="339">
        <v>60</v>
      </c>
      <c r="Y123" s="339">
        <v>60</v>
      </c>
      <c r="Z123" s="339">
        <v>60</v>
      </c>
      <c r="AA123" s="339">
        <v>60</v>
      </c>
      <c r="AB123" s="339" t="e">
        <v>#DIV/0!</v>
      </c>
      <c r="AC123" s="342">
        <v>1</v>
      </c>
      <c r="AD123" s="342">
        <v>1</v>
      </c>
      <c r="AE123" s="342">
        <v>1</v>
      </c>
      <c r="AF123" s="342">
        <v>1</v>
      </c>
      <c r="AG123" s="332"/>
    </row>
    <row r="124" spans="1:33" s="333" customFormat="1" ht="18" customHeight="1">
      <c r="A124" s="337">
        <v>4</v>
      </c>
      <c r="B124" s="340" t="s">
        <v>330</v>
      </c>
      <c r="C124" s="223"/>
      <c r="D124" s="223"/>
      <c r="E124" s="224"/>
      <c r="F124" s="224"/>
      <c r="G124" s="223">
        <v>0.25</v>
      </c>
      <c r="H124" s="223">
        <v>0.25</v>
      </c>
      <c r="I124" s="224">
        <v>4</v>
      </c>
      <c r="J124" s="341" t="s">
        <v>1023</v>
      </c>
      <c r="K124" s="224">
        <v>4</v>
      </c>
      <c r="L124" s="341" t="s">
        <v>1023</v>
      </c>
      <c r="M124" s="224">
        <v>4</v>
      </c>
      <c r="N124" s="341" t="s">
        <v>1023</v>
      </c>
      <c r="O124" s="224">
        <v>4</v>
      </c>
      <c r="P124" s="341" t="s">
        <v>1023</v>
      </c>
      <c r="Q124" s="341">
        <v>30</v>
      </c>
      <c r="R124" s="224">
        <v>8</v>
      </c>
      <c r="S124" s="341" t="s">
        <v>1023</v>
      </c>
      <c r="T124" s="224">
        <v>30</v>
      </c>
      <c r="U124" s="339">
        <v>0</v>
      </c>
      <c r="V124" s="339">
        <v>0</v>
      </c>
      <c r="W124" s="339">
        <v>0</v>
      </c>
      <c r="X124" s="339">
        <v>0</v>
      </c>
      <c r="Y124" s="339">
        <v>0</v>
      </c>
      <c r="Z124" s="339">
        <v>0</v>
      </c>
      <c r="AA124" s="339">
        <v>0</v>
      </c>
      <c r="AB124" s="339" t="e">
        <v>#DIV/0!</v>
      </c>
      <c r="AC124" s="342" t="e">
        <v>#DIV/0!</v>
      </c>
      <c r="AD124" s="342" t="e">
        <v>#DIV/0!</v>
      </c>
      <c r="AE124" s="342" t="e">
        <v>#DIV/0!</v>
      </c>
      <c r="AF124" s="342" t="e">
        <v>#DIV/0!</v>
      </c>
      <c r="AG124" s="332"/>
    </row>
    <row r="125" spans="1:33" s="333" customFormat="1" ht="18" customHeight="1">
      <c r="A125" s="337">
        <v>5</v>
      </c>
      <c r="B125" s="340" t="s">
        <v>331</v>
      </c>
      <c r="C125" s="223"/>
      <c r="D125" s="223"/>
      <c r="E125" s="224"/>
      <c r="F125" s="224"/>
      <c r="G125" s="223">
        <v>1.2</v>
      </c>
      <c r="H125" s="223">
        <v>1.2</v>
      </c>
      <c r="I125" s="224">
        <v>4</v>
      </c>
      <c r="J125" s="341" t="s">
        <v>1023</v>
      </c>
      <c r="K125" s="224">
        <v>4</v>
      </c>
      <c r="L125" s="341" t="s">
        <v>1023</v>
      </c>
      <c r="M125" s="224">
        <v>4</v>
      </c>
      <c r="N125" s="341" t="s">
        <v>1023</v>
      </c>
      <c r="O125" s="224">
        <v>4</v>
      </c>
      <c r="P125" s="341" t="s">
        <v>1023</v>
      </c>
      <c r="Q125" s="341">
        <v>30</v>
      </c>
      <c r="R125" s="224">
        <v>8</v>
      </c>
      <c r="S125" s="341" t="s">
        <v>1023</v>
      </c>
      <c r="T125" s="224">
        <v>30</v>
      </c>
      <c r="U125" s="339">
        <v>480</v>
      </c>
      <c r="V125" s="339">
        <v>480</v>
      </c>
      <c r="W125" s="339">
        <v>0</v>
      </c>
      <c r="X125" s="339">
        <v>480</v>
      </c>
      <c r="Y125" s="339">
        <v>480</v>
      </c>
      <c r="Z125" s="339">
        <v>480</v>
      </c>
      <c r="AA125" s="339">
        <v>480</v>
      </c>
      <c r="AB125" s="339" t="e">
        <v>#DIV/0!</v>
      </c>
      <c r="AC125" s="342">
        <v>1</v>
      </c>
      <c r="AD125" s="342">
        <v>1</v>
      </c>
      <c r="AE125" s="342">
        <v>1</v>
      </c>
      <c r="AF125" s="342">
        <v>1</v>
      </c>
      <c r="AG125" s="332"/>
    </row>
    <row r="126" spans="1:33" s="333" customFormat="1" ht="18" customHeight="1">
      <c r="A126" s="337">
        <v>7</v>
      </c>
      <c r="B126" s="340" t="s">
        <v>332</v>
      </c>
      <c r="C126" s="223"/>
      <c r="D126" s="223"/>
      <c r="E126" s="224"/>
      <c r="F126" s="224"/>
      <c r="G126" s="223">
        <v>2</v>
      </c>
      <c r="H126" s="223">
        <v>2</v>
      </c>
      <c r="I126" s="224">
        <v>4</v>
      </c>
      <c r="J126" s="341" t="s">
        <v>1023</v>
      </c>
      <c r="K126" s="224">
        <v>4</v>
      </c>
      <c r="L126" s="341" t="s">
        <v>1023</v>
      </c>
      <c r="M126" s="224">
        <v>4</v>
      </c>
      <c r="N126" s="341" t="s">
        <v>1023</v>
      </c>
      <c r="O126" s="224">
        <v>4</v>
      </c>
      <c r="P126" s="341" t="s">
        <v>1023</v>
      </c>
      <c r="Q126" s="341">
        <v>30</v>
      </c>
      <c r="R126" s="224">
        <v>8</v>
      </c>
      <c r="S126" s="341" t="s">
        <v>1023</v>
      </c>
      <c r="T126" s="224">
        <v>30</v>
      </c>
      <c r="U126" s="339">
        <v>0</v>
      </c>
      <c r="V126" s="339">
        <v>0</v>
      </c>
      <c r="W126" s="339">
        <v>0</v>
      </c>
      <c r="X126" s="339">
        <v>0</v>
      </c>
      <c r="Y126" s="339">
        <v>0</v>
      </c>
      <c r="Z126" s="339">
        <v>0</v>
      </c>
      <c r="AA126" s="339">
        <v>0</v>
      </c>
      <c r="AB126" s="339" t="e">
        <v>#DIV/0!</v>
      </c>
      <c r="AC126" s="342" t="e">
        <v>#DIV/0!</v>
      </c>
      <c r="AD126" s="342" t="e">
        <v>#DIV/0!</v>
      </c>
      <c r="AE126" s="342" t="e">
        <v>#DIV/0!</v>
      </c>
      <c r="AF126" s="342" t="e">
        <v>#DIV/0!</v>
      </c>
      <c r="AG126" s="332"/>
    </row>
    <row r="127" spans="1:33" s="333" customFormat="1" ht="18" customHeight="1">
      <c r="A127" s="337">
        <v>8</v>
      </c>
      <c r="B127" s="340" t="s">
        <v>333</v>
      </c>
      <c r="C127" s="223"/>
      <c r="D127" s="223"/>
      <c r="E127" s="224">
        <v>1</v>
      </c>
      <c r="F127" s="224">
        <v>1</v>
      </c>
      <c r="G127" s="223">
        <v>2</v>
      </c>
      <c r="H127" s="223">
        <v>2</v>
      </c>
      <c r="I127" s="224">
        <v>4</v>
      </c>
      <c r="J127" s="341" t="s">
        <v>1023</v>
      </c>
      <c r="K127" s="224">
        <v>4</v>
      </c>
      <c r="L127" s="341" t="s">
        <v>1023</v>
      </c>
      <c r="M127" s="224">
        <v>4</v>
      </c>
      <c r="N127" s="341" t="s">
        <v>1023</v>
      </c>
      <c r="O127" s="224">
        <v>4</v>
      </c>
      <c r="P127" s="341" t="s">
        <v>1023</v>
      </c>
      <c r="Q127" s="341">
        <v>30</v>
      </c>
      <c r="R127" s="224">
        <v>8</v>
      </c>
      <c r="S127" s="341" t="s">
        <v>1023</v>
      </c>
      <c r="T127" s="224">
        <v>30</v>
      </c>
      <c r="U127" s="339">
        <v>0</v>
      </c>
      <c r="V127" s="339">
        <v>0</v>
      </c>
      <c r="W127" s="339">
        <v>0</v>
      </c>
      <c r="X127" s="339">
        <v>0</v>
      </c>
      <c r="Y127" s="339">
        <v>0</v>
      </c>
      <c r="Z127" s="339">
        <v>0</v>
      </c>
      <c r="AA127" s="339">
        <v>0</v>
      </c>
      <c r="AB127" s="339" t="e">
        <v>#DIV/0!</v>
      </c>
      <c r="AC127" s="342" t="e">
        <v>#DIV/0!</v>
      </c>
      <c r="AD127" s="342" t="e">
        <v>#DIV/0!</v>
      </c>
      <c r="AE127" s="342" t="e">
        <v>#DIV/0!</v>
      </c>
      <c r="AF127" s="342" t="e">
        <v>#DIV/0!</v>
      </c>
      <c r="AG127" s="332"/>
    </row>
    <row r="128" spans="1:33" s="333" customFormat="1" ht="18" customHeight="1">
      <c r="A128" s="337">
        <v>11</v>
      </c>
      <c r="B128" s="340" t="s">
        <v>1275</v>
      </c>
      <c r="C128" s="223">
        <v>1</v>
      </c>
      <c r="D128" s="223">
        <v>1</v>
      </c>
      <c r="E128" s="224">
        <v>1</v>
      </c>
      <c r="F128" s="224">
        <v>1</v>
      </c>
      <c r="G128" s="223">
        <v>10.5</v>
      </c>
      <c r="H128" s="223">
        <v>10.5</v>
      </c>
      <c r="I128" s="224">
        <v>4</v>
      </c>
      <c r="J128" s="341" t="s">
        <v>1023</v>
      </c>
      <c r="K128" s="224">
        <v>4</v>
      </c>
      <c r="L128" s="341" t="s">
        <v>1023</v>
      </c>
      <c r="M128" s="224">
        <v>4</v>
      </c>
      <c r="N128" s="341" t="s">
        <v>1023</v>
      </c>
      <c r="O128" s="224">
        <v>4</v>
      </c>
      <c r="P128" s="341" t="s">
        <v>1023</v>
      </c>
      <c r="Q128" s="341">
        <v>30</v>
      </c>
      <c r="R128" s="224">
        <v>0</v>
      </c>
      <c r="S128" s="224"/>
      <c r="T128" s="224"/>
      <c r="U128" s="339">
        <v>0</v>
      </c>
      <c r="V128" s="339">
        <v>0</v>
      </c>
      <c r="W128" s="339">
        <v>0</v>
      </c>
      <c r="X128" s="339">
        <v>0</v>
      </c>
      <c r="Y128" s="339">
        <v>0</v>
      </c>
      <c r="Z128" s="339">
        <v>0</v>
      </c>
      <c r="AA128" s="339">
        <v>0</v>
      </c>
      <c r="AB128" s="339" t="e">
        <v>#DIV/0!</v>
      </c>
      <c r="AC128" s="342" t="e">
        <v>#DIV/0!</v>
      </c>
      <c r="AD128" s="342" t="e">
        <v>#DIV/0!</v>
      </c>
      <c r="AE128" s="342" t="e">
        <v>#DIV/0!</v>
      </c>
      <c r="AF128" s="342" t="e">
        <v>#DIV/0!</v>
      </c>
      <c r="AG128" s="332"/>
    </row>
    <row r="129" spans="1:33" s="333" customFormat="1" ht="18" customHeight="1">
      <c r="A129" s="337">
        <v>12</v>
      </c>
      <c r="B129" s="340" t="s">
        <v>336</v>
      </c>
      <c r="C129" s="223">
        <v>1</v>
      </c>
      <c r="D129" s="223">
        <v>1</v>
      </c>
      <c r="E129" s="224">
        <v>1</v>
      </c>
      <c r="F129" s="224">
        <v>1</v>
      </c>
      <c r="G129" s="223">
        <v>2.8</v>
      </c>
      <c r="H129" s="223">
        <v>2.8</v>
      </c>
      <c r="I129" s="224">
        <v>4</v>
      </c>
      <c r="J129" s="341" t="s">
        <v>1023</v>
      </c>
      <c r="K129" s="224">
        <v>4</v>
      </c>
      <c r="L129" s="341" t="s">
        <v>1023</v>
      </c>
      <c r="M129" s="224">
        <v>4</v>
      </c>
      <c r="N129" s="341" t="s">
        <v>1023</v>
      </c>
      <c r="O129" s="224">
        <v>4</v>
      </c>
      <c r="P129" s="341" t="s">
        <v>1023</v>
      </c>
      <c r="Q129" s="341">
        <v>30</v>
      </c>
      <c r="R129" s="224">
        <v>0</v>
      </c>
      <c r="S129" s="224"/>
      <c r="T129" s="224"/>
      <c r="U129" s="339">
        <v>0</v>
      </c>
      <c r="V129" s="339">
        <v>0</v>
      </c>
      <c r="W129" s="339">
        <v>0</v>
      </c>
      <c r="X129" s="339">
        <v>0</v>
      </c>
      <c r="Y129" s="339">
        <v>0</v>
      </c>
      <c r="Z129" s="339">
        <v>0</v>
      </c>
      <c r="AA129" s="339">
        <v>0</v>
      </c>
      <c r="AB129" s="339" t="e">
        <v>#DIV/0!</v>
      </c>
      <c r="AC129" s="342" t="e">
        <v>#DIV/0!</v>
      </c>
      <c r="AD129" s="342" t="e">
        <v>#DIV/0!</v>
      </c>
      <c r="AE129" s="342" t="e">
        <v>#DIV/0!</v>
      </c>
      <c r="AF129" s="342" t="e">
        <v>#DIV/0!</v>
      </c>
      <c r="AG129" s="332"/>
    </row>
    <row r="130" spans="1:33" s="333" customFormat="1" ht="18" customHeight="1">
      <c r="A130" s="337">
        <v>13</v>
      </c>
      <c r="B130" s="358" t="s">
        <v>1276</v>
      </c>
      <c r="C130" s="359">
        <v>1</v>
      </c>
      <c r="D130" s="359">
        <v>1</v>
      </c>
      <c r="E130" s="359">
        <v>1</v>
      </c>
      <c r="F130" s="359">
        <v>1</v>
      </c>
      <c r="G130" s="360">
        <v>2.2999999999999998</v>
      </c>
      <c r="H130" s="360">
        <v>2.2999999999999998</v>
      </c>
      <c r="I130" s="361">
        <v>2</v>
      </c>
      <c r="J130" s="226" t="s">
        <v>1277</v>
      </c>
      <c r="K130" s="361">
        <v>2</v>
      </c>
      <c r="L130" s="226" t="s">
        <v>1277</v>
      </c>
      <c r="M130" s="361">
        <v>2</v>
      </c>
      <c r="N130" s="226" t="s">
        <v>1277</v>
      </c>
      <c r="O130" s="361">
        <v>2</v>
      </c>
      <c r="P130" s="226" t="s">
        <v>1277</v>
      </c>
      <c r="Q130" s="341">
        <v>30</v>
      </c>
      <c r="R130" s="224">
        <v>2</v>
      </c>
      <c r="S130" s="224"/>
      <c r="T130" s="224"/>
      <c r="U130" s="339">
        <v>0</v>
      </c>
      <c r="V130" s="339">
        <v>0</v>
      </c>
      <c r="W130" s="339">
        <v>0</v>
      </c>
      <c r="X130" s="339">
        <v>0</v>
      </c>
      <c r="Y130" s="339">
        <v>0</v>
      </c>
      <c r="Z130" s="339">
        <v>0</v>
      </c>
      <c r="AA130" s="339">
        <v>0</v>
      </c>
      <c r="AB130" s="339" t="e">
        <v>#DIV/0!</v>
      </c>
      <c r="AC130" s="342" t="e">
        <v>#DIV/0!</v>
      </c>
      <c r="AD130" s="342" t="e">
        <v>#DIV/0!</v>
      </c>
      <c r="AE130" s="342" t="e">
        <v>#DIV/0!</v>
      </c>
      <c r="AF130" s="342" t="e">
        <v>#DIV/0!</v>
      </c>
      <c r="AG130" s="332"/>
    </row>
    <row r="131" spans="1:33" s="333" customFormat="1" ht="18" customHeight="1">
      <c r="A131" s="337">
        <v>19</v>
      </c>
      <c r="B131" s="222" t="s">
        <v>339</v>
      </c>
      <c r="C131" s="223">
        <v>1</v>
      </c>
      <c r="D131" s="223">
        <v>1</v>
      </c>
      <c r="E131" s="224">
        <v>1</v>
      </c>
      <c r="F131" s="224">
        <v>1</v>
      </c>
      <c r="G131" s="223">
        <v>0.56000000000000005</v>
      </c>
      <c r="H131" s="223">
        <v>0.56000000000000005</v>
      </c>
      <c r="I131" s="223">
        <v>12</v>
      </c>
      <c r="J131" s="223" t="s">
        <v>996</v>
      </c>
      <c r="K131" s="223">
        <v>12</v>
      </c>
      <c r="L131" s="223" t="s">
        <v>996</v>
      </c>
      <c r="M131" s="223">
        <v>12</v>
      </c>
      <c r="N131" s="223" t="s">
        <v>996</v>
      </c>
      <c r="O131" s="223">
        <v>12</v>
      </c>
      <c r="P131" s="223" t="s">
        <v>996</v>
      </c>
      <c r="Q131" s="341">
        <v>30</v>
      </c>
      <c r="R131" s="224" t="s">
        <v>1278</v>
      </c>
      <c r="S131" s="224" t="s">
        <v>996</v>
      </c>
      <c r="T131" s="224"/>
      <c r="U131" s="339">
        <v>201.60000000000002</v>
      </c>
      <c r="V131" s="339">
        <v>201.60000000000002</v>
      </c>
      <c r="W131" s="339">
        <v>0</v>
      </c>
      <c r="X131" s="339">
        <v>201.60000000000002</v>
      </c>
      <c r="Y131" s="339">
        <v>201.60000000000002</v>
      </c>
      <c r="Z131" s="339">
        <v>201.60000000000002</v>
      </c>
      <c r="AA131" s="339">
        <v>201.60000000000002</v>
      </c>
      <c r="AB131" s="339" t="e">
        <v>#DIV/0!</v>
      </c>
      <c r="AC131" s="342">
        <v>1</v>
      </c>
      <c r="AD131" s="342">
        <v>1</v>
      </c>
      <c r="AE131" s="342">
        <v>1</v>
      </c>
      <c r="AF131" s="342">
        <v>1</v>
      </c>
      <c r="AG131" s="332"/>
    </row>
    <row r="132" spans="1:33" s="333" customFormat="1" ht="18" customHeight="1">
      <c r="A132" s="337">
        <v>21</v>
      </c>
      <c r="B132" s="340" t="s">
        <v>340</v>
      </c>
      <c r="C132" s="223">
        <v>1</v>
      </c>
      <c r="D132" s="223">
        <v>1</v>
      </c>
      <c r="E132" s="224">
        <v>1</v>
      </c>
      <c r="F132" s="224">
        <v>1</v>
      </c>
      <c r="G132" s="223">
        <v>0.56000000000000005</v>
      </c>
      <c r="H132" s="223">
        <v>0.56000000000000005</v>
      </c>
      <c r="I132" s="223">
        <v>12</v>
      </c>
      <c r="J132" s="223" t="s">
        <v>996</v>
      </c>
      <c r="K132" s="223">
        <v>12</v>
      </c>
      <c r="L132" s="223" t="s">
        <v>996</v>
      </c>
      <c r="M132" s="223">
        <v>12</v>
      </c>
      <c r="N132" s="223" t="s">
        <v>996</v>
      </c>
      <c r="O132" s="223">
        <v>12</v>
      </c>
      <c r="P132" s="223" t="s">
        <v>996</v>
      </c>
      <c r="Q132" s="341">
        <v>30</v>
      </c>
      <c r="R132" s="224">
        <v>12</v>
      </c>
      <c r="S132" s="224" t="s">
        <v>996</v>
      </c>
      <c r="T132" s="224">
        <v>30</v>
      </c>
      <c r="U132" s="339">
        <v>201.60000000000002</v>
      </c>
      <c r="V132" s="339">
        <v>201.60000000000002</v>
      </c>
      <c r="W132" s="339">
        <v>0</v>
      </c>
      <c r="X132" s="339">
        <v>201.60000000000002</v>
      </c>
      <c r="Y132" s="339">
        <v>201.60000000000002</v>
      </c>
      <c r="Z132" s="339">
        <v>201.60000000000002</v>
      </c>
      <c r="AA132" s="339">
        <v>201.60000000000002</v>
      </c>
      <c r="AB132" s="339" t="e">
        <v>#DIV/0!</v>
      </c>
      <c r="AC132" s="342">
        <v>1</v>
      </c>
      <c r="AD132" s="342">
        <v>1</v>
      </c>
      <c r="AE132" s="342">
        <v>1</v>
      </c>
      <c r="AF132" s="342">
        <v>1</v>
      </c>
      <c r="AG132" s="332"/>
    </row>
    <row r="133" spans="1:33" s="333" customFormat="1" ht="18" customHeight="1">
      <c r="A133" s="337">
        <v>22</v>
      </c>
      <c r="B133" s="340" t="s">
        <v>341</v>
      </c>
      <c r="C133" s="223">
        <v>1</v>
      </c>
      <c r="D133" s="223">
        <v>1</v>
      </c>
      <c r="E133" s="224">
        <v>1</v>
      </c>
      <c r="F133" s="224">
        <v>1</v>
      </c>
      <c r="G133" s="223">
        <v>0.56000000000000005</v>
      </c>
      <c r="H133" s="223">
        <v>0.56000000000000005</v>
      </c>
      <c r="I133" s="223">
        <v>12</v>
      </c>
      <c r="J133" s="223" t="s">
        <v>996</v>
      </c>
      <c r="K133" s="223">
        <v>12</v>
      </c>
      <c r="L133" s="223" t="s">
        <v>996</v>
      </c>
      <c r="M133" s="223">
        <v>12</v>
      </c>
      <c r="N133" s="223" t="s">
        <v>996</v>
      </c>
      <c r="O133" s="223">
        <v>12</v>
      </c>
      <c r="P133" s="223" t="s">
        <v>996</v>
      </c>
      <c r="Q133" s="341">
        <v>30</v>
      </c>
      <c r="R133" s="224">
        <v>12</v>
      </c>
      <c r="S133" s="224" t="s">
        <v>996</v>
      </c>
      <c r="T133" s="224">
        <v>30</v>
      </c>
      <c r="U133" s="339">
        <v>270</v>
      </c>
      <c r="V133" s="339">
        <v>270</v>
      </c>
      <c r="W133" s="339">
        <v>0</v>
      </c>
      <c r="X133" s="339">
        <v>0</v>
      </c>
      <c r="Y133" s="339">
        <v>270</v>
      </c>
      <c r="Z133" s="339">
        <v>270</v>
      </c>
      <c r="AA133" s="339">
        <v>270</v>
      </c>
      <c r="AB133" s="339" t="e">
        <v>#DIV/0!</v>
      </c>
      <c r="AC133" s="342" t="e">
        <v>#DIV/0!</v>
      </c>
      <c r="AD133" s="342">
        <v>1</v>
      </c>
      <c r="AE133" s="342">
        <v>1</v>
      </c>
      <c r="AF133" s="342">
        <v>1</v>
      </c>
      <c r="AG133" s="332"/>
    </row>
    <row r="134" spans="1:33" s="333" customFormat="1" ht="18" customHeight="1">
      <c r="A134" s="337">
        <v>23</v>
      </c>
      <c r="B134" s="340" t="s">
        <v>341</v>
      </c>
      <c r="C134" s="223">
        <v>1</v>
      </c>
      <c r="D134" s="223">
        <v>1</v>
      </c>
      <c r="E134" s="224">
        <v>1</v>
      </c>
      <c r="F134" s="224">
        <v>1</v>
      </c>
      <c r="G134" s="223">
        <v>0.56000000000000005</v>
      </c>
      <c r="H134" s="223">
        <v>0.56000000000000005</v>
      </c>
      <c r="I134" s="223">
        <v>12</v>
      </c>
      <c r="J134" s="223" t="s">
        <v>996</v>
      </c>
      <c r="K134" s="223">
        <v>12</v>
      </c>
      <c r="L134" s="223" t="s">
        <v>996</v>
      </c>
      <c r="M134" s="223">
        <v>12</v>
      </c>
      <c r="N134" s="223" t="s">
        <v>996</v>
      </c>
      <c r="O134" s="223">
        <v>12</v>
      </c>
      <c r="P134" s="223" t="s">
        <v>996</v>
      </c>
      <c r="Q134" s="341">
        <v>30</v>
      </c>
      <c r="R134" s="224">
        <v>12</v>
      </c>
      <c r="S134" s="224" t="s">
        <v>996</v>
      </c>
      <c r="T134" s="224">
        <v>30</v>
      </c>
      <c r="U134" s="339">
        <v>0</v>
      </c>
      <c r="V134" s="339">
        <v>0</v>
      </c>
      <c r="W134" s="339">
        <v>0</v>
      </c>
      <c r="X134" s="339">
        <v>0</v>
      </c>
      <c r="Y134" s="339">
        <v>0</v>
      </c>
      <c r="Z134" s="339">
        <v>0</v>
      </c>
      <c r="AA134" s="339">
        <v>0</v>
      </c>
      <c r="AB134" s="339" t="e">
        <v>#DIV/0!</v>
      </c>
      <c r="AC134" s="342" t="e">
        <v>#DIV/0!</v>
      </c>
      <c r="AD134" s="342" t="e">
        <v>#DIV/0!</v>
      </c>
      <c r="AE134" s="342" t="e">
        <v>#DIV/0!</v>
      </c>
      <c r="AF134" s="342" t="e">
        <v>#DIV/0!</v>
      </c>
      <c r="AG134" s="332"/>
    </row>
    <row r="135" spans="1:33" s="333" customFormat="1" ht="18" customHeight="1">
      <c r="A135" s="337">
        <v>24</v>
      </c>
      <c r="B135" s="345" t="s">
        <v>342</v>
      </c>
      <c r="C135" s="223">
        <v>1</v>
      </c>
      <c r="D135" s="223">
        <v>1</v>
      </c>
      <c r="E135" s="224">
        <v>1</v>
      </c>
      <c r="F135" s="224">
        <v>1</v>
      </c>
      <c r="G135" s="223">
        <v>0.75</v>
      </c>
      <c r="H135" s="223">
        <v>0.75</v>
      </c>
      <c r="I135" s="223">
        <v>12</v>
      </c>
      <c r="J135" s="223" t="s">
        <v>996</v>
      </c>
      <c r="K135" s="223">
        <v>12</v>
      </c>
      <c r="L135" s="223" t="s">
        <v>996</v>
      </c>
      <c r="M135" s="223">
        <v>12</v>
      </c>
      <c r="N135" s="223" t="s">
        <v>996</v>
      </c>
      <c r="O135" s="223">
        <v>12</v>
      </c>
      <c r="P135" s="223" t="s">
        <v>996</v>
      </c>
      <c r="Q135" s="341">
        <v>30</v>
      </c>
      <c r="R135" s="224">
        <v>12</v>
      </c>
      <c r="S135" s="224" t="s">
        <v>996</v>
      </c>
      <c r="T135" s="224">
        <v>30</v>
      </c>
      <c r="U135" s="339">
        <v>1007.9999999999998</v>
      </c>
      <c r="V135" s="339">
        <v>1007.9999999999998</v>
      </c>
      <c r="W135" s="339">
        <v>2015.9999999999995</v>
      </c>
      <c r="X135" s="339">
        <v>0</v>
      </c>
      <c r="Y135" s="339">
        <v>503.99999999999989</v>
      </c>
      <c r="Z135" s="339">
        <v>1007.9999999999998</v>
      </c>
      <c r="AA135" s="339">
        <v>1007.9999999999998</v>
      </c>
      <c r="AB135" s="339">
        <v>1</v>
      </c>
      <c r="AC135" s="342" t="e">
        <v>#DIV/0!</v>
      </c>
      <c r="AD135" s="342">
        <v>1</v>
      </c>
      <c r="AE135" s="342">
        <v>1</v>
      </c>
      <c r="AF135" s="342">
        <v>1</v>
      </c>
      <c r="AG135" s="332"/>
    </row>
    <row r="136" spans="1:33" s="333" customFormat="1" ht="18" customHeight="1">
      <c r="A136" s="337">
        <v>33</v>
      </c>
      <c r="B136" s="362" t="s">
        <v>372</v>
      </c>
      <c r="C136" s="338"/>
      <c r="D136" s="337"/>
      <c r="E136" s="337"/>
      <c r="F136" s="337"/>
      <c r="G136" s="338">
        <v>2.2000000000000002</v>
      </c>
      <c r="H136" s="338">
        <v>2.2000000000000002</v>
      </c>
      <c r="I136" s="337">
        <v>4</v>
      </c>
      <c r="J136" s="337" t="s">
        <v>1236</v>
      </c>
      <c r="K136" s="337">
        <v>4</v>
      </c>
      <c r="L136" s="337" t="s">
        <v>1236</v>
      </c>
      <c r="M136" s="337">
        <v>6</v>
      </c>
      <c r="N136" s="337" t="s">
        <v>1236</v>
      </c>
      <c r="O136" s="337">
        <v>4</v>
      </c>
      <c r="P136" s="337" t="s">
        <v>1236</v>
      </c>
      <c r="Q136" s="337">
        <v>30</v>
      </c>
      <c r="R136" s="337">
        <v>0</v>
      </c>
      <c r="S136" s="339">
        <v>528</v>
      </c>
      <c r="T136" s="339">
        <v>1056</v>
      </c>
      <c r="U136" s="339">
        <v>1584.0000000000002</v>
      </c>
      <c r="V136" s="339">
        <v>1056</v>
      </c>
      <c r="W136" s="339">
        <v>0</v>
      </c>
      <c r="X136" s="339">
        <v>528</v>
      </c>
      <c r="Y136" s="339">
        <v>1056</v>
      </c>
      <c r="Z136" s="339">
        <v>1584.0000000000002</v>
      </c>
      <c r="AA136" s="339">
        <v>1056</v>
      </c>
      <c r="AB136" s="339" t="e">
        <v>#DIV/0!</v>
      </c>
      <c r="AC136" s="342">
        <v>1</v>
      </c>
      <c r="AD136" s="342">
        <v>1</v>
      </c>
      <c r="AE136" s="342">
        <v>1</v>
      </c>
      <c r="AF136" s="342">
        <v>1</v>
      </c>
      <c r="AG136" s="332"/>
    </row>
    <row r="137" spans="1:33" s="332" customFormat="1" ht="18" customHeight="1">
      <c r="A137" s="350" t="s">
        <v>1279</v>
      </c>
      <c r="B137" s="363" t="s">
        <v>1280</v>
      </c>
      <c r="C137" s="364"/>
      <c r="D137" s="350"/>
      <c r="E137" s="350"/>
      <c r="F137" s="350"/>
      <c r="G137" s="364"/>
      <c r="H137" s="364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350"/>
      <c r="AB137" s="350"/>
      <c r="AC137" s="350"/>
      <c r="AD137" s="350"/>
      <c r="AE137" s="350"/>
      <c r="AF137" s="350"/>
    </row>
    <row r="138" spans="1:33" s="333" customFormat="1" ht="18" customHeight="1">
      <c r="A138" s="337">
        <v>1</v>
      </c>
      <c r="B138" s="222" t="s">
        <v>353</v>
      </c>
      <c r="C138" s="223">
        <v>1</v>
      </c>
      <c r="D138" s="224">
        <v>1</v>
      </c>
      <c r="E138" s="224">
        <v>1</v>
      </c>
      <c r="F138" s="224">
        <v>1</v>
      </c>
      <c r="G138" s="223">
        <v>2.2000000000000002</v>
      </c>
      <c r="H138" s="223">
        <v>2.2000000000000002</v>
      </c>
      <c r="I138" s="224">
        <v>4</v>
      </c>
      <c r="J138" s="224" t="s">
        <v>1236</v>
      </c>
      <c r="K138" s="224">
        <v>4</v>
      </c>
      <c r="L138" s="224" t="s">
        <v>1236</v>
      </c>
      <c r="M138" s="224">
        <v>4</v>
      </c>
      <c r="N138" s="224" t="s">
        <v>1236</v>
      </c>
      <c r="O138" s="224">
        <v>4</v>
      </c>
      <c r="P138" s="337" t="s">
        <v>1236</v>
      </c>
      <c r="Q138" s="337">
        <v>30</v>
      </c>
      <c r="R138" s="337">
        <v>0</v>
      </c>
      <c r="S138" s="339">
        <v>0</v>
      </c>
      <c r="T138" s="339">
        <v>0</v>
      </c>
      <c r="U138" s="339">
        <v>0</v>
      </c>
      <c r="V138" s="339">
        <v>0</v>
      </c>
      <c r="W138" s="339">
        <v>0</v>
      </c>
      <c r="X138" s="339">
        <v>0</v>
      </c>
      <c r="Y138" s="339">
        <v>0</v>
      </c>
      <c r="Z138" s="339">
        <v>0</v>
      </c>
      <c r="AA138" s="339">
        <v>0</v>
      </c>
      <c r="AB138" s="339" t="e">
        <v>#DIV/0!</v>
      </c>
      <c r="AC138" s="342" t="e">
        <v>#DIV/0!</v>
      </c>
      <c r="AD138" s="342" t="e">
        <v>#DIV/0!</v>
      </c>
      <c r="AE138" s="342" t="e">
        <v>#DIV/0!</v>
      </c>
      <c r="AF138" s="342" t="e">
        <v>#DIV/0!</v>
      </c>
      <c r="AG138" s="332"/>
    </row>
    <row r="139" spans="1:33" s="333" customFormat="1" ht="18" customHeight="1">
      <c r="A139" s="337">
        <v>2</v>
      </c>
      <c r="B139" s="222" t="s">
        <v>375</v>
      </c>
      <c r="C139" s="223">
        <v>1</v>
      </c>
      <c r="D139" s="224">
        <v>1</v>
      </c>
      <c r="E139" s="224">
        <v>1</v>
      </c>
      <c r="F139" s="224">
        <v>1</v>
      </c>
      <c r="G139" s="223">
        <v>3</v>
      </c>
      <c r="H139" s="223">
        <v>3</v>
      </c>
      <c r="I139" s="224">
        <v>4</v>
      </c>
      <c r="J139" s="224" t="s">
        <v>996</v>
      </c>
      <c r="K139" s="224">
        <v>12</v>
      </c>
      <c r="L139" s="224" t="s">
        <v>996</v>
      </c>
      <c r="M139" s="224">
        <v>12</v>
      </c>
      <c r="N139" s="224" t="s">
        <v>996</v>
      </c>
      <c r="O139" s="224">
        <v>12</v>
      </c>
      <c r="P139" s="337" t="s">
        <v>996</v>
      </c>
      <c r="Q139" s="337">
        <v>30</v>
      </c>
      <c r="R139" s="337">
        <v>0</v>
      </c>
      <c r="S139" s="339">
        <v>0</v>
      </c>
      <c r="T139" s="339">
        <v>2160</v>
      </c>
      <c r="U139" s="339">
        <v>0</v>
      </c>
      <c r="V139" s="339">
        <v>2160</v>
      </c>
      <c r="W139" s="339">
        <v>0</v>
      </c>
      <c r="X139" s="339">
        <v>0</v>
      </c>
      <c r="Y139" s="339">
        <v>2160</v>
      </c>
      <c r="Z139" s="339">
        <v>0</v>
      </c>
      <c r="AA139" s="339">
        <v>2160</v>
      </c>
      <c r="AB139" s="339" t="e">
        <v>#DIV/0!</v>
      </c>
      <c r="AC139" s="342" t="e">
        <v>#DIV/0!</v>
      </c>
      <c r="AD139" s="342">
        <v>1</v>
      </c>
      <c r="AE139" s="342" t="e">
        <v>#DIV/0!</v>
      </c>
      <c r="AF139" s="342">
        <v>1</v>
      </c>
      <c r="AG139" s="332"/>
    </row>
    <row r="140" spans="1:33" s="333" customFormat="1" ht="18" customHeight="1">
      <c r="A140" s="337">
        <v>3</v>
      </c>
      <c r="B140" s="222" t="s">
        <v>377</v>
      </c>
      <c r="C140" s="223">
        <v>1</v>
      </c>
      <c r="D140" s="224">
        <v>1</v>
      </c>
      <c r="E140" s="224">
        <v>1</v>
      </c>
      <c r="F140" s="224">
        <v>1</v>
      </c>
      <c r="G140" s="223">
        <v>0.56000000000000005</v>
      </c>
      <c r="H140" s="223">
        <v>0.56000000000000005</v>
      </c>
      <c r="I140" s="224">
        <v>12</v>
      </c>
      <c r="J140" s="224" t="s">
        <v>996</v>
      </c>
      <c r="K140" s="224">
        <v>12</v>
      </c>
      <c r="L140" s="224" t="s">
        <v>996</v>
      </c>
      <c r="M140" s="224">
        <v>12</v>
      </c>
      <c r="N140" s="224" t="s">
        <v>996</v>
      </c>
      <c r="O140" s="224">
        <v>12</v>
      </c>
      <c r="P140" s="337" t="s">
        <v>996</v>
      </c>
      <c r="Q140" s="337">
        <v>30</v>
      </c>
      <c r="R140" s="337">
        <v>0</v>
      </c>
      <c r="S140" s="339">
        <v>0</v>
      </c>
      <c r="T140" s="339">
        <v>403.20000000000005</v>
      </c>
      <c r="U140" s="339">
        <v>0</v>
      </c>
      <c r="V140" s="339">
        <v>403.20000000000005</v>
      </c>
      <c r="W140" s="339">
        <v>0</v>
      </c>
      <c r="X140" s="339">
        <v>0</v>
      </c>
      <c r="Y140" s="339">
        <v>403.20000000000005</v>
      </c>
      <c r="Z140" s="339">
        <v>0</v>
      </c>
      <c r="AA140" s="339">
        <v>403.20000000000005</v>
      </c>
      <c r="AB140" s="339" t="e">
        <v>#DIV/0!</v>
      </c>
      <c r="AC140" s="342" t="e">
        <v>#DIV/0!</v>
      </c>
      <c r="AD140" s="342">
        <v>1</v>
      </c>
      <c r="AE140" s="342" t="e">
        <v>#DIV/0!</v>
      </c>
      <c r="AF140" s="342">
        <v>1</v>
      </c>
      <c r="AG140" s="332"/>
    </row>
    <row r="141" spans="1:33" s="333" customFormat="1" ht="18" customHeight="1">
      <c r="A141" s="337">
        <v>4</v>
      </c>
      <c r="B141" s="222" t="s">
        <v>378</v>
      </c>
      <c r="C141" s="223">
        <v>1</v>
      </c>
      <c r="D141" s="224">
        <v>1</v>
      </c>
      <c r="E141" s="224">
        <v>1</v>
      </c>
      <c r="F141" s="224">
        <v>1</v>
      </c>
      <c r="G141" s="223">
        <v>0.63</v>
      </c>
      <c r="H141" s="223">
        <v>0.63</v>
      </c>
      <c r="I141" s="224">
        <v>12</v>
      </c>
      <c r="J141" s="224" t="s">
        <v>996</v>
      </c>
      <c r="K141" s="224">
        <v>12</v>
      </c>
      <c r="L141" s="224" t="s">
        <v>996</v>
      </c>
      <c r="M141" s="224">
        <v>12</v>
      </c>
      <c r="N141" s="224" t="s">
        <v>996</v>
      </c>
      <c r="O141" s="224">
        <v>12</v>
      </c>
      <c r="P141" s="337" t="s">
        <v>996</v>
      </c>
      <c r="Q141" s="337">
        <v>30</v>
      </c>
      <c r="R141" s="337">
        <v>0</v>
      </c>
      <c r="S141" s="339">
        <v>0</v>
      </c>
      <c r="T141" s="339">
        <v>453.6</v>
      </c>
      <c r="U141" s="339">
        <v>0</v>
      </c>
      <c r="V141" s="339">
        <v>453.6</v>
      </c>
      <c r="W141" s="339">
        <v>0</v>
      </c>
      <c r="X141" s="339">
        <v>0</v>
      </c>
      <c r="Y141" s="339">
        <v>453.6</v>
      </c>
      <c r="Z141" s="339">
        <v>0</v>
      </c>
      <c r="AA141" s="339">
        <v>453.6</v>
      </c>
      <c r="AB141" s="339" t="e">
        <v>#DIV/0!</v>
      </c>
      <c r="AC141" s="342" t="e">
        <v>#DIV/0!</v>
      </c>
      <c r="AD141" s="342">
        <v>1</v>
      </c>
      <c r="AE141" s="342" t="e">
        <v>#DIV/0!</v>
      </c>
      <c r="AF141" s="342">
        <v>1</v>
      </c>
      <c r="AG141" s="332"/>
    </row>
    <row r="142" spans="1:33" s="333" customFormat="1" ht="18" customHeight="1">
      <c r="A142" s="337">
        <v>5</v>
      </c>
      <c r="B142" s="222" t="s">
        <v>379</v>
      </c>
      <c r="C142" s="223">
        <v>1</v>
      </c>
      <c r="D142" s="224">
        <v>1</v>
      </c>
      <c r="E142" s="224">
        <v>1</v>
      </c>
      <c r="F142" s="224">
        <v>1</v>
      </c>
      <c r="G142" s="223">
        <v>0.56000000000000005</v>
      </c>
      <c r="H142" s="223">
        <v>0.56000000000000005</v>
      </c>
      <c r="I142" s="224">
        <v>12</v>
      </c>
      <c r="J142" s="224" t="s">
        <v>996</v>
      </c>
      <c r="K142" s="224">
        <v>12</v>
      </c>
      <c r="L142" s="224" t="s">
        <v>996</v>
      </c>
      <c r="M142" s="224">
        <v>12</v>
      </c>
      <c r="N142" s="224" t="s">
        <v>996</v>
      </c>
      <c r="O142" s="224">
        <v>12</v>
      </c>
      <c r="P142" s="337" t="s">
        <v>996</v>
      </c>
      <c r="Q142" s="337">
        <v>30</v>
      </c>
      <c r="R142" s="337">
        <v>0</v>
      </c>
      <c r="S142" s="339">
        <v>0</v>
      </c>
      <c r="T142" s="339">
        <v>403.20000000000005</v>
      </c>
      <c r="U142" s="339">
        <v>0</v>
      </c>
      <c r="V142" s="339">
        <v>403.20000000000005</v>
      </c>
      <c r="W142" s="339">
        <v>0</v>
      </c>
      <c r="X142" s="339">
        <v>0</v>
      </c>
      <c r="Y142" s="339">
        <v>403.20000000000005</v>
      </c>
      <c r="Z142" s="339">
        <v>0</v>
      </c>
      <c r="AA142" s="339">
        <v>403.20000000000005</v>
      </c>
      <c r="AB142" s="339" t="e">
        <v>#DIV/0!</v>
      </c>
      <c r="AC142" s="342" t="e">
        <v>#DIV/0!</v>
      </c>
      <c r="AD142" s="342">
        <v>1</v>
      </c>
      <c r="AE142" s="342" t="e">
        <v>#DIV/0!</v>
      </c>
      <c r="AF142" s="342">
        <v>1</v>
      </c>
      <c r="AG142" s="332"/>
    </row>
    <row r="143" spans="1:33" s="333" customFormat="1" ht="18" customHeight="1">
      <c r="A143" s="337">
        <v>6</v>
      </c>
      <c r="B143" s="222" t="s">
        <v>380</v>
      </c>
      <c r="C143" s="223">
        <v>1</v>
      </c>
      <c r="D143" s="224">
        <v>3</v>
      </c>
      <c r="E143" s="224">
        <v>3</v>
      </c>
      <c r="F143" s="224">
        <v>3</v>
      </c>
      <c r="G143" s="223">
        <v>0.63</v>
      </c>
      <c r="H143" s="223">
        <v>0.63</v>
      </c>
      <c r="I143" s="224">
        <v>12</v>
      </c>
      <c r="J143" s="224" t="s">
        <v>996</v>
      </c>
      <c r="K143" s="224">
        <v>12</v>
      </c>
      <c r="L143" s="224" t="s">
        <v>996</v>
      </c>
      <c r="M143" s="224">
        <v>12</v>
      </c>
      <c r="N143" s="224" t="s">
        <v>996</v>
      </c>
      <c r="O143" s="224">
        <v>12</v>
      </c>
      <c r="P143" s="337" t="s">
        <v>996</v>
      </c>
      <c r="Q143" s="337">
        <v>30</v>
      </c>
      <c r="R143" s="337">
        <v>0</v>
      </c>
      <c r="S143" s="339">
        <v>0</v>
      </c>
      <c r="T143" s="339">
        <v>1360.8</v>
      </c>
      <c r="U143" s="339">
        <v>0</v>
      </c>
      <c r="V143" s="339">
        <v>1360.8</v>
      </c>
      <c r="W143" s="339">
        <v>0</v>
      </c>
      <c r="X143" s="339">
        <v>0</v>
      </c>
      <c r="Y143" s="339">
        <v>1360.8</v>
      </c>
      <c r="Z143" s="339">
        <v>0</v>
      </c>
      <c r="AA143" s="339">
        <v>1360.8</v>
      </c>
      <c r="AB143" s="339" t="e">
        <v>#DIV/0!</v>
      </c>
      <c r="AC143" s="342" t="e">
        <v>#DIV/0!</v>
      </c>
      <c r="AD143" s="342">
        <v>1</v>
      </c>
      <c r="AE143" s="342" t="e">
        <v>#DIV/0!</v>
      </c>
      <c r="AF143" s="342">
        <v>1</v>
      </c>
      <c r="AG143" s="332"/>
    </row>
    <row r="144" spans="1:33" s="333" customFormat="1" ht="18" customHeight="1">
      <c r="A144" s="337">
        <v>7</v>
      </c>
      <c r="B144" s="340" t="s">
        <v>1245</v>
      </c>
      <c r="C144" s="223">
        <v>1</v>
      </c>
      <c r="D144" s="224">
        <v>1</v>
      </c>
      <c r="E144" s="224">
        <v>1</v>
      </c>
      <c r="F144" s="224">
        <v>1</v>
      </c>
      <c r="G144" s="223">
        <v>0.63</v>
      </c>
      <c r="H144" s="223">
        <v>0.63</v>
      </c>
      <c r="I144" s="224">
        <v>2</v>
      </c>
      <c r="J144" s="224" t="s">
        <v>1281</v>
      </c>
      <c r="K144" s="224">
        <v>12</v>
      </c>
      <c r="L144" s="224" t="s">
        <v>1281</v>
      </c>
      <c r="M144" s="224">
        <v>12</v>
      </c>
      <c r="N144" s="224" t="s">
        <v>1281</v>
      </c>
      <c r="O144" s="224">
        <v>12</v>
      </c>
      <c r="P144" s="337" t="s">
        <v>1236</v>
      </c>
      <c r="Q144" s="337">
        <v>30</v>
      </c>
      <c r="R144" s="337">
        <v>0</v>
      </c>
      <c r="S144" s="339">
        <v>0</v>
      </c>
      <c r="T144" s="339">
        <v>4224</v>
      </c>
      <c r="U144" s="339">
        <v>0</v>
      </c>
      <c r="V144" s="339">
        <v>4224</v>
      </c>
      <c r="W144" s="339">
        <v>0</v>
      </c>
      <c r="X144" s="339">
        <v>0</v>
      </c>
      <c r="Y144" s="339">
        <v>4224</v>
      </c>
      <c r="Z144" s="339">
        <v>0</v>
      </c>
      <c r="AA144" s="339">
        <v>4224</v>
      </c>
      <c r="AB144" s="339" t="e">
        <v>#DIV/0!</v>
      </c>
      <c r="AC144" s="342" t="e">
        <v>#DIV/0!</v>
      </c>
      <c r="AD144" s="342">
        <v>1</v>
      </c>
      <c r="AE144" s="342" t="e">
        <v>#DIV/0!</v>
      </c>
      <c r="AF144" s="342">
        <v>1</v>
      </c>
      <c r="AG144" s="332"/>
    </row>
    <row r="145" spans="1:33" s="333" customFormat="1" ht="18" customHeight="1">
      <c r="A145" s="337">
        <v>8</v>
      </c>
      <c r="B145" s="222" t="s">
        <v>372</v>
      </c>
      <c r="C145" s="223">
        <v>1</v>
      </c>
      <c r="D145" s="224">
        <v>2</v>
      </c>
      <c r="E145" s="224">
        <v>2</v>
      </c>
      <c r="F145" s="224">
        <v>2</v>
      </c>
      <c r="G145" s="223">
        <v>2.2000000000000002</v>
      </c>
      <c r="H145" s="223">
        <v>2.2000000000000002</v>
      </c>
      <c r="I145" s="224">
        <v>4</v>
      </c>
      <c r="J145" s="224" t="s">
        <v>1236</v>
      </c>
      <c r="K145" s="224">
        <v>4</v>
      </c>
      <c r="L145" s="224" t="s">
        <v>1236</v>
      </c>
      <c r="M145" s="224">
        <v>4</v>
      </c>
      <c r="N145" s="224" t="s">
        <v>1236</v>
      </c>
      <c r="O145" s="224">
        <v>4</v>
      </c>
      <c r="P145" s="337" t="s">
        <v>1236</v>
      </c>
      <c r="Q145" s="337"/>
      <c r="R145" s="337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42"/>
      <c r="AD145" s="342"/>
      <c r="AE145" s="342"/>
      <c r="AF145" s="342"/>
      <c r="AG145" s="332"/>
    </row>
    <row r="146" spans="1:33" s="333" customFormat="1" ht="18" customHeight="1">
      <c r="A146" s="337"/>
      <c r="B146" s="353" t="s">
        <v>1282</v>
      </c>
      <c r="C146" s="354"/>
      <c r="D146" s="354"/>
      <c r="E146" s="354"/>
      <c r="F146" s="354"/>
      <c r="G146" s="354"/>
      <c r="H146" s="354"/>
      <c r="I146" s="355"/>
      <c r="J146" s="355"/>
      <c r="K146" s="356"/>
      <c r="L146" s="53"/>
      <c r="M146" s="53"/>
      <c r="N146" s="354"/>
      <c r="O146" s="354"/>
      <c r="P146" s="354"/>
      <c r="Q146" s="337"/>
      <c r="R146" s="354"/>
      <c r="S146" s="354"/>
      <c r="T146" s="354"/>
      <c r="U146" s="339"/>
      <c r="V146" s="339"/>
      <c r="W146" s="339"/>
      <c r="X146" s="339"/>
      <c r="Y146" s="339"/>
      <c r="Z146" s="339"/>
      <c r="AA146" s="339"/>
      <c r="AB146" s="339"/>
      <c r="AC146" s="342"/>
      <c r="AD146" s="342"/>
      <c r="AE146" s="342"/>
      <c r="AF146" s="342"/>
      <c r="AG146" s="332"/>
    </row>
    <row r="147" spans="1:33" s="333" customFormat="1" ht="18" customHeight="1">
      <c r="A147" s="337"/>
      <c r="B147" s="222" t="s">
        <v>379</v>
      </c>
      <c r="C147" s="223">
        <v>1</v>
      </c>
      <c r="D147" s="223">
        <v>1</v>
      </c>
      <c r="E147" s="224">
        <v>1</v>
      </c>
      <c r="F147" s="224">
        <v>1</v>
      </c>
      <c r="G147" s="223">
        <v>0.56000000000000005</v>
      </c>
      <c r="H147" s="223">
        <v>0.56000000000000005</v>
      </c>
      <c r="I147" s="223">
        <v>12</v>
      </c>
      <c r="J147" s="223" t="s">
        <v>996</v>
      </c>
      <c r="K147" s="223">
        <v>12</v>
      </c>
      <c r="L147" s="223" t="s">
        <v>996</v>
      </c>
      <c r="M147" s="223">
        <v>12</v>
      </c>
      <c r="N147" s="223" t="s">
        <v>996</v>
      </c>
      <c r="O147" s="223">
        <v>12</v>
      </c>
      <c r="P147" s="223" t="s">
        <v>996</v>
      </c>
      <c r="Q147" s="337">
        <v>30</v>
      </c>
      <c r="S147" s="224"/>
      <c r="T147" s="224"/>
      <c r="U147" s="339"/>
      <c r="V147" s="339"/>
      <c r="W147" s="339"/>
      <c r="X147" s="339"/>
      <c r="Y147" s="339"/>
      <c r="Z147" s="339"/>
      <c r="AA147" s="339"/>
      <c r="AB147" s="339"/>
      <c r="AC147" s="342"/>
      <c r="AD147" s="342"/>
      <c r="AE147" s="342"/>
      <c r="AF147" s="342"/>
      <c r="AG147" s="332"/>
    </row>
    <row r="148" spans="1:33" s="333" customFormat="1" ht="18" customHeight="1">
      <c r="A148" s="337"/>
      <c r="B148" s="340" t="s">
        <v>335</v>
      </c>
      <c r="C148" s="223">
        <v>1</v>
      </c>
      <c r="D148" s="223">
        <v>1</v>
      </c>
      <c r="E148" s="224">
        <v>1</v>
      </c>
      <c r="F148" s="224">
        <v>1</v>
      </c>
      <c r="G148" s="223">
        <v>10.5</v>
      </c>
      <c r="H148" s="223">
        <v>10.5</v>
      </c>
      <c r="I148" s="223">
        <v>4</v>
      </c>
      <c r="J148" s="223" t="s">
        <v>1283</v>
      </c>
      <c r="K148" s="223">
        <v>4</v>
      </c>
      <c r="L148" s="223" t="s">
        <v>1283</v>
      </c>
      <c r="M148" s="223">
        <v>4</v>
      </c>
      <c r="N148" s="223" t="s">
        <v>1283</v>
      </c>
      <c r="O148" s="223">
        <v>4</v>
      </c>
      <c r="P148" s="223" t="s">
        <v>1283</v>
      </c>
      <c r="Q148" s="337">
        <v>30</v>
      </c>
      <c r="S148" s="224"/>
      <c r="T148" s="224"/>
      <c r="U148" s="339"/>
      <c r="V148" s="339"/>
      <c r="W148" s="339"/>
      <c r="X148" s="339"/>
      <c r="Y148" s="339"/>
      <c r="Z148" s="339"/>
      <c r="AA148" s="339"/>
      <c r="AB148" s="339"/>
      <c r="AC148" s="342"/>
      <c r="AD148" s="342"/>
      <c r="AE148" s="342"/>
      <c r="AF148" s="342"/>
      <c r="AG148" s="332"/>
    </row>
    <row r="149" spans="1:33" s="333" customFormat="1" ht="18" customHeight="1">
      <c r="A149" s="337"/>
      <c r="B149" s="365" t="s">
        <v>298</v>
      </c>
      <c r="C149" s="237">
        <v>1</v>
      </c>
      <c r="D149" s="237">
        <v>1</v>
      </c>
      <c r="E149" s="14">
        <v>1</v>
      </c>
      <c r="F149" s="14">
        <v>1</v>
      </c>
      <c r="G149" s="237">
        <v>1</v>
      </c>
      <c r="H149" s="237">
        <v>1</v>
      </c>
      <c r="I149" s="237">
        <v>2</v>
      </c>
      <c r="J149" s="223" t="s">
        <v>1284</v>
      </c>
      <c r="K149" s="237">
        <v>2</v>
      </c>
      <c r="L149" s="223" t="s">
        <v>1284</v>
      </c>
      <c r="M149" s="237">
        <v>2</v>
      </c>
      <c r="N149" s="223" t="s">
        <v>1284</v>
      </c>
      <c r="O149" s="237">
        <v>2</v>
      </c>
      <c r="P149" s="223" t="s">
        <v>1284</v>
      </c>
      <c r="Q149" s="337">
        <v>30</v>
      </c>
      <c r="S149" s="224"/>
      <c r="T149" s="224"/>
      <c r="U149" s="339"/>
      <c r="V149" s="339"/>
      <c r="W149" s="339"/>
      <c r="X149" s="339"/>
      <c r="Y149" s="339"/>
      <c r="Z149" s="339"/>
      <c r="AA149" s="339"/>
      <c r="AB149" s="339"/>
      <c r="AC149" s="342"/>
      <c r="AD149" s="342"/>
      <c r="AE149" s="342"/>
      <c r="AF149" s="342"/>
      <c r="AG149" s="332"/>
    </row>
    <row r="150" spans="1:33" s="333" customFormat="1" ht="18" customHeight="1">
      <c r="A150" s="337"/>
      <c r="B150" s="366" t="s">
        <v>1285</v>
      </c>
      <c r="C150" s="367">
        <v>1</v>
      </c>
      <c r="D150" s="367">
        <v>2</v>
      </c>
      <c r="E150" s="367">
        <v>2</v>
      </c>
      <c r="F150" s="367">
        <v>2</v>
      </c>
      <c r="G150" s="368">
        <v>12</v>
      </c>
      <c r="H150" s="368">
        <v>12</v>
      </c>
      <c r="I150" s="368">
        <v>2</v>
      </c>
      <c r="J150" s="223" t="s">
        <v>1286</v>
      </c>
      <c r="K150" s="368">
        <v>2</v>
      </c>
      <c r="L150" s="223" t="s">
        <v>1286</v>
      </c>
      <c r="M150" s="368">
        <v>2</v>
      </c>
      <c r="N150" s="223" t="s">
        <v>1286</v>
      </c>
      <c r="O150" s="368">
        <v>2</v>
      </c>
      <c r="P150" s="223" t="s">
        <v>1286</v>
      </c>
      <c r="Q150" s="337">
        <v>30</v>
      </c>
      <c r="S150" s="224"/>
      <c r="T150" s="224"/>
      <c r="U150" s="339"/>
      <c r="V150" s="339"/>
      <c r="W150" s="339"/>
      <c r="X150" s="339"/>
      <c r="Y150" s="339"/>
      <c r="Z150" s="339"/>
      <c r="AA150" s="339"/>
      <c r="AB150" s="339"/>
      <c r="AC150" s="342"/>
      <c r="AD150" s="342"/>
      <c r="AE150" s="342"/>
      <c r="AF150" s="342"/>
      <c r="AG150" s="332"/>
    </row>
    <row r="151" spans="1:33" s="333" customFormat="1" ht="18" customHeight="1">
      <c r="A151" s="337"/>
      <c r="B151" s="369" t="s">
        <v>1287</v>
      </c>
      <c r="C151" s="370">
        <v>1</v>
      </c>
      <c r="D151" s="225">
        <v>1</v>
      </c>
      <c r="E151" s="225">
        <v>1</v>
      </c>
      <c r="F151" s="225">
        <v>1</v>
      </c>
      <c r="G151" s="371">
        <v>4.8</v>
      </c>
      <c r="H151" s="371">
        <v>4.8</v>
      </c>
      <c r="I151" s="371">
        <v>4</v>
      </c>
      <c r="J151" s="223" t="s">
        <v>1283</v>
      </c>
      <c r="K151" s="371">
        <v>4</v>
      </c>
      <c r="L151" s="223" t="s">
        <v>1283</v>
      </c>
      <c r="M151" s="371">
        <v>4</v>
      </c>
      <c r="N151" s="223" t="s">
        <v>1283</v>
      </c>
      <c r="O151" s="371">
        <v>4</v>
      </c>
      <c r="P151" s="223" t="s">
        <v>1283</v>
      </c>
      <c r="Q151" s="337">
        <v>30</v>
      </c>
      <c r="S151" s="224"/>
      <c r="T151" s="224"/>
      <c r="U151" s="339"/>
      <c r="V151" s="339"/>
      <c r="W151" s="339"/>
      <c r="X151" s="339"/>
      <c r="Y151" s="339"/>
      <c r="Z151" s="339"/>
      <c r="AA151" s="339"/>
      <c r="AB151" s="339"/>
      <c r="AC151" s="342"/>
      <c r="AD151" s="342"/>
      <c r="AE151" s="342"/>
      <c r="AF151" s="342"/>
      <c r="AG151" s="332"/>
    </row>
    <row r="152" spans="1:33" s="333" customFormat="1" ht="18" customHeight="1">
      <c r="A152" s="337"/>
      <c r="B152" s="340" t="s">
        <v>1270</v>
      </c>
      <c r="C152" s="223">
        <v>1</v>
      </c>
      <c r="D152" s="223">
        <v>1</v>
      </c>
      <c r="E152" s="224">
        <v>1</v>
      </c>
      <c r="F152" s="224">
        <v>1</v>
      </c>
      <c r="G152" s="223">
        <v>2</v>
      </c>
      <c r="H152" s="223">
        <v>2</v>
      </c>
      <c r="I152" s="223">
        <v>4</v>
      </c>
      <c r="J152" s="223" t="s">
        <v>1283</v>
      </c>
      <c r="K152" s="223">
        <v>4</v>
      </c>
      <c r="L152" s="223" t="s">
        <v>1283</v>
      </c>
      <c r="M152" s="223">
        <v>4</v>
      </c>
      <c r="N152" s="223" t="s">
        <v>1283</v>
      </c>
      <c r="O152" s="223">
        <v>4</v>
      </c>
      <c r="P152" s="223" t="s">
        <v>1283</v>
      </c>
      <c r="Q152" s="337">
        <v>30</v>
      </c>
      <c r="S152" s="224"/>
      <c r="T152" s="224"/>
      <c r="U152" s="339"/>
      <c r="V152" s="339"/>
      <c r="W152" s="339"/>
      <c r="X152" s="339"/>
      <c r="Y152" s="339"/>
      <c r="Z152" s="339"/>
      <c r="AA152" s="339"/>
      <c r="AB152" s="339"/>
      <c r="AC152" s="342"/>
      <c r="AD152" s="342"/>
      <c r="AE152" s="342"/>
      <c r="AF152" s="342"/>
      <c r="AG152" s="332"/>
    </row>
    <row r="153" spans="1:33" s="333" customFormat="1" ht="18" customHeight="1">
      <c r="A153" s="337"/>
      <c r="B153" s="353" t="s">
        <v>1288</v>
      </c>
      <c r="C153" s="354"/>
      <c r="D153" s="354"/>
      <c r="E153" s="354"/>
      <c r="F153" s="354"/>
      <c r="G153" s="354"/>
      <c r="H153" s="354"/>
      <c r="I153" s="355"/>
      <c r="J153" s="355"/>
      <c r="K153" s="356"/>
      <c r="L153" s="53"/>
      <c r="M153" s="53"/>
      <c r="N153" s="354"/>
      <c r="O153" s="354"/>
      <c r="P153" s="354"/>
      <c r="Q153" s="354"/>
      <c r="R153" s="354"/>
      <c r="S153" s="354"/>
      <c r="T153" s="354"/>
      <c r="U153" s="339"/>
      <c r="V153" s="339"/>
      <c r="W153" s="339"/>
      <c r="X153" s="339"/>
      <c r="Y153" s="339"/>
      <c r="Z153" s="339"/>
      <c r="AA153" s="339"/>
      <c r="AB153" s="339"/>
      <c r="AC153" s="342"/>
      <c r="AD153" s="342"/>
      <c r="AE153" s="342"/>
      <c r="AF153" s="342"/>
      <c r="AG153" s="332"/>
    </row>
    <row r="154" spans="1:33" s="333" customFormat="1" ht="18" customHeight="1">
      <c r="A154" s="337"/>
      <c r="B154" s="345" t="s">
        <v>337</v>
      </c>
      <c r="C154" s="223"/>
      <c r="D154" s="223"/>
      <c r="E154" s="224">
        <v>1</v>
      </c>
      <c r="F154" s="224">
        <v>1</v>
      </c>
      <c r="G154" s="223">
        <v>1.2</v>
      </c>
      <c r="H154" s="223">
        <v>1.2</v>
      </c>
      <c r="I154" s="223"/>
      <c r="J154" s="223"/>
      <c r="K154" s="357"/>
      <c r="L154" s="224">
        <v>0</v>
      </c>
      <c r="M154" s="224"/>
      <c r="N154" s="224">
        <v>0</v>
      </c>
      <c r="O154" s="224"/>
      <c r="P154" s="224">
        <v>0</v>
      </c>
      <c r="Q154" s="337">
        <v>30</v>
      </c>
      <c r="R154" s="224">
        <v>0</v>
      </c>
      <c r="S154" s="224"/>
      <c r="T154" s="224"/>
      <c r="U154" s="339"/>
      <c r="V154" s="339"/>
      <c r="W154" s="339"/>
      <c r="X154" s="339"/>
      <c r="Y154" s="339"/>
      <c r="Z154" s="339"/>
      <c r="AA154" s="339"/>
      <c r="AB154" s="339"/>
      <c r="AC154" s="342"/>
      <c r="AD154" s="342"/>
      <c r="AE154" s="342"/>
      <c r="AF154" s="342"/>
      <c r="AG154" s="332"/>
    </row>
    <row r="155" spans="1:33" s="333" customFormat="1" ht="18" customHeight="1">
      <c r="A155" s="337"/>
      <c r="B155" s="372" t="s">
        <v>377</v>
      </c>
      <c r="C155" s="237">
        <v>2</v>
      </c>
      <c r="D155" s="237">
        <v>2</v>
      </c>
      <c r="E155" s="14">
        <v>2</v>
      </c>
      <c r="F155" s="14">
        <v>2</v>
      </c>
      <c r="G155" s="237">
        <f>0.56*2</f>
        <v>1.1200000000000001</v>
      </c>
      <c r="H155" s="237">
        <f>0.56*2</f>
        <v>1.1200000000000001</v>
      </c>
      <c r="I155" s="237"/>
      <c r="J155" s="237"/>
      <c r="K155" s="373"/>
      <c r="L155" s="14"/>
      <c r="M155" s="14"/>
      <c r="N155" s="14"/>
      <c r="O155" s="14"/>
      <c r="P155" s="14">
        <v>24</v>
      </c>
      <c r="Q155" s="337">
        <v>30</v>
      </c>
      <c r="R155" s="224">
        <v>1</v>
      </c>
      <c r="S155" s="224"/>
      <c r="T155" s="224"/>
      <c r="U155" s="339"/>
      <c r="V155" s="339"/>
      <c r="W155" s="339"/>
      <c r="X155" s="339"/>
      <c r="Y155" s="339"/>
      <c r="Z155" s="339"/>
      <c r="AA155" s="339"/>
      <c r="AB155" s="339"/>
      <c r="AC155" s="342"/>
      <c r="AD155" s="342"/>
      <c r="AE155" s="342"/>
      <c r="AF155" s="342"/>
      <c r="AG155" s="332"/>
    </row>
    <row r="156" spans="1:33" s="333" customFormat="1" ht="18" customHeight="1">
      <c r="A156" s="337"/>
      <c r="B156" s="365" t="s">
        <v>298</v>
      </c>
      <c r="C156" s="237">
        <v>1</v>
      </c>
      <c r="D156" s="237">
        <v>1</v>
      </c>
      <c r="E156" s="14">
        <v>1</v>
      </c>
      <c r="F156" s="14">
        <v>1</v>
      </c>
      <c r="G156" s="237">
        <v>1</v>
      </c>
      <c r="H156" s="237">
        <v>1</v>
      </c>
      <c r="I156" s="237"/>
      <c r="J156" s="237"/>
      <c r="K156" s="374"/>
      <c r="L156" s="14"/>
      <c r="M156" s="14"/>
      <c r="N156" s="14"/>
      <c r="O156" s="130"/>
      <c r="P156" s="14">
        <v>6</v>
      </c>
      <c r="Q156" s="337">
        <v>30</v>
      </c>
      <c r="R156" s="224">
        <v>2</v>
      </c>
      <c r="S156" s="224"/>
      <c r="T156" s="224"/>
      <c r="U156" s="339"/>
      <c r="V156" s="339"/>
      <c r="W156" s="339"/>
      <c r="X156" s="339"/>
      <c r="Y156" s="339"/>
      <c r="Z156" s="339"/>
      <c r="AA156" s="339"/>
      <c r="AB156" s="339"/>
      <c r="AC156" s="342"/>
      <c r="AD156" s="342"/>
      <c r="AE156" s="342"/>
      <c r="AF156" s="342"/>
      <c r="AG156" s="332"/>
    </row>
    <row r="157" spans="1:33" s="333" customFormat="1" ht="18" customHeight="1">
      <c r="A157" s="337"/>
      <c r="B157" s="345" t="s">
        <v>257</v>
      </c>
      <c r="C157" s="223">
        <v>1</v>
      </c>
      <c r="D157" s="223">
        <v>1</v>
      </c>
      <c r="E157" s="224">
        <v>1</v>
      </c>
      <c r="F157" s="224">
        <v>1</v>
      </c>
      <c r="G157" s="223">
        <v>2.8</v>
      </c>
      <c r="H157" s="223">
        <v>2.8</v>
      </c>
      <c r="I157" s="223">
        <v>12</v>
      </c>
      <c r="J157" s="357" t="s">
        <v>1580</v>
      </c>
      <c r="K157" s="223">
        <v>24</v>
      </c>
      <c r="L157" s="357" t="s">
        <v>996</v>
      </c>
      <c r="M157" s="223">
        <v>24</v>
      </c>
      <c r="N157" s="357" t="s">
        <v>996</v>
      </c>
      <c r="O157" s="223">
        <v>24</v>
      </c>
      <c r="P157" s="357" t="s">
        <v>996</v>
      </c>
      <c r="Q157" s="337">
        <v>30</v>
      </c>
      <c r="R157" s="224">
        <v>3</v>
      </c>
      <c r="S157" s="224"/>
      <c r="T157" s="224"/>
      <c r="U157" s="339"/>
      <c r="V157" s="339"/>
      <c r="W157" s="339"/>
      <c r="X157" s="339"/>
      <c r="Y157" s="339"/>
      <c r="Z157" s="339"/>
      <c r="AA157" s="339"/>
      <c r="AB157" s="339"/>
      <c r="AC157" s="342"/>
      <c r="AD157" s="342"/>
      <c r="AE157" s="342"/>
      <c r="AF157" s="342"/>
      <c r="AG157" s="332"/>
    </row>
    <row r="158" spans="1:33" s="333" customFormat="1" ht="18" customHeight="1">
      <c r="A158" s="337"/>
      <c r="B158" s="345" t="s">
        <v>258</v>
      </c>
      <c r="C158" s="223">
        <v>1</v>
      </c>
      <c r="D158" s="223">
        <v>1</v>
      </c>
      <c r="E158" s="224">
        <v>1</v>
      </c>
      <c r="F158" s="224">
        <v>1</v>
      </c>
      <c r="G158" s="223">
        <v>4.2</v>
      </c>
      <c r="H158" s="223">
        <v>4.2</v>
      </c>
      <c r="I158" s="223">
        <v>24</v>
      </c>
      <c r="J158" s="357" t="s">
        <v>996</v>
      </c>
      <c r="K158" s="223">
        <v>24</v>
      </c>
      <c r="L158" s="357" t="s">
        <v>996</v>
      </c>
      <c r="M158" s="223">
        <v>24</v>
      </c>
      <c r="N158" s="357" t="s">
        <v>996</v>
      </c>
      <c r="O158" s="223">
        <v>24</v>
      </c>
      <c r="P158" s="357" t="s">
        <v>996</v>
      </c>
      <c r="Q158" s="337">
        <v>30</v>
      </c>
      <c r="R158" s="224">
        <v>4</v>
      </c>
      <c r="S158" s="224"/>
      <c r="T158" s="224"/>
      <c r="U158" s="339"/>
      <c r="V158" s="339"/>
      <c r="W158" s="339"/>
      <c r="X158" s="339"/>
      <c r="Y158" s="339"/>
      <c r="Z158" s="339"/>
      <c r="AA158" s="339"/>
      <c r="AB158" s="339"/>
      <c r="AC158" s="342"/>
      <c r="AD158" s="342"/>
      <c r="AE158" s="342"/>
      <c r="AF158" s="342"/>
      <c r="AG158" s="332"/>
    </row>
    <row r="159" spans="1:33" s="333" customFormat="1" ht="18" customHeight="1">
      <c r="A159" s="337"/>
      <c r="B159" s="345" t="s">
        <v>372</v>
      </c>
      <c r="C159" s="223">
        <v>1</v>
      </c>
      <c r="D159" s="223">
        <v>1</v>
      </c>
      <c r="E159" s="224">
        <v>1</v>
      </c>
      <c r="F159" s="224">
        <v>1</v>
      </c>
      <c r="G159" s="223">
        <v>2.2000000000000002</v>
      </c>
      <c r="H159" s="223">
        <v>2.2000000000000002</v>
      </c>
      <c r="I159" s="223">
        <v>0</v>
      </c>
      <c r="J159" s="223"/>
      <c r="K159" s="357">
        <v>0</v>
      </c>
      <c r="L159" s="224">
        <v>8</v>
      </c>
      <c r="M159" s="224">
        <v>8</v>
      </c>
      <c r="N159" s="341" t="s">
        <v>1023</v>
      </c>
      <c r="O159" s="224">
        <v>8</v>
      </c>
      <c r="P159" s="341" t="s">
        <v>1023</v>
      </c>
      <c r="Q159" s="337">
        <v>30</v>
      </c>
      <c r="R159" s="224">
        <v>5</v>
      </c>
      <c r="S159" s="224"/>
      <c r="T159" s="224"/>
      <c r="U159" s="339"/>
      <c r="V159" s="339"/>
      <c r="W159" s="339"/>
      <c r="X159" s="339"/>
      <c r="Y159" s="339"/>
      <c r="Z159" s="339"/>
      <c r="AA159" s="339"/>
      <c r="AB159" s="339"/>
      <c r="AC159" s="342"/>
      <c r="AD159" s="342"/>
      <c r="AE159" s="342"/>
      <c r="AF159" s="342"/>
      <c r="AG159" s="332"/>
    </row>
    <row r="160" spans="1:33" s="333" customFormat="1" ht="18" customHeight="1">
      <c r="A160" s="337"/>
      <c r="B160" s="366" t="s">
        <v>1285</v>
      </c>
      <c r="C160" s="367">
        <v>2</v>
      </c>
      <c r="D160" s="367">
        <v>2</v>
      </c>
      <c r="E160" s="367">
        <v>2</v>
      </c>
      <c r="F160" s="367">
        <v>2</v>
      </c>
      <c r="G160" s="368">
        <v>12</v>
      </c>
      <c r="H160" s="368">
        <v>12</v>
      </c>
      <c r="I160" s="368">
        <v>0</v>
      </c>
      <c r="J160" s="226"/>
      <c r="K160" s="224">
        <v>8</v>
      </c>
      <c r="L160" s="341" t="s">
        <v>1023</v>
      </c>
      <c r="M160" s="226">
        <v>8</v>
      </c>
      <c r="N160" s="341" t="s">
        <v>1023</v>
      </c>
      <c r="O160" s="226">
        <v>8</v>
      </c>
      <c r="P160" s="341" t="s">
        <v>1023</v>
      </c>
      <c r="Q160" s="337">
        <v>30</v>
      </c>
      <c r="R160" s="224">
        <v>6</v>
      </c>
      <c r="S160" s="224"/>
      <c r="T160" s="224"/>
      <c r="U160" s="339"/>
      <c r="V160" s="339"/>
      <c r="W160" s="339"/>
      <c r="X160" s="339"/>
      <c r="Y160" s="339"/>
      <c r="Z160" s="339"/>
      <c r="AA160" s="339"/>
      <c r="AB160" s="339"/>
      <c r="AC160" s="342"/>
      <c r="AD160" s="342"/>
      <c r="AE160" s="342"/>
      <c r="AF160" s="342"/>
      <c r="AG160" s="332"/>
    </row>
    <row r="161" spans="1:33" s="333" customFormat="1" ht="18" customHeight="1">
      <c r="A161" s="337"/>
      <c r="B161" s="222" t="s">
        <v>378</v>
      </c>
      <c r="C161" s="223"/>
      <c r="D161" s="223">
        <v>1</v>
      </c>
      <c r="E161" s="224">
        <v>1</v>
      </c>
      <c r="F161" s="224">
        <v>1</v>
      </c>
      <c r="G161" s="223">
        <v>0.63</v>
      </c>
      <c r="H161" s="223">
        <v>0.63</v>
      </c>
      <c r="I161" s="368">
        <v>0</v>
      </c>
      <c r="J161" s="223"/>
      <c r="K161" s="226">
        <v>8</v>
      </c>
      <c r="L161" s="341" t="s">
        <v>1023</v>
      </c>
      <c r="M161" s="224">
        <v>8</v>
      </c>
      <c r="N161" s="341" t="s">
        <v>1023</v>
      </c>
      <c r="O161" s="224">
        <v>8</v>
      </c>
      <c r="P161" s="341" t="s">
        <v>1023</v>
      </c>
      <c r="Q161" s="337">
        <v>30</v>
      </c>
      <c r="R161" s="224">
        <v>7</v>
      </c>
      <c r="S161" s="224"/>
      <c r="T161" s="224"/>
      <c r="U161" s="339"/>
      <c r="V161" s="339"/>
      <c r="W161" s="339"/>
      <c r="X161" s="339"/>
      <c r="Y161" s="339"/>
      <c r="Z161" s="339"/>
      <c r="AA161" s="339"/>
      <c r="AB161" s="339"/>
      <c r="AC161" s="342"/>
      <c r="AD161" s="342"/>
      <c r="AE161" s="342"/>
      <c r="AF161" s="342"/>
      <c r="AG161" s="332"/>
    </row>
    <row r="162" spans="1:33" s="333" customFormat="1" ht="18" customHeight="1">
      <c r="A162" s="337"/>
      <c r="B162" s="222" t="s">
        <v>379</v>
      </c>
      <c r="C162" s="223"/>
      <c r="D162" s="223">
        <v>1</v>
      </c>
      <c r="E162" s="224">
        <v>1</v>
      </c>
      <c r="F162" s="224">
        <v>1</v>
      </c>
      <c r="G162" s="223">
        <v>0.56000000000000005</v>
      </c>
      <c r="H162" s="223">
        <v>0.56000000000000005</v>
      </c>
      <c r="I162" s="368">
        <v>0</v>
      </c>
      <c r="J162" s="223"/>
      <c r="K162" s="224">
        <v>8</v>
      </c>
      <c r="L162" s="341" t="s">
        <v>1023</v>
      </c>
      <c r="M162" s="224">
        <v>8</v>
      </c>
      <c r="N162" s="341" t="s">
        <v>1023</v>
      </c>
      <c r="O162" s="224">
        <v>8</v>
      </c>
      <c r="P162" s="341" t="s">
        <v>1023</v>
      </c>
      <c r="Q162" s="337">
        <v>30</v>
      </c>
      <c r="R162" s="224">
        <v>8</v>
      </c>
      <c r="S162" s="224"/>
      <c r="T162" s="224"/>
      <c r="U162" s="339"/>
      <c r="V162" s="339"/>
      <c r="W162" s="339"/>
      <c r="X162" s="339"/>
      <c r="Y162" s="339"/>
      <c r="Z162" s="339"/>
      <c r="AA162" s="339"/>
      <c r="AB162" s="339"/>
      <c r="AC162" s="342"/>
      <c r="AD162" s="342"/>
      <c r="AE162" s="342"/>
      <c r="AF162" s="342"/>
      <c r="AG162" s="332"/>
    </row>
    <row r="163" spans="1:33" s="333" customFormat="1" ht="18" customHeight="1">
      <c r="A163" s="337"/>
      <c r="B163" s="340" t="s">
        <v>1270</v>
      </c>
      <c r="C163" s="223"/>
      <c r="D163" s="223">
        <v>0</v>
      </c>
      <c r="E163" s="224">
        <v>1</v>
      </c>
      <c r="F163" s="224">
        <v>1</v>
      </c>
      <c r="G163" s="223">
        <v>2</v>
      </c>
      <c r="H163" s="223">
        <v>2</v>
      </c>
      <c r="I163" s="368">
        <v>0</v>
      </c>
      <c r="J163" s="223"/>
      <c r="K163" s="224">
        <v>8</v>
      </c>
      <c r="L163" s="341" t="s">
        <v>1023</v>
      </c>
      <c r="M163" s="224">
        <v>8</v>
      </c>
      <c r="N163" s="341" t="s">
        <v>1023</v>
      </c>
      <c r="O163" s="224">
        <v>8</v>
      </c>
      <c r="P163" s="341" t="s">
        <v>1023</v>
      </c>
      <c r="Q163" s="337">
        <v>30</v>
      </c>
      <c r="R163" s="224">
        <v>9</v>
      </c>
      <c r="S163" s="224"/>
      <c r="T163" s="224"/>
      <c r="U163" s="339"/>
      <c r="V163" s="339"/>
      <c r="W163" s="339"/>
      <c r="X163" s="339"/>
      <c r="Y163" s="339"/>
      <c r="Z163" s="339"/>
      <c r="AA163" s="339"/>
      <c r="AB163" s="339"/>
      <c r="AC163" s="342"/>
      <c r="AD163" s="342"/>
      <c r="AE163" s="342"/>
      <c r="AF163" s="342"/>
      <c r="AG163" s="332"/>
    </row>
    <row r="164" spans="1:33" s="333" customFormat="1" ht="18" customHeight="1">
      <c r="A164" s="337"/>
      <c r="B164" s="375" t="s">
        <v>1289</v>
      </c>
      <c r="C164" s="803"/>
      <c r="D164" s="804"/>
      <c r="E164" s="804"/>
      <c r="F164" s="804"/>
      <c r="G164" s="804"/>
      <c r="H164" s="805"/>
      <c r="I164" s="371"/>
      <c r="J164" s="226"/>
      <c r="K164" s="224"/>
      <c r="L164" s="341"/>
      <c r="M164" s="226"/>
      <c r="N164" s="226"/>
      <c r="O164" s="226"/>
      <c r="P164" s="226"/>
      <c r="Q164" s="227"/>
      <c r="R164" s="227"/>
      <c r="S164" s="225"/>
      <c r="T164" s="228"/>
      <c r="U164" s="339"/>
      <c r="V164" s="339"/>
      <c r="W164" s="339"/>
      <c r="X164" s="339"/>
      <c r="Y164" s="339"/>
      <c r="Z164" s="339"/>
      <c r="AA164" s="339"/>
      <c r="AB164" s="339"/>
      <c r="AC164" s="342"/>
      <c r="AD164" s="342"/>
      <c r="AE164" s="342"/>
      <c r="AF164" s="342"/>
      <c r="AG164" s="332"/>
    </row>
    <row r="165" spans="1:33" s="333" customFormat="1" ht="18" customHeight="1">
      <c r="A165" s="337"/>
      <c r="B165" s="369" t="s">
        <v>1290</v>
      </c>
      <c r="C165" s="370">
        <v>1</v>
      </c>
      <c r="D165" s="227">
        <v>1</v>
      </c>
      <c r="E165" s="227">
        <v>1</v>
      </c>
      <c r="F165" s="227">
        <v>1</v>
      </c>
      <c r="G165" s="371">
        <v>18</v>
      </c>
      <c r="H165" s="371">
        <v>18</v>
      </c>
      <c r="I165" s="226">
        <v>4</v>
      </c>
      <c r="J165" s="227" t="s">
        <v>1122</v>
      </c>
      <c r="K165" s="226">
        <v>4</v>
      </c>
      <c r="L165" s="227" t="s">
        <v>1122</v>
      </c>
      <c r="M165" s="226">
        <v>4</v>
      </c>
      <c r="N165" s="227" t="s">
        <v>1122</v>
      </c>
      <c r="O165" s="226">
        <v>4</v>
      </c>
      <c r="P165" s="227" t="s">
        <v>1122</v>
      </c>
      <c r="Q165" s="337">
        <v>30</v>
      </c>
      <c r="R165" s="226"/>
      <c r="S165" s="227"/>
      <c r="T165" s="228"/>
      <c r="U165" s="339"/>
      <c r="V165" s="339"/>
      <c r="W165" s="339"/>
      <c r="X165" s="339"/>
      <c r="Y165" s="339"/>
      <c r="Z165" s="339"/>
      <c r="AA165" s="339"/>
      <c r="AB165" s="339"/>
      <c r="AC165" s="342"/>
      <c r="AD165" s="342"/>
      <c r="AE165" s="342"/>
      <c r="AF165" s="342"/>
      <c r="AG165" s="332"/>
    </row>
    <row r="166" spans="1:33" s="333" customFormat="1" ht="18" customHeight="1">
      <c r="A166" s="337"/>
      <c r="B166" s="366" t="s">
        <v>1285</v>
      </c>
      <c r="C166" s="367">
        <v>2</v>
      </c>
      <c r="D166" s="367">
        <v>2</v>
      </c>
      <c r="E166" s="367">
        <v>2</v>
      </c>
      <c r="F166" s="367">
        <v>2</v>
      </c>
      <c r="G166" s="368">
        <v>12</v>
      </c>
      <c r="H166" s="368">
        <v>12</v>
      </c>
      <c r="I166" s="226">
        <v>3</v>
      </c>
      <c r="J166" s="229" t="s">
        <v>1291</v>
      </c>
      <c r="K166" s="226">
        <v>3</v>
      </c>
      <c r="L166" s="229" t="s">
        <v>1291</v>
      </c>
      <c r="M166" s="226">
        <v>3</v>
      </c>
      <c r="N166" s="229" t="s">
        <v>1291</v>
      </c>
      <c r="O166" s="226">
        <v>3</v>
      </c>
      <c r="P166" s="229" t="s">
        <v>1291</v>
      </c>
      <c r="Q166" s="337">
        <v>30</v>
      </c>
      <c r="R166" s="226"/>
      <c r="S166" s="227"/>
      <c r="T166" s="228"/>
      <c r="U166" s="339"/>
      <c r="V166" s="339"/>
      <c r="W166" s="339"/>
      <c r="X166" s="339"/>
      <c r="Y166" s="339"/>
      <c r="Z166" s="339"/>
      <c r="AA166" s="339"/>
      <c r="AB166" s="339"/>
      <c r="AC166" s="342"/>
      <c r="AD166" s="342"/>
      <c r="AE166" s="342"/>
      <c r="AF166" s="342"/>
      <c r="AG166" s="332"/>
    </row>
    <row r="167" spans="1:33" s="333" customFormat="1" ht="18" customHeight="1">
      <c r="A167" s="337"/>
      <c r="B167" s="369" t="s">
        <v>1287</v>
      </c>
      <c r="C167" s="370">
        <v>1</v>
      </c>
      <c r="D167" s="225">
        <v>1</v>
      </c>
      <c r="E167" s="225">
        <v>1</v>
      </c>
      <c r="F167" s="225">
        <v>1</v>
      </c>
      <c r="G167" s="371">
        <v>4.8</v>
      </c>
      <c r="H167" s="371">
        <v>4.8</v>
      </c>
      <c r="I167" s="230">
        <v>2</v>
      </c>
      <c r="J167" s="231" t="s">
        <v>1292</v>
      </c>
      <c r="K167" s="230">
        <v>2</v>
      </c>
      <c r="L167" s="231" t="s">
        <v>1292</v>
      </c>
      <c r="M167" s="230">
        <v>2</v>
      </c>
      <c r="N167" s="231" t="s">
        <v>1292</v>
      </c>
      <c r="O167" s="230">
        <v>2</v>
      </c>
      <c r="P167" s="231" t="s">
        <v>1292</v>
      </c>
      <c r="Q167" s="337">
        <v>30</v>
      </c>
      <c r="R167" s="226"/>
      <c r="S167" s="227"/>
      <c r="T167" s="228"/>
      <c r="U167" s="339"/>
      <c r="V167" s="339"/>
      <c r="W167" s="339"/>
      <c r="X167" s="339"/>
      <c r="Y167" s="339"/>
      <c r="Z167" s="339"/>
      <c r="AA167" s="339"/>
      <c r="AB167" s="339"/>
      <c r="AC167" s="342"/>
      <c r="AD167" s="342"/>
      <c r="AE167" s="342"/>
      <c r="AF167" s="342"/>
      <c r="AG167" s="332"/>
    </row>
    <row r="168" spans="1:33" s="333" customFormat="1" ht="18" customHeight="1">
      <c r="A168" s="337"/>
      <c r="B168" s="340" t="s">
        <v>1293</v>
      </c>
      <c r="C168" s="223">
        <v>1</v>
      </c>
      <c r="D168" s="223">
        <v>1</v>
      </c>
      <c r="E168" s="224">
        <v>1</v>
      </c>
      <c r="F168" s="224">
        <v>1</v>
      </c>
      <c r="G168" s="223">
        <v>1.2</v>
      </c>
      <c r="H168" s="223">
        <v>1.2</v>
      </c>
      <c r="I168" s="224">
        <v>4</v>
      </c>
      <c r="J168" s="224" t="s">
        <v>1236</v>
      </c>
      <c r="K168" s="224">
        <v>4</v>
      </c>
      <c r="L168" s="224" t="s">
        <v>1236</v>
      </c>
      <c r="M168" s="224">
        <v>4</v>
      </c>
      <c r="N168" s="224" t="s">
        <v>1236</v>
      </c>
      <c r="O168" s="224">
        <v>4</v>
      </c>
      <c r="P168" s="224" t="s">
        <v>1236</v>
      </c>
      <c r="Q168" s="337">
        <v>30</v>
      </c>
      <c r="R168" s="226"/>
      <c r="S168" s="227"/>
      <c r="T168" s="228"/>
      <c r="U168" s="339"/>
      <c r="V168" s="339"/>
      <c r="W168" s="339"/>
      <c r="X168" s="339"/>
      <c r="Y168" s="339"/>
      <c r="Z168" s="339"/>
      <c r="AA168" s="339"/>
      <c r="AB168" s="339"/>
      <c r="AC168" s="342"/>
      <c r="AD168" s="342"/>
      <c r="AE168" s="342"/>
      <c r="AF168" s="342"/>
      <c r="AG168" s="332"/>
    </row>
    <row r="169" spans="1:33" s="333" customFormat="1" ht="18" customHeight="1">
      <c r="A169" s="337"/>
      <c r="B169" s="340" t="s">
        <v>299</v>
      </c>
      <c r="C169" s="223">
        <v>1</v>
      </c>
      <c r="D169" s="223">
        <v>1</v>
      </c>
      <c r="E169" s="224">
        <v>1</v>
      </c>
      <c r="F169" s="224">
        <v>1</v>
      </c>
      <c r="G169" s="223">
        <v>1.4</v>
      </c>
      <c r="H169" s="223">
        <v>1.4</v>
      </c>
      <c r="I169" s="224">
        <v>6</v>
      </c>
      <c r="J169" s="224">
        <v>6</v>
      </c>
      <c r="K169" s="224">
        <v>6</v>
      </c>
      <c r="L169" s="224">
        <v>6</v>
      </c>
      <c r="M169" s="224">
        <v>6</v>
      </c>
      <c r="N169" s="224">
        <v>6</v>
      </c>
      <c r="O169" s="224">
        <v>6</v>
      </c>
      <c r="P169" s="224">
        <v>6</v>
      </c>
      <c r="Q169" s="337">
        <v>30</v>
      </c>
      <c r="R169" s="226"/>
      <c r="S169" s="227"/>
      <c r="T169" s="228"/>
      <c r="U169" s="339"/>
      <c r="V169" s="339"/>
      <c r="W169" s="339"/>
      <c r="X169" s="339"/>
      <c r="Y169" s="339"/>
      <c r="Z169" s="339"/>
      <c r="AA169" s="339"/>
      <c r="AB169" s="339"/>
      <c r="AC169" s="342"/>
      <c r="AD169" s="342"/>
      <c r="AE169" s="342"/>
      <c r="AF169" s="342"/>
      <c r="AG169" s="332"/>
    </row>
    <row r="170" spans="1:33" s="333" customFormat="1" ht="18" customHeight="1">
      <c r="A170" s="337"/>
      <c r="B170" s="345" t="s">
        <v>337</v>
      </c>
      <c r="C170" s="223">
        <v>1</v>
      </c>
      <c r="D170" s="223">
        <v>1</v>
      </c>
      <c r="E170" s="224">
        <v>1</v>
      </c>
      <c r="F170" s="224">
        <v>1</v>
      </c>
      <c r="G170" s="223">
        <v>1.2</v>
      </c>
      <c r="H170" s="223">
        <v>1.2</v>
      </c>
      <c r="I170" s="224">
        <v>0</v>
      </c>
      <c r="J170" s="224"/>
      <c r="K170" s="224">
        <v>0</v>
      </c>
      <c r="L170" s="224"/>
      <c r="M170" s="224">
        <v>0</v>
      </c>
      <c r="N170" s="224"/>
      <c r="O170" s="224">
        <v>0</v>
      </c>
      <c r="P170" s="224"/>
      <c r="Q170" s="337">
        <v>30</v>
      </c>
      <c r="R170" s="226"/>
      <c r="S170" s="227"/>
      <c r="T170" s="228"/>
      <c r="U170" s="339"/>
      <c r="V170" s="339"/>
      <c r="W170" s="339"/>
      <c r="X170" s="339"/>
      <c r="Y170" s="339"/>
      <c r="Z170" s="339"/>
      <c r="AA170" s="339"/>
      <c r="AB170" s="339"/>
      <c r="AC170" s="342"/>
      <c r="AD170" s="342"/>
      <c r="AE170" s="342"/>
      <c r="AF170" s="342"/>
      <c r="AG170" s="332"/>
    </row>
    <row r="171" spans="1:33" s="333" customFormat="1" ht="18" customHeight="1">
      <c r="A171" s="337"/>
      <c r="B171" s="372" t="s">
        <v>377</v>
      </c>
      <c r="C171" s="237">
        <v>1</v>
      </c>
      <c r="D171" s="237">
        <v>1</v>
      </c>
      <c r="E171" s="14">
        <v>1</v>
      </c>
      <c r="F171" s="14">
        <v>1</v>
      </c>
      <c r="G171" s="237">
        <v>0.56000000000000005</v>
      </c>
      <c r="H171" s="237">
        <v>0.56000000000000005</v>
      </c>
      <c r="I171" s="14">
        <v>12</v>
      </c>
      <c r="J171" s="14" t="s">
        <v>1580</v>
      </c>
      <c r="K171" s="14">
        <v>12</v>
      </c>
      <c r="L171" s="14" t="s">
        <v>1580</v>
      </c>
      <c r="M171" s="14">
        <v>24</v>
      </c>
      <c r="N171" s="14" t="s">
        <v>996</v>
      </c>
      <c r="O171" s="14">
        <v>24</v>
      </c>
      <c r="P171" s="14" t="s">
        <v>996</v>
      </c>
      <c r="Q171" s="337">
        <v>30</v>
      </c>
      <c r="R171" s="226"/>
      <c r="S171" s="227"/>
      <c r="T171" s="228"/>
      <c r="U171" s="339"/>
      <c r="V171" s="339"/>
      <c r="W171" s="339"/>
      <c r="X171" s="339"/>
      <c r="Y171" s="339"/>
      <c r="Z171" s="339"/>
      <c r="AA171" s="339"/>
      <c r="AB171" s="339"/>
      <c r="AC171" s="342"/>
      <c r="AD171" s="342"/>
      <c r="AE171" s="342"/>
      <c r="AF171" s="342"/>
      <c r="AG171" s="332"/>
    </row>
    <row r="172" spans="1:33" s="333" customFormat="1" ht="18" customHeight="1">
      <c r="A172" s="337"/>
      <c r="B172" s="365" t="s">
        <v>298</v>
      </c>
      <c r="C172" s="237">
        <v>1</v>
      </c>
      <c r="D172" s="237">
        <v>1</v>
      </c>
      <c r="E172" s="14">
        <v>1</v>
      </c>
      <c r="F172" s="14">
        <v>1</v>
      </c>
      <c r="G172" s="237">
        <v>1</v>
      </c>
      <c r="H172" s="237">
        <v>1</v>
      </c>
      <c r="I172" s="14">
        <v>6</v>
      </c>
      <c r="J172" s="14">
        <v>6</v>
      </c>
      <c r="K172" s="14">
        <v>6</v>
      </c>
      <c r="L172" s="14">
        <v>6</v>
      </c>
      <c r="M172" s="14">
        <v>6</v>
      </c>
      <c r="N172" s="14">
        <v>6</v>
      </c>
      <c r="O172" s="14">
        <v>6</v>
      </c>
      <c r="P172" s="14">
        <v>6</v>
      </c>
      <c r="Q172" s="337">
        <v>30</v>
      </c>
      <c r="R172" s="226"/>
      <c r="S172" s="227"/>
      <c r="T172" s="228"/>
      <c r="U172" s="339"/>
      <c r="V172" s="339"/>
      <c r="W172" s="339"/>
      <c r="X172" s="339"/>
      <c r="Y172" s="339"/>
      <c r="Z172" s="339"/>
      <c r="AA172" s="339"/>
      <c r="AB172" s="339"/>
      <c r="AC172" s="342"/>
      <c r="AD172" s="342"/>
      <c r="AE172" s="342"/>
      <c r="AF172" s="342"/>
      <c r="AG172" s="332"/>
    </row>
    <row r="173" spans="1:33" s="333" customFormat="1" ht="18" customHeight="1">
      <c r="A173" s="337"/>
      <c r="B173" s="153" t="s">
        <v>1294</v>
      </c>
      <c r="C173" s="14">
        <v>1</v>
      </c>
      <c r="D173" s="14">
        <v>1</v>
      </c>
      <c r="E173" s="14">
        <v>1</v>
      </c>
      <c r="F173" s="14">
        <v>1</v>
      </c>
      <c r="G173" s="237">
        <v>0.32</v>
      </c>
      <c r="H173" s="237">
        <v>0.32</v>
      </c>
      <c r="I173" s="14">
        <v>12</v>
      </c>
      <c r="J173" s="14" t="s">
        <v>1580</v>
      </c>
      <c r="K173" s="14">
        <v>12</v>
      </c>
      <c r="L173" s="14" t="s">
        <v>1580</v>
      </c>
      <c r="M173" s="14">
        <v>24</v>
      </c>
      <c r="N173" s="14" t="s">
        <v>996</v>
      </c>
      <c r="O173" s="14">
        <v>24</v>
      </c>
      <c r="P173" s="14" t="s">
        <v>996</v>
      </c>
      <c r="Q173" s="337">
        <v>30</v>
      </c>
      <c r="R173" s="226"/>
      <c r="S173" s="227"/>
      <c r="T173" s="228"/>
      <c r="U173" s="339"/>
      <c r="V173" s="339"/>
      <c r="W173" s="339"/>
      <c r="X173" s="339"/>
      <c r="Y173" s="339"/>
      <c r="Z173" s="339"/>
      <c r="AA173" s="339"/>
      <c r="AB173" s="339"/>
      <c r="AC173" s="342"/>
      <c r="AD173" s="342"/>
      <c r="AE173" s="342"/>
      <c r="AF173" s="342"/>
      <c r="AG173" s="332"/>
    </row>
    <row r="174" spans="1:33" s="333" customFormat="1" ht="18" customHeight="1">
      <c r="A174" s="337"/>
      <c r="B174" s="372" t="s">
        <v>1295</v>
      </c>
      <c r="C174" s="237">
        <v>1</v>
      </c>
      <c r="D174" s="237">
        <v>1</v>
      </c>
      <c r="E174" s="14">
        <v>1</v>
      </c>
      <c r="F174" s="14">
        <v>1</v>
      </c>
      <c r="G174" s="237">
        <v>0.56000000000000005</v>
      </c>
      <c r="H174" s="237">
        <v>0.56000000000000005</v>
      </c>
      <c r="I174" s="14">
        <v>12</v>
      </c>
      <c r="J174" s="14" t="s">
        <v>1580</v>
      </c>
      <c r="K174" s="14">
        <v>12</v>
      </c>
      <c r="L174" s="14" t="s">
        <v>1580</v>
      </c>
      <c r="M174" s="14">
        <v>24</v>
      </c>
      <c r="N174" s="14" t="s">
        <v>996</v>
      </c>
      <c r="O174" s="14">
        <v>24</v>
      </c>
      <c r="P174" s="14" t="s">
        <v>996</v>
      </c>
      <c r="Q174" s="337">
        <v>30</v>
      </c>
      <c r="R174" s="226"/>
      <c r="S174" s="227"/>
      <c r="T174" s="228"/>
      <c r="U174" s="339"/>
      <c r="V174" s="339"/>
      <c r="W174" s="339"/>
      <c r="X174" s="339"/>
      <c r="Y174" s="339"/>
      <c r="Z174" s="339"/>
      <c r="AA174" s="339"/>
      <c r="AB174" s="339"/>
      <c r="AC174" s="342"/>
      <c r="AD174" s="342"/>
      <c r="AE174" s="342"/>
      <c r="AF174" s="342"/>
      <c r="AG174" s="332"/>
    </row>
    <row r="175" spans="1:33" s="332" customFormat="1" ht="14.25">
      <c r="A175" s="350" t="s">
        <v>24</v>
      </c>
      <c r="B175" s="376" t="s">
        <v>1296</v>
      </c>
      <c r="C175" s="364"/>
      <c r="D175" s="350"/>
      <c r="E175" s="350"/>
      <c r="F175" s="350"/>
      <c r="G175" s="364"/>
      <c r="H175" s="364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  <c r="AC175" s="352"/>
      <c r="AD175" s="352"/>
      <c r="AE175" s="352"/>
      <c r="AF175" s="352"/>
    </row>
    <row r="176" spans="1:33" s="333" customFormat="1">
      <c r="A176" s="337">
        <v>1</v>
      </c>
      <c r="B176" s="377" t="s">
        <v>293</v>
      </c>
      <c r="C176" s="378">
        <v>2</v>
      </c>
      <c r="D176" s="378">
        <v>2</v>
      </c>
      <c r="E176" s="379">
        <v>2</v>
      </c>
      <c r="F176" s="379">
        <v>2</v>
      </c>
      <c r="G176" s="378">
        <v>0.35</v>
      </c>
      <c r="H176" s="378">
        <v>0.35</v>
      </c>
      <c r="I176" s="379">
        <v>12</v>
      </c>
      <c r="J176" s="224" t="s">
        <v>1580</v>
      </c>
      <c r="K176" s="379">
        <v>12</v>
      </c>
      <c r="L176" s="224" t="s">
        <v>1580</v>
      </c>
      <c r="M176" s="14">
        <v>24</v>
      </c>
      <c r="N176" s="224" t="s">
        <v>996</v>
      </c>
      <c r="O176" s="379">
        <v>30</v>
      </c>
      <c r="P176" s="224" t="s">
        <v>996</v>
      </c>
      <c r="Q176" s="337">
        <v>30</v>
      </c>
      <c r="R176" s="337">
        <v>251.99999999999994</v>
      </c>
      <c r="S176" s="339">
        <v>251.99999999999994</v>
      </c>
      <c r="T176" s="339">
        <v>251.99999999999994</v>
      </c>
      <c r="U176" s="339">
        <v>755.99999999999989</v>
      </c>
      <c r="V176" s="339">
        <v>755.99999999999989</v>
      </c>
      <c r="W176" s="339">
        <v>251.99999999999994</v>
      </c>
      <c r="X176" s="339">
        <v>251.99999999999994</v>
      </c>
      <c r="Y176" s="339">
        <v>251.99999999999994</v>
      </c>
      <c r="Z176" s="339">
        <v>755.99999999999989</v>
      </c>
      <c r="AA176" s="339">
        <v>755.99999999999989</v>
      </c>
      <c r="AB176" s="339">
        <v>1</v>
      </c>
      <c r="AC176" s="342">
        <v>1</v>
      </c>
      <c r="AD176" s="342">
        <v>1</v>
      </c>
      <c r="AE176" s="342">
        <v>1</v>
      </c>
      <c r="AF176" s="342">
        <v>1</v>
      </c>
      <c r="AG176" s="332"/>
    </row>
    <row r="177" spans="1:33" s="333" customFormat="1">
      <c r="A177" s="337">
        <v>2</v>
      </c>
      <c r="B177" s="377" t="s">
        <v>298</v>
      </c>
      <c r="C177" s="378">
        <v>1</v>
      </c>
      <c r="D177" s="378">
        <v>1</v>
      </c>
      <c r="E177" s="379">
        <v>1</v>
      </c>
      <c r="F177" s="379">
        <v>1</v>
      </c>
      <c r="G177" s="378">
        <v>1</v>
      </c>
      <c r="H177" s="378">
        <v>1</v>
      </c>
      <c r="I177" s="379">
        <v>1</v>
      </c>
      <c r="J177" s="379" t="s">
        <v>1297</v>
      </c>
      <c r="K177" s="379">
        <v>12</v>
      </c>
      <c r="L177" s="224" t="s">
        <v>1580</v>
      </c>
      <c r="M177" s="379">
        <v>6</v>
      </c>
      <c r="N177" s="379" t="s">
        <v>1297</v>
      </c>
      <c r="O177" s="379">
        <v>6</v>
      </c>
      <c r="P177" s="379" t="s">
        <v>1297</v>
      </c>
      <c r="Q177" s="337">
        <v>30</v>
      </c>
      <c r="R177" s="337">
        <v>0</v>
      </c>
      <c r="S177" s="339">
        <v>90</v>
      </c>
      <c r="T177" s="339">
        <v>180</v>
      </c>
      <c r="U177" s="339">
        <v>180</v>
      </c>
      <c r="V177" s="339">
        <v>180</v>
      </c>
      <c r="W177" s="339">
        <v>0</v>
      </c>
      <c r="X177" s="339">
        <v>90</v>
      </c>
      <c r="Y177" s="339">
        <v>180</v>
      </c>
      <c r="Z177" s="339">
        <v>180</v>
      </c>
      <c r="AA177" s="339">
        <v>180</v>
      </c>
      <c r="AB177" s="339" t="e">
        <v>#DIV/0!</v>
      </c>
      <c r="AC177" s="342">
        <v>1</v>
      </c>
      <c r="AD177" s="342">
        <v>1</v>
      </c>
      <c r="AE177" s="342">
        <v>1</v>
      </c>
      <c r="AF177" s="342">
        <v>1</v>
      </c>
      <c r="AG177" s="332"/>
    </row>
    <row r="178" spans="1:33" s="333" customFormat="1">
      <c r="A178" s="337">
        <v>3</v>
      </c>
      <c r="B178" s="377" t="s">
        <v>313</v>
      </c>
      <c r="C178" s="378">
        <v>1</v>
      </c>
      <c r="D178" s="378">
        <v>1</v>
      </c>
      <c r="E178" s="379">
        <v>1</v>
      </c>
      <c r="F178" s="379">
        <v>1</v>
      </c>
      <c r="G178" s="378">
        <v>22</v>
      </c>
      <c r="H178" s="378">
        <v>22</v>
      </c>
      <c r="I178" s="379">
        <v>3</v>
      </c>
      <c r="J178" s="379" t="s">
        <v>1298</v>
      </c>
      <c r="K178" s="379">
        <v>12</v>
      </c>
      <c r="L178" s="224" t="s">
        <v>1580</v>
      </c>
      <c r="M178" s="379">
        <v>3</v>
      </c>
      <c r="N178" s="379" t="s">
        <v>1298</v>
      </c>
      <c r="O178" s="379">
        <v>6</v>
      </c>
      <c r="P178" s="379" t="s">
        <v>1298</v>
      </c>
      <c r="Q178" s="337">
        <v>30</v>
      </c>
      <c r="R178" s="337">
        <v>0</v>
      </c>
      <c r="S178" s="339">
        <v>17.399999999999999</v>
      </c>
      <c r="T178" s="339">
        <v>52.199999999999996</v>
      </c>
      <c r="U178" s="339">
        <v>104.39999999999999</v>
      </c>
      <c r="V178" s="339">
        <v>104.39999999999999</v>
      </c>
      <c r="W178" s="339">
        <v>0</v>
      </c>
      <c r="X178" s="339">
        <v>17.399999999999999</v>
      </c>
      <c r="Y178" s="339">
        <v>52.199999999999996</v>
      </c>
      <c r="Z178" s="339">
        <v>104.39999999999999</v>
      </c>
      <c r="AA178" s="339">
        <v>104.39999999999999</v>
      </c>
      <c r="AB178" s="339" t="e">
        <v>#DIV/0!</v>
      </c>
      <c r="AC178" s="342">
        <v>1</v>
      </c>
      <c r="AD178" s="342">
        <v>1</v>
      </c>
      <c r="AE178" s="342">
        <v>1</v>
      </c>
      <c r="AF178" s="342">
        <v>1</v>
      </c>
      <c r="AG178" s="332"/>
    </row>
    <row r="179" spans="1:33" s="333" customFormat="1">
      <c r="A179" s="337">
        <v>4</v>
      </c>
      <c r="B179" s="377" t="s">
        <v>322</v>
      </c>
      <c r="C179" s="378">
        <v>1</v>
      </c>
      <c r="D179" s="378">
        <v>1</v>
      </c>
      <c r="E179" s="379">
        <v>1</v>
      </c>
      <c r="F179" s="379">
        <v>1</v>
      </c>
      <c r="G179" s="378">
        <v>0.56000000000000005</v>
      </c>
      <c r="H179" s="378">
        <v>0.56000000000000005</v>
      </c>
      <c r="I179" s="379">
        <v>12</v>
      </c>
      <c r="J179" s="224" t="s">
        <v>1580</v>
      </c>
      <c r="K179" s="379">
        <v>12</v>
      </c>
      <c r="L179" s="224" t="s">
        <v>1580</v>
      </c>
      <c r="M179" s="14">
        <v>24</v>
      </c>
      <c r="N179" s="379" t="s">
        <v>996</v>
      </c>
      <c r="O179" s="379">
        <v>24</v>
      </c>
      <c r="P179" s="379" t="s">
        <v>996</v>
      </c>
      <c r="Q179" s="337">
        <v>30</v>
      </c>
      <c r="R179" s="337">
        <v>0</v>
      </c>
      <c r="S179" s="339">
        <v>84</v>
      </c>
      <c r="T179" s="339">
        <v>251.99999999999994</v>
      </c>
      <c r="U179" s="339">
        <v>251.99999999999994</v>
      </c>
      <c r="V179" s="339">
        <v>251.99999999999994</v>
      </c>
      <c r="W179" s="339">
        <v>0</v>
      </c>
      <c r="X179" s="339">
        <v>84</v>
      </c>
      <c r="Y179" s="339">
        <v>251.99999999999994</v>
      </c>
      <c r="Z179" s="339">
        <v>251.99999999999994</v>
      </c>
      <c r="AA179" s="339">
        <v>251.99999999999994</v>
      </c>
      <c r="AB179" s="339" t="e">
        <v>#DIV/0!</v>
      </c>
      <c r="AC179" s="342">
        <v>1</v>
      </c>
      <c r="AD179" s="342">
        <v>1</v>
      </c>
      <c r="AE179" s="342">
        <v>1</v>
      </c>
      <c r="AF179" s="342">
        <v>1</v>
      </c>
      <c r="AG179" s="332"/>
    </row>
    <row r="180" spans="1:33" s="333" customFormat="1">
      <c r="A180" s="337">
        <v>5</v>
      </c>
      <c r="B180" s="377" t="s">
        <v>327</v>
      </c>
      <c r="C180" s="378">
        <v>1</v>
      </c>
      <c r="D180" s="378">
        <v>1</v>
      </c>
      <c r="E180" s="379">
        <v>1</v>
      </c>
      <c r="F180" s="379">
        <v>1</v>
      </c>
      <c r="G180" s="378">
        <v>0.63</v>
      </c>
      <c r="H180" s="378">
        <v>0.63</v>
      </c>
      <c r="I180" s="379">
        <v>12</v>
      </c>
      <c r="J180" s="224" t="s">
        <v>1580</v>
      </c>
      <c r="K180" s="379">
        <v>12</v>
      </c>
      <c r="L180" s="224" t="s">
        <v>1580</v>
      </c>
      <c r="M180" s="14">
        <v>24</v>
      </c>
      <c r="N180" s="379" t="s">
        <v>996</v>
      </c>
      <c r="O180" s="379">
        <v>24</v>
      </c>
      <c r="P180" s="379" t="s">
        <v>996</v>
      </c>
      <c r="Q180" s="337">
        <v>30</v>
      </c>
      <c r="R180" s="337">
        <v>0</v>
      </c>
      <c r="S180" s="339">
        <v>0</v>
      </c>
      <c r="T180" s="339">
        <v>52.199999999999996</v>
      </c>
      <c r="U180" s="339">
        <v>104.39999999999999</v>
      </c>
      <c r="V180" s="339">
        <v>104.39999999999999</v>
      </c>
      <c r="W180" s="339">
        <v>0</v>
      </c>
      <c r="X180" s="339">
        <v>0</v>
      </c>
      <c r="Y180" s="339">
        <v>52.199999999999996</v>
      </c>
      <c r="Z180" s="339">
        <v>104.39999999999999</v>
      </c>
      <c r="AA180" s="339">
        <v>104.39999999999999</v>
      </c>
      <c r="AB180" s="339" t="e">
        <v>#DIV/0!</v>
      </c>
      <c r="AC180" s="342" t="e">
        <v>#DIV/0!</v>
      </c>
      <c r="AD180" s="342">
        <v>1</v>
      </c>
      <c r="AE180" s="342">
        <v>1</v>
      </c>
      <c r="AF180" s="342">
        <v>1</v>
      </c>
      <c r="AG180" s="332"/>
    </row>
    <row r="181" spans="1:33" s="333" customFormat="1">
      <c r="A181" s="337">
        <v>6</v>
      </c>
      <c r="B181" s="377" t="s">
        <v>328</v>
      </c>
      <c r="C181" s="378">
        <v>1</v>
      </c>
      <c r="D181" s="378">
        <v>1</v>
      </c>
      <c r="E181" s="379">
        <v>1</v>
      </c>
      <c r="F181" s="379">
        <v>1</v>
      </c>
      <c r="G181" s="378">
        <v>2</v>
      </c>
      <c r="H181" s="378">
        <v>2</v>
      </c>
      <c r="I181" s="379">
        <v>6</v>
      </c>
      <c r="J181" s="379" t="s">
        <v>1297</v>
      </c>
      <c r="K181" s="224">
        <v>12</v>
      </c>
      <c r="L181" s="224" t="s">
        <v>1580</v>
      </c>
      <c r="M181" s="379">
        <v>6</v>
      </c>
      <c r="N181" s="379" t="s">
        <v>1297</v>
      </c>
      <c r="O181" s="379">
        <v>6</v>
      </c>
      <c r="P181" s="379" t="s">
        <v>1297</v>
      </c>
      <c r="Q181" s="337">
        <v>30</v>
      </c>
      <c r="R181" s="337">
        <v>0</v>
      </c>
      <c r="S181" s="339">
        <v>3960</v>
      </c>
      <c r="T181" s="339">
        <v>3960</v>
      </c>
      <c r="U181" s="339">
        <v>1980</v>
      </c>
      <c r="V181" s="339">
        <v>3960</v>
      </c>
      <c r="W181" s="339">
        <v>0</v>
      </c>
      <c r="X181" s="339">
        <v>3960</v>
      </c>
      <c r="Y181" s="339">
        <v>3960</v>
      </c>
      <c r="Z181" s="339">
        <v>1980</v>
      </c>
      <c r="AA181" s="339">
        <v>3960</v>
      </c>
      <c r="AB181" s="339" t="e">
        <v>#DIV/0!</v>
      </c>
      <c r="AC181" s="342">
        <v>1</v>
      </c>
      <c r="AD181" s="342">
        <v>1</v>
      </c>
      <c r="AE181" s="342">
        <v>1</v>
      </c>
      <c r="AF181" s="342">
        <v>1</v>
      </c>
      <c r="AG181" s="332"/>
    </row>
    <row r="182" spans="1:33" s="333" customFormat="1">
      <c r="A182" s="337">
        <v>7</v>
      </c>
      <c r="B182" s="377" t="s">
        <v>336</v>
      </c>
      <c r="C182" s="378">
        <v>2</v>
      </c>
      <c r="D182" s="378">
        <v>2</v>
      </c>
      <c r="E182" s="379">
        <v>2</v>
      </c>
      <c r="F182" s="379">
        <v>2</v>
      </c>
      <c r="G182" s="378">
        <v>1.5</v>
      </c>
      <c r="H182" s="378">
        <v>1.5</v>
      </c>
      <c r="I182" s="379">
        <v>6</v>
      </c>
      <c r="J182" s="379" t="s">
        <v>1297</v>
      </c>
      <c r="K182" s="224">
        <v>12</v>
      </c>
      <c r="L182" s="224" t="s">
        <v>1580</v>
      </c>
      <c r="M182" s="379">
        <v>6</v>
      </c>
      <c r="N182" s="379" t="s">
        <v>1297</v>
      </c>
      <c r="O182" s="379">
        <v>6</v>
      </c>
      <c r="P182" s="379" t="s">
        <v>1297</v>
      </c>
      <c r="Q182" s="337">
        <v>30</v>
      </c>
      <c r="R182" s="337">
        <v>1080</v>
      </c>
      <c r="S182" s="339">
        <v>1080</v>
      </c>
      <c r="T182" s="339">
        <v>1080</v>
      </c>
      <c r="U182" s="339">
        <v>1080</v>
      </c>
      <c r="V182" s="339">
        <v>1080</v>
      </c>
      <c r="W182" s="339">
        <v>1080</v>
      </c>
      <c r="X182" s="339">
        <v>1080</v>
      </c>
      <c r="Y182" s="339">
        <v>1080</v>
      </c>
      <c r="Z182" s="339">
        <v>1080</v>
      </c>
      <c r="AA182" s="339">
        <v>1080</v>
      </c>
      <c r="AB182" s="339">
        <v>1</v>
      </c>
      <c r="AC182" s="342">
        <v>1</v>
      </c>
      <c r="AD182" s="342">
        <v>1</v>
      </c>
      <c r="AE182" s="342">
        <v>1</v>
      </c>
      <c r="AF182" s="342">
        <v>1</v>
      </c>
      <c r="AG182" s="332"/>
    </row>
    <row r="183" spans="1:33" s="333" customFormat="1">
      <c r="A183" s="337">
        <v>8</v>
      </c>
      <c r="B183" s="377" t="s">
        <v>338</v>
      </c>
      <c r="C183" s="378">
        <v>1</v>
      </c>
      <c r="D183" s="378">
        <v>1</v>
      </c>
      <c r="E183" s="379">
        <v>1</v>
      </c>
      <c r="F183" s="379">
        <v>1</v>
      </c>
      <c r="G183" s="378">
        <v>0.75</v>
      </c>
      <c r="H183" s="378">
        <v>0.75</v>
      </c>
      <c r="I183" s="379">
        <v>6</v>
      </c>
      <c r="J183" s="379" t="s">
        <v>1297</v>
      </c>
      <c r="K183" s="224">
        <v>12</v>
      </c>
      <c r="L183" s="224" t="s">
        <v>1580</v>
      </c>
      <c r="M183" s="379">
        <v>6</v>
      </c>
      <c r="N183" s="379" t="s">
        <v>1297</v>
      </c>
      <c r="O183" s="379">
        <v>6</v>
      </c>
      <c r="P183" s="379" t="s">
        <v>1297</v>
      </c>
      <c r="Q183" s="337">
        <v>30</v>
      </c>
      <c r="R183" s="337">
        <v>1080</v>
      </c>
      <c r="S183" s="339">
        <v>1080</v>
      </c>
      <c r="T183" s="339">
        <v>1080</v>
      </c>
      <c r="U183" s="339">
        <v>1080</v>
      </c>
      <c r="V183" s="339">
        <v>1080</v>
      </c>
      <c r="W183" s="339">
        <v>1080</v>
      </c>
      <c r="X183" s="339">
        <v>1080</v>
      </c>
      <c r="Y183" s="339">
        <v>1080</v>
      </c>
      <c r="Z183" s="339">
        <v>1080</v>
      </c>
      <c r="AA183" s="339">
        <v>1080</v>
      </c>
      <c r="AB183" s="339">
        <v>1</v>
      </c>
      <c r="AC183" s="342">
        <v>1</v>
      </c>
      <c r="AD183" s="342">
        <v>1</v>
      </c>
      <c r="AE183" s="342">
        <v>1</v>
      </c>
      <c r="AF183" s="342">
        <v>1</v>
      </c>
      <c r="AG183" s="332"/>
    </row>
    <row r="184" spans="1:33" s="333" customFormat="1">
      <c r="A184" s="337">
        <v>9</v>
      </c>
      <c r="B184" s="377" t="s">
        <v>382</v>
      </c>
      <c r="C184" s="378">
        <v>1</v>
      </c>
      <c r="D184" s="378">
        <v>1</v>
      </c>
      <c r="E184" s="379">
        <v>2</v>
      </c>
      <c r="F184" s="379">
        <v>2</v>
      </c>
      <c r="G184" s="378">
        <v>0.5</v>
      </c>
      <c r="H184" s="378">
        <v>0.5</v>
      </c>
      <c r="I184" s="379">
        <v>6</v>
      </c>
      <c r="J184" s="379" t="s">
        <v>1297</v>
      </c>
      <c r="K184" s="224">
        <v>12</v>
      </c>
      <c r="L184" s="224" t="s">
        <v>1580</v>
      </c>
      <c r="M184" s="379">
        <v>6</v>
      </c>
      <c r="N184" s="379" t="s">
        <v>1297</v>
      </c>
      <c r="O184" s="379">
        <v>6</v>
      </c>
      <c r="P184" s="379" t="s">
        <v>1297</v>
      </c>
      <c r="Q184" s="337">
        <v>30</v>
      </c>
      <c r="R184" s="337" t="e">
        <v>#VALUE!</v>
      </c>
      <c r="S184" s="339">
        <v>0</v>
      </c>
      <c r="T184" s="339">
        <v>0</v>
      </c>
      <c r="U184" s="339">
        <v>0</v>
      </c>
      <c r="V184" s="339">
        <v>0</v>
      </c>
      <c r="W184" s="339" t="e">
        <v>#VALUE!</v>
      </c>
      <c r="X184" s="339">
        <v>0</v>
      </c>
      <c r="Y184" s="339">
        <v>0</v>
      </c>
      <c r="Z184" s="339">
        <v>0</v>
      </c>
      <c r="AA184" s="339">
        <v>0</v>
      </c>
      <c r="AB184" s="339" t="e">
        <v>#VALUE!</v>
      </c>
      <c r="AC184" s="342" t="e">
        <v>#DIV/0!</v>
      </c>
      <c r="AD184" s="342" t="e">
        <v>#DIV/0!</v>
      </c>
      <c r="AE184" s="342" t="e">
        <v>#DIV/0!</v>
      </c>
      <c r="AF184" s="342" t="e">
        <v>#DIV/0!</v>
      </c>
      <c r="AG184" s="332"/>
    </row>
    <row r="185" spans="1:33" s="333" customFormat="1">
      <c r="A185" s="337">
        <v>10</v>
      </c>
      <c r="B185" s="377" t="s">
        <v>346</v>
      </c>
      <c r="C185" s="378">
        <v>1</v>
      </c>
      <c r="D185" s="378">
        <v>1</v>
      </c>
      <c r="E185" s="379">
        <v>1</v>
      </c>
      <c r="F185" s="379">
        <v>1</v>
      </c>
      <c r="G185" s="378">
        <v>0.73</v>
      </c>
      <c r="H185" s="378">
        <v>0.73</v>
      </c>
      <c r="I185" s="379">
        <v>2</v>
      </c>
      <c r="J185" s="379" t="s">
        <v>1299</v>
      </c>
      <c r="K185" s="379">
        <v>2</v>
      </c>
      <c r="L185" s="379" t="s">
        <v>1299</v>
      </c>
      <c r="M185" s="379">
        <v>2</v>
      </c>
      <c r="N185" s="379" t="s">
        <v>1299</v>
      </c>
      <c r="O185" s="379">
        <v>2</v>
      </c>
      <c r="P185" s="379" t="s">
        <v>1299</v>
      </c>
      <c r="Q185" s="337">
        <v>30</v>
      </c>
      <c r="R185" s="337" t="e">
        <v>#VALUE!</v>
      </c>
      <c r="S185" s="339">
        <v>0</v>
      </c>
      <c r="T185" s="339">
        <v>0</v>
      </c>
      <c r="U185" s="339">
        <v>0</v>
      </c>
      <c r="V185" s="339">
        <v>0</v>
      </c>
      <c r="W185" s="339" t="e">
        <v>#VALUE!</v>
      </c>
      <c r="X185" s="339">
        <v>0</v>
      </c>
      <c r="Y185" s="339">
        <v>0</v>
      </c>
      <c r="Z185" s="339">
        <v>0</v>
      </c>
      <c r="AA185" s="339">
        <v>0</v>
      </c>
      <c r="AB185" s="339" t="e">
        <v>#VALUE!</v>
      </c>
      <c r="AC185" s="342" t="e">
        <v>#DIV/0!</v>
      </c>
      <c r="AD185" s="342" t="e">
        <v>#DIV/0!</v>
      </c>
      <c r="AE185" s="342" t="e">
        <v>#DIV/0!</v>
      </c>
      <c r="AF185" s="342" t="e">
        <v>#DIV/0!</v>
      </c>
      <c r="AG185" s="332"/>
    </row>
    <row r="186" spans="1:33" s="333" customFormat="1">
      <c r="A186" s="337">
        <v>11</v>
      </c>
      <c r="B186" s="377" t="s">
        <v>1300</v>
      </c>
      <c r="C186" s="378">
        <v>1</v>
      </c>
      <c r="D186" s="378">
        <v>1</v>
      </c>
      <c r="E186" s="379">
        <v>1</v>
      </c>
      <c r="F186" s="379">
        <v>1</v>
      </c>
      <c r="G186" s="378">
        <v>0.5</v>
      </c>
      <c r="H186" s="378">
        <v>0.5</v>
      </c>
      <c r="I186" s="379">
        <v>12</v>
      </c>
      <c r="J186" s="224" t="s">
        <v>1580</v>
      </c>
      <c r="K186" s="379">
        <v>12</v>
      </c>
      <c r="L186" s="224" t="s">
        <v>1580</v>
      </c>
      <c r="M186" s="14">
        <v>24</v>
      </c>
      <c r="N186" s="379" t="s">
        <v>1133</v>
      </c>
      <c r="O186" s="379">
        <v>24</v>
      </c>
      <c r="P186" s="379" t="s">
        <v>1133</v>
      </c>
      <c r="Q186" s="337">
        <v>30</v>
      </c>
      <c r="R186" s="337" t="e">
        <v>#VALUE!</v>
      </c>
      <c r="S186" s="339">
        <v>0</v>
      </c>
      <c r="T186" s="339">
        <v>0</v>
      </c>
      <c r="U186" s="339">
        <v>0</v>
      </c>
      <c r="V186" s="339">
        <v>0</v>
      </c>
      <c r="W186" s="339" t="e">
        <v>#VALUE!</v>
      </c>
      <c r="X186" s="339">
        <v>0</v>
      </c>
      <c r="Y186" s="339">
        <v>0</v>
      </c>
      <c r="Z186" s="339">
        <v>0</v>
      </c>
      <c r="AA186" s="339">
        <v>0</v>
      </c>
      <c r="AB186" s="339" t="e">
        <v>#VALUE!</v>
      </c>
      <c r="AC186" s="342" t="e">
        <v>#DIV/0!</v>
      </c>
      <c r="AD186" s="342" t="e">
        <v>#DIV/0!</v>
      </c>
      <c r="AE186" s="342" t="e">
        <v>#DIV/0!</v>
      </c>
      <c r="AF186" s="342" t="e">
        <v>#DIV/0!</v>
      </c>
      <c r="AG186" s="332"/>
    </row>
    <row r="187" spans="1:33" s="333" customFormat="1">
      <c r="A187" s="337">
        <v>12</v>
      </c>
      <c r="B187" s="377" t="s">
        <v>1301</v>
      </c>
      <c r="C187" s="378">
        <v>1</v>
      </c>
      <c r="D187" s="378">
        <v>1</v>
      </c>
      <c r="E187" s="379">
        <v>1</v>
      </c>
      <c r="F187" s="379">
        <v>1</v>
      </c>
      <c r="G187" s="378">
        <v>0.5</v>
      </c>
      <c r="H187" s="378">
        <v>0.5</v>
      </c>
      <c r="I187" s="379">
        <v>8</v>
      </c>
      <c r="J187" s="379" t="s">
        <v>1297</v>
      </c>
      <c r="K187" s="379">
        <v>8</v>
      </c>
      <c r="L187" s="379" t="s">
        <v>1297</v>
      </c>
      <c r="M187" s="379">
        <v>8</v>
      </c>
      <c r="N187" s="379" t="s">
        <v>1297</v>
      </c>
      <c r="O187" s="379">
        <v>8</v>
      </c>
      <c r="P187" s="379" t="s">
        <v>1297</v>
      </c>
      <c r="Q187" s="337">
        <v>30</v>
      </c>
      <c r="R187" s="337">
        <v>0</v>
      </c>
      <c r="S187" s="339">
        <v>0</v>
      </c>
      <c r="T187" s="339">
        <v>0</v>
      </c>
      <c r="U187" s="339">
        <v>0</v>
      </c>
      <c r="V187" s="339">
        <v>0</v>
      </c>
      <c r="W187" s="339">
        <v>0</v>
      </c>
      <c r="X187" s="339">
        <v>0</v>
      </c>
      <c r="Y187" s="339">
        <v>0</v>
      </c>
      <c r="Z187" s="339">
        <v>0</v>
      </c>
      <c r="AA187" s="339">
        <v>0</v>
      </c>
      <c r="AB187" s="339" t="e">
        <v>#DIV/0!</v>
      </c>
      <c r="AC187" s="342" t="e">
        <v>#DIV/0!</v>
      </c>
      <c r="AD187" s="342" t="e">
        <v>#DIV/0!</v>
      </c>
      <c r="AE187" s="342" t="e">
        <v>#DIV/0!</v>
      </c>
      <c r="AF187" s="342" t="e">
        <v>#DIV/0!</v>
      </c>
      <c r="AG187" s="332"/>
    </row>
    <row r="188" spans="1:33" s="333" customFormat="1">
      <c r="A188" s="337">
        <v>13</v>
      </c>
      <c r="B188" s="377" t="s">
        <v>1302</v>
      </c>
      <c r="C188" s="378">
        <v>1</v>
      </c>
      <c r="D188" s="378">
        <v>1</v>
      </c>
      <c r="E188" s="379">
        <v>1</v>
      </c>
      <c r="F188" s="379">
        <v>1</v>
      </c>
      <c r="G188" s="378">
        <v>0.5</v>
      </c>
      <c r="H188" s="378">
        <v>0.5</v>
      </c>
      <c r="I188" s="379">
        <v>12</v>
      </c>
      <c r="J188" s="224" t="s">
        <v>1580</v>
      </c>
      <c r="K188" s="379">
        <v>12</v>
      </c>
      <c r="L188" s="224" t="s">
        <v>1580</v>
      </c>
      <c r="M188" s="14">
        <v>24</v>
      </c>
      <c r="N188" s="379" t="s">
        <v>996</v>
      </c>
      <c r="O188" s="379">
        <v>24</v>
      </c>
      <c r="P188" s="379" t="s">
        <v>996</v>
      </c>
      <c r="Q188" s="337">
        <v>30</v>
      </c>
      <c r="R188" s="337">
        <v>0</v>
      </c>
      <c r="S188" s="339">
        <v>0</v>
      </c>
      <c r="T188" s="339">
        <v>0</v>
      </c>
      <c r="U188" s="339">
        <v>0</v>
      </c>
      <c r="V188" s="339">
        <v>0</v>
      </c>
      <c r="W188" s="339">
        <v>0</v>
      </c>
      <c r="X188" s="339">
        <v>0</v>
      </c>
      <c r="Y188" s="339">
        <v>0</v>
      </c>
      <c r="Z188" s="339">
        <v>0</v>
      </c>
      <c r="AA188" s="339">
        <v>0</v>
      </c>
      <c r="AB188" s="339" t="e">
        <v>#DIV/0!</v>
      </c>
      <c r="AC188" s="342" t="e">
        <v>#DIV/0!</v>
      </c>
      <c r="AD188" s="342" t="e">
        <v>#DIV/0!</v>
      </c>
      <c r="AE188" s="342" t="e">
        <v>#DIV/0!</v>
      </c>
      <c r="AF188" s="342" t="e">
        <v>#DIV/0!</v>
      </c>
      <c r="AG188" s="332"/>
    </row>
    <row r="189" spans="1:33" s="333" customFormat="1">
      <c r="A189" s="337">
        <v>14</v>
      </c>
      <c r="B189" s="377" t="s">
        <v>1303</v>
      </c>
      <c r="C189" s="378">
        <v>1</v>
      </c>
      <c r="D189" s="378">
        <v>1</v>
      </c>
      <c r="E189" s="379">
        <v>1</v>
      </c>
      <c r="F189" s="379">
        <v>1</v>
      </c>
      <c r="G189" s="378">
        <v>0.5</v>
      </c>
      <c r="H189" s="378">
        <v>0.5</v>
      </c>
      <c r="I189" s="379">
        <v>24</v>
      </c>
      <c r="J189" s="379" t="s">
        <v>996</v>
      </c>
      <c r="K189" s="379">
        <v>24</v>
      </c>
      <c r="L189" s="379" t="s">
        <v>996</v>
      </c>
      <c r="M189" s="379" t="s">
        <v>996</v>
      </c>
      <c r="N189" s="379" t="s">
        <v>996</v>
      </c>
      <c r="O189" s="379">
        <v>24</v>
      </c>
      <c r="P189" s="379" t="s">
        <v>996</v>
      </c>
      <c r="Q189" s="337">
        <v>30</v>
      </c>
      <c r="R189" s="337">
        <v>0</v>
      </c>
      <c r="S189" s="339">
        <v>0</v>
      </c>
      <c r="T189" s="339">
        <v>0</v>
      </c>
      <c r="U189" s="339">
        <v>0</v>
      </c>
      <c r="V189" s="339">
        <v>0</v>
      </c>
      <c r="W189" s="339">
        <v>0</v>
      </c>
      <c r="X189" s="339">
        <v>0</v>
      </c>
      <c r="Y189" s="339">
        <v>0</v>
      </c>
      <c r="Z189" s="339">
        <v>0</v>
      </c>
      <c r="AA189" s="339">
        <v>0</v>
      </c>
      <c r="AB189" s="339" t="e">
        <v>#DIV/0!</v>
      </c>
      <c r="AC189" s="342" t="e">
        <v>#DIV/0!</v>
      </c>
      <c r="AD189" s="342" t="e">
        <v>#DIV/0!</v>
      </c>
      <c r="AE189" s="342" t="e">
        <v>#DIV/0!</v>
      </c>
      <c r="AF189" s="342" t="e">
        <v>#DIV/0!</v>
      </c>
      <c r="AG189" s="332"/>
    </row>
    <row r="190" spans="1:33" s="333" customFormat="1">
      <c r="A190" s="337">
        <v>15</v>
      </c>
      <c r="B190" s="377" t="s">
        <v>1304</v>
      </c>
      <c r="C190" s="378">
        <v>1</v>
      </c>
      <c r="D190" s="378">
        <v>1</v>
      </c>
      <c r="E190" s="379">
        <v>1</v>
      </c>
      <c r="F190" s="379">
        <v>1</v>
      </c>
      <c r="G190" s="378">
        <v>0.5</v>
      </c>
      <c r="H190" s="378">
        <v>0.5</v>
      </c>
      <c r="I190" s="379">
        <v>6</v>
      </c>
      <c r="J190" s="379" t="s">
        <v>1297</v>
      </c>
      <c r="K190" s="379">
        <v>6</v>
      </c>
      <c r="L190" s="379" t="s">
        <v>1297</v>
      </c>
      <c r="M190" s="379">
        <v>6</v>
      </c>
      <c r="N190" s="379" t="s">
        <v>1297</v>
      </c>
      <c r="O190" s="379">
        <v>6</v>
      </c>
      <c r="P190" s="379" t="s">
        <v>1297</v>
      </c>
      <c r="Q190" s="337">
        <v>30</v>
      </c>
      <c r="R190" s="337">
        <v>0</v>
      </c>
      <c r="S190" s="339">
        <v>0</v>
      </c>
      <c r="T190" s="339">
        <v>540</v>
      </c>
      <c r="U190" s="339">
        <v>540</v>
      </c>
      <c r="V190" s="339">
        <v>540</v>
      </c>
      <c r="W190" s="339">
        <v>0</v>
      </c>
      <c r="X190" s="339">
        <v>0</v>
      </c>
      <c r="Y190" s="339">
        <v>540</v>
      </c>
      <c r="Z190" s="339">
        <v>540</v>
      </c>
      <c r="AA190" s="339">
        <v>540</v>
      </c>
      <c r="AB190" s="339" t="e">
        <v>#DIV/0!</v>
      </c>
      <c r="AC190" s="342" t="e">
        <v>#DIV/0!</v>
      </c>
      <c r="AD190" s="342">
        <v>1</v>
      </c>
      <c r="AE190" s="342">
        <v>1</v>
      </c>
      <c r="AF190" s="342">
        <v>1</v>
      </c>
      <c r="AG190" s="332"/>
    </row>
    <row r="191" spans="1:33" s="333" customFormat="1">
      <c r="A191" s="337">
        <v>16</v>
      </c>
      <c r="B191" s="380" t="s">
        <v>1305</v>
      </c>
      <c r="C191" s="338">
        <v>2</v>
      </c>
      <c r="D191" s="337">
        <v>4</v>
      </c>
      <c r="E191" s="337">
        <v>4</v>
      </c>
      <c r="F191" s="337">
        <v>4</v>
      </c>
      <c r="G191" s="338" t="s">
        <v>866</v>
      </c>
      <c r="H191" s="338" t="s">
        <v>866</v>
      </c>
      <c r="I191" s="337">
        <v>6</v>
      </c>
      <c r="J191" s="337">
        <v>6</v>
      </c>
      <c r="K191" s="337">
        <v>6</v>
      </c>
      <c r="L191" s="337">
        <v>7</v>
      </c>
      <c r="M191" s="337">
        <v>6</v>
      </c>
      <c r="N191" s="337">
        <v>7</v>
      </c>
      <c r="O191" s="337">
        <v>6</v>
      </c>
      <c r="P191" s="337">
        <v>7</v>
      </c>
      <c r="Q191" s="337">
        <v>30</v>
      </c>
      <c r="R191" s="337">
        <v>0</v>
      </c>
      <c r="S191" s="339">
        <v>0</v>
      </c>
      <c r="T191" s="339">
        <v>180</v>
      </c>
      <c r="U191" s="339">
        <v>180</v>
      </c>
      <c r="V191" s="339">
        <v>180</v>
      </c>
      <c r="W191" s="339">
        <v>0</v>
      </c>
      <c r="X191" s="339">
        <v>0</v>
      </c>
      <c r="Y191" s="339">
        <v>180</v>
      </c>
      <c r="Z191" s="339">
        <v>180</v>
      </c>
      <c r="AA191" s="339">
        <v>180</v>
      </c>
      <c r="AB191" s="339" t="e">
        <v>#DIV/0!</v>
      </c>
      <c r="AC191" s="342" t="e">
        <v>#DIV/0!</v>
      </c>
      <c r="AD191" s="342">
        <v>1</v>
      </c>
      <c r="AE191" s="342">
        <v>1</v>
      </c>
      <c r="AF191" s="342">
        <v>1</v>
      </c>
      <c r="AG191" s="332"/>
    </row>
    <row r="192" spans="1:33" s="333" customFormat="1">
      <c r="A192" s="337">
        <v>17</v>
      </c>
      <c r="B192" s="380" t="s">
        <v>1306</v>
      </c>
      <c r="C192" s="338">
        <v>8</v>
      </c>
      <c r="D192" s="337">
        <v>8</v>
      </c>
      <c r="E192" s="337">
        <v>8</v>
      </c>
      <c r="F192" s="337">
        <v>8</v>
      </c>
      <c r="G192" s="338" t="s">
        <v>1307</v>
      </c>
      <c r="H192" s="338" t="s">
        <v>1307</v>
      </c>
      <c r="I192" s="379">
        <v>6</v>
      </c>
      <c r="J192" s="379" t="s">
        <v>1297</v>
      </c>
      <c r="K192" s="379">
        <v>6</v>
      </c>
      <c r="L192" s="379" t="s">
        <v>1297</v>
      </c>
      <c r="M192" s="379">
        <v>6</v>
      </c>
      <c r="N192" s="379" t="s">
        <v>1297</v>
      </c>
      <c r="O192" s="379">
        <v>6</v>
      </c>
      <c r="P192" s="379" t="s">
        <v>1297</v>
      </c>
      <c r="Q192" s="337">
        <v>30</v>
      </c>
      <c r="R192" s="337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42"/>
      <c r="AD192" s="342"/>
      <c r="AE192" s="342"/>
      <c r="AF192" s="342"/>
      <c r="AG192" s="332"/>
    </row>
    <row r="193" spans="1:33" s="333" customFormat="1">
      <c r="A193" s="337"/>
      <c r="B193" s="349" t="s">
        <v>1308</v>
      </c>
      <c r="C193" s="338"/>
      <c r="D193" s="337"/>
      <c r="E193" s="337"/>
      <c r="F193" s="337"/>
      <c r="G193" s="338"/>
      <c r="H193" s="338"/>
      <c r="I193" s="379"/>
      <c r="J193" s="379"/>
      <c r="K193" s="379"/>
      <c r="L193" s="379"/>
      <c r="M193" s="379"/>
      <c r="N193" s="379"/>
      <c r="O193" s="379"/>
      <c r="P193" s="379"/>
      <c r="Q193" s="337"/>
      <c r="R193" s="337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42"/>
      <c r="AD193" s="342"/>
      <c r="AE193" s="342"/>
      <c r="AF193" s="342"/>
      <c r="AG193" s="332"/>
    </row>
    <row r="194" spans="1:33" s="333" customFormat="1">
      <c r="A194" s="337"/>
      <c r="B194" s="340" t="s">
        <v>1309</v>
      </c>
      <c r="C194" s="341">
        <v>1</v>
      </c>
      <c r="D194" s="341">
        <v>1</v>
      </c>
      <c r="E194" s="224">
        <v>1</v>
      </c>
      <c r="F194" s="224">
        <v>1</v>
      </c>
      <c r="G194" s="341">
        <v>1.5</v>
      </c>
      <c r="H194" s="341">
        <v>1.5</v>
      </c>
      <c r="I194" s="224">
        <v>12</v>
      </c>
      <c r="J194" s="224" t="s">
        <v>1580</v>
      </c>
      <c r="K194" s="379">
        <v>12</v>
      </c>
      <c r="L194" s="224" t="s">
        <v>1580</v>
      </c>
      <c r="M194" s="14">
        <v>24</v>
      </c>
      <c r="N194" s="224" t="s">
        <v>996</v>
      </c>
      <c r="O194" s="224">
        <v>12</v>
      </c>
      <c r="P194" s="224" t="s">
        <v>996</v>
      </c>
      <c r="Q194" s="337">
        <v>30</v>
      </c>
      <c r="R194" s="337">
        <v>0</v>
      </c>
      <c r="S194" s="339">
        <v>0</v>
      </c>
      <c r="T194" s="339"/>
      <c r="U194" s="339"/>
      <c r="V194" s="339"/>
      <c r="W194" s="339"/>
      <c r="X194" s="339"/>
      <c r="Y194" s="339"/>
      <c r="Z194" s="339"/>
      <c r="AA194" s="339"/>
      <c r="AB194" s="339"/>
      <c r="AC194" s="342"/>
      <c r="AD194" s="342"/>
      <c r="AE194" s="342"/>
      <c r="AF194" s="342"/>
      <c r="AG194" s="332"/>
    </row>
    <row r="195" spans="1:33" s="333" customFormat="1">
      <c r="A195" s="337"/>
      <c r="B195" s="340" t="s">
        <v>1310</v>
      </c>
      <c r="C195" s="341">
        <v>1</v>
      </c>
      <c r="D195" s="341">
        <v>1</v>
      </c>
      <c r="E195" s="224">
        <v>1</v>
      </c>
      <c r="F195" s="224">
        <v>1</v>
      </c>
      <c r="G195" s="341">
        <v>0.75</v>
      </c>
      <c r="H195" s="341">
        <v>0.75</v>
      </c>
      <c r="I195" s="224">
        <v>12</v>
      </c>
      <c r="J195" s="224" t="s">
        <v>1580</v>
      </c>
      <c r="K195" s="379">
        <v>12</v>
      </c>
      <c r="L195" s="224" t="s">
        <v>1580</v>
      </c>
      <c r="M195" s="14">
        <v>24</v>
      </c>
      <c r="N195" s="224" t="s">
        <v>996</v>
      </c>
      <c r="O195" s="224">
        <v>12</v>
      </c>
      <c r="P195" s="224" t="s">
        <v>996</v>
      </c>
      <c r="Q195" s="337">
        <v>30</v>
      </c>
      <c r="R195" s="337">
        <v>0</v>
      </c>
      <c r="S195" s="339">
        <v>0</v>
      </c>
      <c r="T195" s="339"/>
      <c r="U195" s="339"/>
      <c r="V195" s="339"/>
      <c r="W195" s="339"/>
      <c r="X195" s="339"/>
      <c r="Y195" s="339"/>
      <c r="Z195" s="339"/>
      <c r="AA195" s="339"/>
      <c r="AB195" s="339"/>
      <c r="AC195" s="342"/>
      <c r="AD195" s="342"/>
      <c r="AE195" s="342"/>
      <c r="AF195" s="342"/>
      <c r="AG195" s="332"/>
    </row>
    <row r="196" spans="1:33" s="333" customFormat="1">
      <c r="A196" s="337"/>
      <c r="B196" s="340" t="s">
        <v>1311</v>
      </c>
      <c r="C196" s="341">
        <v>1</v>
      </c>
      <c r="D196" s="341">
        <v>1</v>
      </c>
      <c r="E196" s="224">
        <v>1</v>
      </c>
      <c r="F196" s="224">
        <v>1</v>
      </c>
      <c r="G196" s="341">
        <v>0.5</v>
      </c>
      <c r="H196" s="341">
        <v>0.5</v>
      </c>
      <c r="I196" s="224">
        <v>12</v>
      </c>
      <c r="J196" s="224" t="s">
        <v>1580</v>
      </c>
      <c r="K196" s="379">
        <v>12</v>
      </c>
      <c r="L196" s="224" t="s">
        <v>1580</v>
      </c>
      <c r="M196" s="14">
        <v>24</v>
      </c>
      <c r="N196" s="224" t="s">
        <v>996</v>
      </c>
      <c r="O196" s="224">
        <v>12</v>
      </c>
      <c r="P196" s="224" t="s">
        <v>996</v>
      </c>
      <c r="Q196" s="337">
        <v>30</v>
      </c>
      <c r="R196" s="337">
        <v>0</v>
      </c>
      <c r="S196" s="339">
        <v>0</v>
      </c>
      <c r="T196" s="339"/>
      <c r="U196" s="339"/>
      <c r="V196" s="339"/>
      <c r="W196" s="339"/>
      <c r="X196" s="339"/>
      <c r="Y196" s="339"/>
      <c r="Z196" s="339"/>
      <c r="AA196" s="339"/>
      <c r="AB196" s="339"/>
      <c r="AC196" s="342"/>
      <c r="AD196" s="342"/>
      <c r="AE196" s="342"/>
      <c r="AF196" s="342"/>
      <c r="AG196" s="332"/>
    </row>
    <row r="197" spans="1:33" s="333" customFormat="1">
      <c r="A197" s="337"/>
      <c r="B197" s="340" t="s">
        <v>1312</v>
      </c>
      <c r="C197" s="341">
        <v>1</v>
      </c>
      <c r="D197" s="341">
        <v>1</v>
      </c>
      <c r="E197" s="224">
        <v>1</v>
      </c>
      <c r="F197" s="224">
        <v>1</v>
      </c>
      <c r="G197" s="341">
        <v>0.75</v>
      </c>
      <c r="H197" s="341">
        <v>0.75</v>
      </c>
      <c r="I197" s="224">
        <v>12</v>
      </c>
      <c r="J197" s="224" t="s">
        <v>1580</v>
      </c>
      <c r="K197" s="379">
        <v>12</v>
      </c>
      <c r="L197" s="224" t="s">
        <v>1580</v>
      </c>
      <c r="M197" s="14">
        <v>24</v>
      </c>
      <c r="N197" s="224" t="s">
        <v>996</v>
      </c>
      <c r="O197" s="224">
        <v>12</v>
      </c>
      <c r="P197" s="224" t="s">
        <v>996</v>
      </c>
      <c r="Q197" s="337">
        <v>30</v>
      </c>
      <c r="R197" s="337">
        <v>0</v>
      </c>
      <c r="S197" s="339">
        <v>0</v>
      </c>
      <c r="T197" s="339"/>
      <c r="U197" s="339"/>
      <c r="V197" s="339"/>
      <c r="W197" s="339"/>
      <c r="X197" s="339"/>
      <c r="Y197" s="339"/>
      <c r="Z197" s="339"/>
      <c r="AA197" s="339"/>
      <c r="AB197" s="339"/>
      <c r="AC197" s="342"/>
      <c r="AD197" s="342"/>
      <c r="AE197" s="342"/>
      <c r="AF197" s="342"/>
      <c r="AG197" s="332"/>
    </row>
    <row r="198" spans="1:33" s="333" customFormat="1">
      <c r="A198" s="337"/>
      <c r="B198" s="349"/>
      <c r="C198" s="338"/>
      <c r="D198" s="337"/>
      <c r="E198" s="337"/>
      <c r="F198" s="337"/>
      <c r="G198" s="338"/>
      <c r="H198" s="338"/>
      <c r="I198" s="379"/>
      <c r="J198" s="379"/>
      <c r="K198" s="379"/>
      <c r="L198" s="379"/>
      <c r="M198" s="379"/>
      <c r="N198" s="379"/>
      <c r="O198" s="379"/>
      <c r="P198" s="379"/>
      <c r="Q198" s="337"/>
      <c r="R198" s="337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42"/>
      <c r="AD198" s="342"/>
      <c r="AE198" s="342"/>
      <c r="AF198" s="342"/>
      <c r="AG198" s="332"/>
    </row>
    <row r="199" spans="1:33" s="332" customFormat="1" ht="14.25">
      <c r="A199" s="350" t="s">
        <v>30</v>
      </c>
      <c r="B199" s="349" t="s">
        <v>261</v>
      </c>
      <c r="C199" s="364"/>
      <c r="D199" s="350"/>
      <c r="E199" s="350"/>
      <c r="F199" s="350"/>
      <c r="G199" s="364"/>
      <c r="H199" s="364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  <c r="AC199" s="352"/>
      <c r="AD199" s="352"/>
      <c r="AE199" s="352"/>
      <c r="AF199" s="352"/>
    </row>
    <row r="200" spans="1:33" s="333" customFormat="1">
      <c r="A200" s="337">
        <v>1</v>
      </c>
      <c r="B200" s="380" t="s">
        <v>1313</v>
      </c>
      <c r="C200" s="338">
        <v>1</v>
      </c>
      <c r="D200" s="337">
        <v>1</v>
      </c>
      <c r="E200" s="337">
        <v>1</v>
      </c>
      <c r="F200" s="337">
        <v>1</v>
      </c>
      <c r="G200" s="338">
        <v>1.8</v>
      </c>
      <c r="H200" s="338">
        <v>1.8</v>
      </c>
      <c r="I200" s="337">
        <v>2</v>
      </c>
      <c r="J200" s="337" t="s">
        <v>1236</v>
      </c>
      <c r="K200" s="337">
        <v>4</v>
      </c>
      <c r="L200" s="337" t="s">
        <v>1236</v>
      </c>
      <c r="M200" s="337">
        <v>4</v>
      </c>
      <c r="N200" s="337" t="s">
        <v>1236</v>
      </c>
      <c r="O200" s="337">
        <v>4</v>
      </c>
      <c r="P200" s="337" t="s">
        <v>1236</v>
      </c>
      <c r="Q200" s="337">
        <v>30</v>
      </c>
      <c r="R200" s="337">
        <v>0</v>
      </c>
      <c r="S200" s="339">
        <v>0</v>
      </c>
      <c r="T200" s="339">
        <v>0</v>
      </c>
      <c r="U200" s="339">
        <v>0</v>
      </c>
      <c r="V200" s="339">
        <v>0</v>
      </c>
      <c r="W200" s="339">
        <v>0</v>
      </c>
      <c r="X200" s="339">
        <v>0</v>
      </c>
      <c r="Y200" s="339">
        <v>0</v>
      </c>
      <c r="Z200" s="339">
        <v>0</v>
      </c>
      <c r="AA200" s="339">
        <v>0</v>
      </c>
      <c r="AB200" s="339" t="e">
        <v>#DIV/0!</v>
      </c>
      <c r="AC200" s="342" t="e">
        <v>#DIV/0!</v>
      </c>
      <c r="AD200" s="342" t="e">
        <v>#DIV/0!</v>
      </c>
      <c r="AE200" s="342" t="e">
        <v>#DIV/0!</v>
      </c>
      <c r="AF200" s="342" t="e">
        <v>#DIV/0!</v>
      </c>
      <c r="AG200" s="332"/>
    </row>
    <row r="201" spans="1:33" s="333" customFormat="1">
      <c r="A201" s="337">
        <v>2</v>
      </c>
      <c r="B201" s="380" t="s">
        <v>1314</v>
      </c>
      <c r="C201" s="338">
        <v>1</v>
      </c>
      <c r="D201" s="337">
        <v>1</v>
      </c>
      <c r="E201" s="337">
        <v>1</v>
      </c>
      <c r="F201" s="337">
        <v>1</v>
      </c>
      <c r="G201" s="338">
        <v>2.2000000000000002</v>
      </c>
      <c r="H201" s="338">
        <v>2.2000000000000002</v>
      </c>
      <c r="I201" s="337">
        <v>2</v>
      </c>
      <c r="J201" s="337" t="s">
        <v>1236</v>
      </c>
      <c r="K201" s="337">
        <v>4</v>
      </c>
      <c r="L201" s="337" t="s">
        <v>1236</v>
      </c>
      <c r="M201" s="337">
        <v>4</v>
      </c>
      <c r="N201" s="337" t="s">
        <v>1236</v>
      </c>
      <c r="O201" s="337">
        <v>4</v>
      </c>
      <c r="P201" s="337" t="s">
        <v>1236</v>
      </c>
      <c r="Q201" s="337">
        <v>30</v>
      </c>
      <c r="R201" s="337">
        <v>0</v>
      </c>
      <c r="S201" s="339">
        <v>0</v>
      </c>
      <c r="T201" s="339">
        <v>0</v>
      </c>
      <c r="U201" s="339">
        <v>0</v>
      </c>
      <c r="V201" s="339">
        <v>0</v>
      </c>
      <c r="W201" s="339">
        <v>0</v>
      </c>
      <c r="X201" s="339">
        <v>0</v>
      </c>
      <c r="Y201" s="339">
        <v>0</v>
      </c>
      <c r="Z201" s="339">
        <v>0</v>
      </c>
      <c r="AA201" s="339">
        <v>0</v>
      </c>
      <c r="AB201" s="339" t="e">
        <v>#DIV/0!</v>
      </c>
      <c r="AC201" s="342" t="e">
        <v>#DIV/0!</v>
      </c>
      <c r="AD201" s="342" t="e">
        <v>#DIV/0!</v>
      </c>
      <c r="AE201" s="342" t="e">
        <v>#DIV/0!</v>
      </c>
      <c r="AF201" s="342" t="e">
        <v>#DIV/0!</v>
      </c>
      <c r="AG201" s="332"/>
    </row>
    <row r="202" spans="1:33" s="333" customFormat="1">
      <c r="A202" s="337">
        <v>3</v>
      </c>
      <c r="B202" s="380" t="s">
        <v>1293</v>
      </c>
      <c r="C202" s="338">
        <v>3</v>
      </c>
      <c r="D202" s="337">
        <v>3</v>
      </c>
      <c r="E202" s="337">
        <v>3</v>
      </c>
      <c r="F202" s="337">
        <v>3</v>
      </c>
      <c r="G202" s="338">
        <v>3.6</v>
      </c>
      <c r="H202" s="338">
        <v>3.6</v>
      </c>
      <c r="I202" s="337">
        <v>2</v>
      </c>
      <c r="J202" s="337" t="s">
        <v>1236</v>
      </c>
      <c r="K202" s="337">
        <v>4</v>
      </c>
      <c r="L202" s="337" t="s">
        <v>1236</v>
      </c>
      <c r="M202" s="337">
        <v>4</v>
      </c>
      <c r="N202" s="337" t="s">
        <v>1236</v>
      </c>
      <c r="O202" s="337">
        <v>4</v>
      </c>
      <c r="P202" s="337" t="s">
        <v>1236</v>
      </c>
      <c r="Q202" s="337">
        <v>30</v>
      </c>
      <c r="R202" s="337">
        <v>0</v>
      </c>
      <c r="S202" s="339">
        <v>0</v>
      </c>
      <c r="T202" s="339">
        <v>0</v>
      </c>
      <c r="U202" s="339">
        <v>0</v>
      </c>
      <c r="V202" s="339">
        <v>0</v>
      </c>
      <c r="W202" s="339">
        <v>0</v>
      </c>
      <c r="X202" s="339">
        <v>0</v>
      </c>
      <c r="Y202" s="339">
        <v>0</v>
      </c>
      <c r="Z202" s="339">
        <v>0</v>
      </c>
      <c r="AA202" s="339">
        <v>0</v>
      </c>
      <c r="AB202" s="339" t="e">
        <v>#DIV/0!</v>
      </c>
      <c r="AC202" s="342" t="e">
        <v>#DIV/0!</v>
      </c>
      <c r="AD202" s="342" t="e">
        <v>#DIV/0!</v>
      </c>
      <c r="AE202" s="342" t="e">
        <v>#DIV/0!</v>
      </c>
      <c r="AF202" s="342" t="e">
        <v>#DIV/0!</v>
      </c>
      <c r="AG202" s="332"/>
    </row>
    <row r="203" spans="1:33" s="333" customFormat="1" ht="15.75">
      <c r="A203" s="337">
        <v>4</v>
      </c>
      <c r="B203" s="380" t="s">
        <v>1315</v>
      </c>
      <c r="C203" s="338">
        <v>2</v>
      </c>
      <c r="D203" s="337">
        <v>2</v>
      </c>
      <c r="E203" s="337">
        <v>2</v>
      </c>
      <c r="F203" s="337">
        <v>2</v>
      </c>
      <c r="G203" s="360">
        <v>34.5</v>
      </c>
      <c r="H203" s="360">
        <v>34.5</v>
      </c>
      <c r="I203" s="337">
        <v>2</v>
      </c>
      <c r="J203" s="337" t="s">
        <v>1236</v>
      </c>
      <c r="K203" s="337">
        <v>4</v>
      </c>
      <c r="L203" s="337" t="s">
        <v>1236</v>
      </c>
      <c r="M203" s="337">
        <v>4</v>
      </c>
      <c r="N203" s="337" t="s">
        <v>1236</v>
      </c>
      <c r="O203" s="337">
        <v>4</v>
      </c>
      <c r="P203" s="337" t="s">
        <v>1236</v>
      </c>
      <c r="Q203" s="337">
        <v>30</v>
      </c>
      <c r="R203" s="337">
        <v>0</v>
      </c>
      <c r="S203" s="339">
        <v>0</v>
      </c>
      <c r="T203" s="339">
        <v>0</v>
      </c>
      <c r="U203" s="339">
        <v>0</v>
      </c>
      <c r="V203" s="339">
        <v>0</v>
      </c>
      <c r="W203" s="339">
        <v>0</v>
      </c>
      <c r="X203" s="339">
        <v>0</v>
      </c>
      <c r="Y203" s="339">
        <v>0</v>
      </c>
      <c r="Z203" s="339">
        <v>0</v>
      </c>
      <c r="AA203" s="339">
        <v>0</v>
      </c>
      <c r="AB203" s="339" t="e">
        <v>#DIV/0!</v>
      </c>
      <c r="AC203" s="342" t="e">
        <v>#DIV/0!</v>
      </c>
      <c r="AD203" s="342" t="e">
        <v>#DIV/0!</v>
      </c>
      <c r="AE203" s="342" t="e">
        <v>#DIV/0!</v>
      </c>
      <c r="AF203" s="342" t="e">
        <v>#DIV/0!</v>
      </c>
      <c r="AG203" s="332"/>
    </row>
    <row r="204" spans="1:33" s="333" customFormat="1">
      <c r="A204" s="337">
        <v>5</v>
      </c>
      <c r="B204" s="380" t="s">
        <v>1316</v>
      </c>
      <c r="C204" s="338">
        <v>1</v>
      </c>
      <c r="D204" s="337">
        <v>1</v>
      </c>
      <c r="E204" s="337">
        <v>1</v>
      </c>
      <c r="F204" s="337">
        <v>1</v>
      </c>
      <c r="G204" s="338">
        <v>0.75</v>
      </c>
      <c r="H204" s="338">
        <v>0.75</v>
      </c>
      <c r="I204" s="337">
        <v>24</v>
      </c>
      <c r="J204" s="337" t="s">
        <v>996</v>
      </c>
      <c r="K204" s="337">
        <v>24</v>
      </c>
      <c r="L204" s="337" t="s">
        <v>996</v>
      </c>
      <c r="M204" s="337">
        <v>24</v>
      </c>
      <c r="N204" s="337" t="s">
        <v>996</v>
      </c>
      <c r="O204" s="337">
        <v>24</v>
      </c>
      <c r="P204" s="337" t="s">
        <v>996</v>
      </c>
      <c r="Q204" s="337">
        <v>30</v>
      </c>
      <c r="R204" s="337">
        <v>0</v>
      </c>
      <c r="S204" s="339">
        <v>0</v>
      </c>
      <c r="T204" s="339">
        <v>0</v>
      </c>
      <c r="U204" s="339">
        <v>0</v>
      </c>
      <c r="V204" s="339">
        <v>0</v>
      </c>
      <c r="W204" s="339">
        <v>0</v>
      </c>
      <c r="X204" s="339">
        <v>0</v>
      </c>
      <c r="Y204" s="339">
        <v>0</v>
      </c>
      <c r="Z204" s="339">
        <v>0</v>
      </c>
      <c r="AA204" s="339">
        <v>0</v>
      </c>
      <c r="AB204" s="339" t="e">
        <v>#DIV/0!</v>
      </c>
      <c r="AC204" s="342" t="e">
        <v>#DIV/0!</v>
      </c>
      <c r="AD204" s="342" t="e">
        <v>#DIV/0!</v>
      </c>
      <c r="AE204" s="342" t="e">
        <v>#DIV/0!</v>
      </c>
      <c r="AF204" s="342" t="e">
        <v>#DIV/0!</v>
      </c>
      <c r="AG204" s="332"/>
    </row>
    <row r="205" spans="1:33" s="333" customFormat="1">
      <c r="A205" s="337">
        <v>6</v>
      </c>
      <c r="B205" s="380" t="s">
        <v>1317</v>
      </c>
      <c r="C205" s="338">
        <v>1</v>
      </c>
      <c r="D205" s="337">
        <v>1</v>
      </c>
      <c r="E205" s="337">
        <v>1</v>
      </c>
      <c r="F205" s="337">
        <v>1</v>
      </c>
      <c r="G205" s="338">
        <v>0.6</v>
      </c>
      <c r="H205" s="338">
        <v>0.6</v>
      </c>
      <c r="I205" s="337">
        <v>8</v>
      </c>
      <c r="J205" s="337" t="s">
        <v>1318</v>
      </c>
      <c r="K205" s="337">
        <v>8</v>
      </c>
      <c r="L205" s="337" t="s">
        <v>1318</v>
      </c>
      <c r="M205" s="337">
        <v>8</v>
      </c>
      <c r="N205" s="337" t="s">
        <v>1318</v>
      </c>
      <c r="O205" s="337">
        <v>8</v>
      </c>
      <c r="P205" s="337" t="s">
        <v>1318</v>
      </c>
      <c r="Q205" s="337">
        <v>30</v>
      </c>
      <c r="R205" s="337">
        <v>0</v>
      </c>
      <c r="S205" s="339">
        <v>0</v>
      </c>
      <c r="T205" s="339">
        <v>0</v>
      </c>
      <c r="U205" s="339">
        <v>0</v>
      </c>
      <c r="V205" s="339">
        <v>0</v>
      </c>
      <c r="W205" s="339">
        <v>0</v>
      </c>
      <c r="X205" s="339">
        <v>0</v>
      </c>
      <c r="Y205" s="339">
        <v>0</v>
      </c>
      <c r="Z205" s="339">
        <v>0</v>
      </c>
      <c r="AA205" s="339">
        <v>0</v>
      </c>
      <c r="AB205" s="339" t="e">
        <v>#DIV/0!</v>
      </c>
      <c r="AC205" s="342" t="e">
        <v>#DIV/0!</v>
      </c>
      <c r="AD205" s="342" t="e">
        <v>#DIV/0!</v>
      </c>
      <c r="AE205" s="342" t="e">
        <v>#DIV/0!</v>
      </c>
      <c r="AF205" s="342" t="e">
        <v>#DIV/0!</v>
      </c>
      <c r="AG205" s="332"/>
    </row>
    <row r="206" spans="1:33" s="333" customFormat="1">
      <c r="A206" s="337">
        <v>7</v>
      </c>
      <c r="B206" s="380" t="s">
        <v>1319</v>
      </c>
      <c r="C206" s="338">
        <v>1</v>
      </c>
      <c r="D206" s="337">
        <v>1</v>
      </c>
      <c r="E206" s="337">
        <v>1</v>
      </c>
      <c r="F206" s="337">
        <v>1</v>
      </c>
      <c r="G206" s="338">
        <v>1.2</v>
      </c>
      <c r="H206" s="338">
        <v>1.2</v>
      </c>
      <c r="I206" s="337">
        <v>8</v>
      </c>
      <c r="J206" s="337" t="s">
        <v>1320</v>
      </c>
      <c r="K206" s="337">
        <v>4</v>
      </c>
      <c r="L206" s="337" t="s">
        <v>1236</v>
      </c>
      <c r="M206" s="337">
        <v>4</v>
      </c>
      <c r="N206" s="337" t="s">
        <v>1236</v>
      </c>
      <c r="O206" s="337">
        <v>4</v>
      </c>
      <c r="P206" s="337" t="s">
        <v>1236</v>
      </c>
      <c r="Q206" s="337">
        <v>30</v>
      </c>
      <c r="R206" s="337">
        <v>0</v>
      </c>
      <c r="S206" s="339">
        <v>0</v>
      </c>
      <c r="T206" s="339">
        <v>0</v>
      </c>
      <c r="U206" s="339">
        <v>0</v>
      </c>
      <c r="V206" s="339">
        <v>0</v>
      </c>
      <c r="W206" s="339">
        <v>0</v>
      </c>
      <c r="X206" s="339">
        <v>0</v>
      </c>
      <c r="Y206" s="339">
        <v>0</v>
      </c>
      <c r="Z206" s="339">
        <v>0</v>
      </c>
      <c r="AA206" s="339">
        <v>0</v>
      </c>
      <c r="AB206" s="339" t="e">
        <v>#DIV/0!</v>
      </c>
      <c r="AC206" s="342" t="e">
        <v>#DIV/0!</v>
      </c>
      <c r="AD206" s="342" t="e">
        <v>#DIV/0!</v>
      </c>
      <c r="AE206" s="342" t="e">
        <v>#DIV/0!</v>
      </c>
      <c r="AF206" s="342" t="e">
        <v>#DIV/0!</v>
      </c>
      <c r="AG206" s="332"/>
    </row>
    <row r="207" spans="1:33" s="333" customFormat="1">
      <c r="A207" s="337">
        <v>8</v>
      </c>
      <c r="B207" s="380" t="s">
        <v>1321</v>
      </c>
      <c r="C207" s="338">
        <v>1</v>
      </c>
      <c r="D207" s="337">
        <v>1</v>
      </c>
      <c r="E207" s="337">
        <v>1</v>
      </c>
      <c r="F207" s="337">
        <v>1</v>
      </c>
      <c r="G207" s="338">
        <v>36</v>
      </c>
      <c r="H207" s="338">
        <v>36</v>
      </c>
      <c r="I207" s="337">
        <v>4</v>
      </c>
      <c r="J207" s="337" t="s">
        <v>1236</v>
      </c>
      <c r="K207" s="337">
        <v>4</v>
      </c>
      <c r="L207" s="337" t="s">
        <v>1236</v>
      </c>
      <c r="M207" s="337">
        <v>4</v>
      </c>
      <c r="N207" s="337" t="s">
        <v>1236</v>
      </c>
      <c r="O207" s="337">
        <v>4</v>
      </c>
      <c r="P207" s="337" t="s">
        <v>1236</v>
      </c>
      <c r="Q207" s="337">
        <v>30</v>
      </c>
      <c r="R207" s="337">
        <v>0</v>
      </c>
      <c r="S207" s="339">
        <v>0</v>
      </c>
      <c r="T207" s="339">
        <v>0</v>
      </c>
      <c r="U207" s="339">
        <v>0</v>
      </c>
      <c r="V207" s="339">
        <v>0</v>
      </c>
      <c r="W207" s="339">
        <v>0</v>
      </c>
      <c r="X207" s="339">
        <v>0</v>
      </c>
      <c r="Y207" s="339">
        <v>0</v>
      </c>
      <c r="Z207" s="339">
        <v>0</v>
      </c>
      <c r="AA207" s="339">
        <v>0</v>
      </c>
      <c r="AB207" s="339" t="e">
        <v>#DIV/0!</v>
      </c>
      <c r="AC207" s="342" t="e">
        <v>#DIV/0!</v>
      </c>
      <c r="AD207" s="342" t="e">
        <v>#DIV/0!</v>
      </c>
      <c r="AE207" s="342" t="e">
        <v>#DIV/0!</v>
      </c>
      <c r="AF207" s="342" t="e">
        <v>#DIV/0!</v>
      </c>
      <c r="AG207" s="332"/>
    </row>
    <row r="208" spans="1:33" s="333" customFormat="1">
      <c r="A208" s="337">
        <v>9</v>
      </c>
      <c r="B208" s="380" t="s">
        <v>1322</v>
      </c>
      <c r="C208" s="338">
        <v>1</v>
      </c>
      <c r="D208" s="337">
        <v>1</v>
      </c>
      <c r="E208" s="337">
        <v>1</v>
      </c>
      <c r="F208" s="337"/>
      <c r="G208" s="338">
        <v>36</v>
      </c>
      <c r="H208" s="338">
        <v>36</v>
      </c>
      <c r="I208" s="337">
        <v>4</v>
      </c>
      <c r="J208" s="337" t="s">
        <v>1236</v>
      </c>
      <c r="K208" s="337">
        <v>4</v>
      </c>
      <c r="L208" s="337" t="s">
        <v>1236</v>
      </c>
      <c r="M208" s="337">
        <v>4</v>
      </c>
      <c r="N208" s="337" t="s">
        <v>1236</v>
      </c>
      <c r="O208" s="337">
        <v>4</v>
      </c>
      <c r="P208" s="337" t="s">
        <v>1236</v>
      </c>
      <c r="Q208" s="337">
        <v>30</v>
      </c>
      <c r="R208" s="337">
        <v>0</v>
      </c>
      <c r="S208" s="339">
        <v>0</v>
      </c>
      <c r="T208" s="339">
        <v>0</v>
      </c>
      <c r="U208" s="339">
        <v>0</v>
      </c>
      <c r="V208" s="339">
        <v>0</v>
      </c>
      <c r="W208" s="339">
        <v>0</v>
      </c>
      <c r="X208" s="339">
        <v>0</v>
      </c>
      <c r="Y208" s="339">
        <v>0</v>
      </c>
      <c r="Z208" s="339">
        <v>0</v>
      </c>
      <c r="AA208" s="339">
        <v>0</v>
      </c>
      <c r="AB208" s="339" t="e">
        <v>#DIV/0!</v>
      </c>
      <c r="AC208" s="342" t="e">
        <v>#DIV/0!</v>
      </c>
      <c r="AD208" s="342" t="e">
        <v>#DIV/0!</v>
      </c>
      <c r="AE208" s="342" t="e">
        <v>#DIV/0!</v>
      </c>
      <c r="AF208" s="342" t="e">
        <v>#DIV/0!</v>
      </c>
      <c r="AG208" s="332"/>
    </row>
    <row r="209" spans="1:33" s="333" customFormat="1" ht="30">
      <c r="A209" s="337">
        <v>10</v>
      </c>
      <c r="B209" s="380" t="s">
        <v>1323</v>
      </c>
      <c r="C209" s="338">
        <v>2</v>
      </c>
      <c r="D209" s="337">
        <v>2</v>
      </c>
      <c r="E209" s="337">
        <v>2</v>
      </c>
      <c r="F209" s="337">
        <v>2</v>
      </c>
      <c r="G209" s="338">
        <v>3.6</v>
      </c>
      <c r="H209" s="338">
        <v>3.6</v>
      </c>
      <c r="I209" s="337">
        <v>4</v>
      </c>
      <c r="J209" s="337" t="s">
        <v>1236</v>
      </c>
      <c r="K209" s="337">
        <v>4</v>
      </c>
      <c r="L209" s="337" t="s">
        <v>1236</v>
      </c>
      <c r="M209" s="337">
        <v>4</v>
      </c>
      <c r="N209" s="337" t="s">
        <v>1236</v>
      </c>
      <c r="O209" s="337">
        <v>4</v>
      </c>
      <c r="P209" s="337" t="s">
        <v>1236</v>
      </c>
      <c r="Q209" s="337">
        <v>30</v>
      </c>
      <c r="R209" s="337">
        <v>0</v>
      </c>
      <c r="S209" s="339">
        <v>0</v>
      </c>
      <c r="T209" s="339">
        <v>0</v>
      </c>
      <c r="U209" s="339">
        <v>0</v>
      </c>
      <c r="V209" s="339">
        <v>0</v>
      </c>
      <c r="W209" s="339">
        <v>0</v>
      </c>
      <c r="X209" s="339">
        <v>0</v>
      </c>
      <c r="Y209" s="339">
        <v>0</v>
      </c>
      <c r="Z209" s="339">
        <v>0</v>
      </c>
      <c r="AA209" s="339">
        <v>0</v>
      </c>
      <c r="AB209" s="339" t="e">
        <v>#DIV/0!</v>
      </c>
      <c r="AC209" s="342" t="e">
        <v>#DIV/0!</v>
      </c>
      <c r="AD209" s="342" t="e">
        <v>#DIV/0!</v>
      </c>
      <c r="AE209" s="342" t="e">
        <v>#DIV/0!</v>
      </c>
      <c r="AF209" s="342" t="e">
        <v>#DIV/0!</v>
      </c>
      <c r="AG209" s="332"/>
    </row>
    <row r="210" spans="1:33" s="333" customFormat="1" ht="30">
      <c r="A210" s="337">
        <v>11</v>
      </c>
      <c r="B210" s="380" t="s">
        <v>1324</v>
      </c>
      <c r="C210" s="338">
        <v>2</v>
      </c>
      <c r="D210" s="337">
        <v>2</v>
      </c>
      <c r="E210" s="337">
        <v>2</v>
      </c>
      <c r="F210" s="337">
        <v>2</v>
      </c>
      <c r="G210" s="338">
        <v>1.125</v>
      </c>
      <c r="H210" s="338">
        <v>1.125</v>
      </c>
      <c r="I210" s="337">
        <v>8</v>
      </c>
      <c r="J210" s="337" t="s">
        <v>1318</v>
      </c>
      <c r="K210" s="337">
        <v>8</v>
      </c>
      <c r="L210" s="337" t="s">
        <v>1318</v>
      </c>
      <c r="M210" s="337">
        <v>8</v>
      </c>
      <c r="N210" s="337" t="s">
        <v>1318</v>
      </c>
      <c r="O210" s="337">
        <v>8</v>
      </c>
      <c r="P210" s="337" t="s">
        <v>1318</v>
      </c>
      <c r="Q210" s="337">
        <v>30</v>
      </c>
      <c r="R210" s="337">
        <v>0</v>
      </c>
      <c r="S210" s="339">
        <v>0</v>
      </c>
      <c r="T210" s="339">
        <v>0</v>
      </c>
      <c r="U210" s="339">
        <v>0</v>
      </c>
      <c r="V210" s="339">
        <v>0</v>
      </c>
      <c r="W210" s="339">
        <v>0</v>
      </c>
      <c r="X210" s="339">
        <v>0</v>
      </c>
      <c r="Y210" s="339">
        <v>0</v>
      </c>
      <c r="Z210" s="339">
        <v>0</v>
      </c>
      <c r="AA210" s="339">
        <v>0</v>
      </c>
      <c r="AB210" s="339" t="e">
        <v>#DIV/0!</v>
      </c>
      <c r="AC210" s="342" t="e">
        <v>#DIV/0!</v>
      </c>
      <c r="AD210" s="342" t="e">
        <v>#DIV/0!</v>
      </c>
      <c r="AE210" s="342" t="e">
        <v>#DIV/0!</v>
      </c>
      <c r="AF210" s="342" t="e">
        <v>#DIV/0!</v>
      </c>
      <c r="AG210" s="332"/>
    </row>
    <row r="211" spans="1:33" s="333" customFormat="1">
      <c r="A211" s="337">
        <v>12</v>
      </c>
      <c r="B211" s="380" t="s">
        <v>1325</v>
      </c>
      <c r="C211" s="338">
        <v>1</v>
      </c>
      <c r="D211" s="337">
        <v>1</v>
      </c>
      <c r="E211" s="337">
        <v>2</v>
      </c>
      <c r="F211" s="337">
        <v>2</v>
      </c>
      <c r="G211" s="338">
        <v>1.2</v>
      </c>
      <c r="H211" s="338">
        <v>1.2</v>
      </c>
      <c r="I211" s="337">
        <v>8</v>
      </c>
      <c r="J211" s="337" t="s">
        <v>1318</v>
      </c>
      <c r="K211" s="337">
        <v>8</v>
      </c>
      <c r="L211" s="337" t="s">
        <v>1318</v>
      </c>
      <c r="M211" s="337">
        <v>8</v>
      </c>
      <c r="N211" s="337" t="s">
        <v>1318</v>
      </c>
      <c r="O211" s="337">
        <v>8</v>
      </c>
      <c r="P211" s="337" t="s">
        <v>1318</v>
      </c>
      <c r="Q211" s="337">
        <v>30</v>
      </c>
      <c r="R211" s="337">
        <v>0</v>
      </c>
      <c r="S211" s="339">
        <v>0</v>
      </c>
      <c r="T211" s="339">
        <v>0</v>
      </c>
      <c r="U211" s="339">
        <v>0</v>
      </c>
      <c r="V211" s="339">
        <v>0</v>
      </c>
      <c r="W211" s="339">
        <v>0</v>
      </c>
      <c r="X211" s="339">
        <v>0</v>
      </c>
      <c r="Y211" s="339">
        <v>0</v>
      </c>
      <c r="Z211" s="339">
        <v>0</v>
      </c>
      <c r="AA211" s="339">
        <v>0</v>
      </c>
      <c r="AB211" s="339" t="e">
        <v>#DIV/0!</v>
      </c>
      <c r="AC211" s="342" t="e">
        <v>#DIV/0!</v>
      </c>
      <c r="AD211" s="342" t="e">
        <v>#DIV/0!</v>
      </c>
      <c r="AE211" s="342" t="e">
        <v>#DIV/0!</v>
      </c>
      <c r="AF211" s="342" t="e">
        <v>#DIV/0!</v>
      </c>
      <c r="AG211" s="332"/>
    </row>
    <row r="212" spans="1:33" s="333" customFormat="1">
      <c r="A212" s="337">
        <v>13</v>
      </c>
      <c r="B212" s="380" t="s">
        <v>1028</v>
      </c>
      <c r="C212" s="338">
        <v>1</v>
      </c>
      <c r="D212" s="337">
        <v>1</v>
      </c>
      <c r="E212" s="337">
        <v>1</v>
      </c>
      <c r="F212" s="337">
        <v>1</v>
      </c>
      <c r="G212" s="338">
        <v>2.4</v>
      </c>
      <c r="H212" s="338">
        <v>2.4</v>
      </c>
      <c r="I212" s="337">
        <v>24</v>
      </c>
      <c r="J212" s="337" t="s">
        <v>996</v>
      </c>
      <c r="K212" s="337">
        <v>24</v>
      </c>
      <c r="L212" s="337" t="s">
        <v>996</v>
      </c>
      <c r="M212" s="337">
        <v>24</v>
      </c>
      <c r="N212" s="337" t="s">
        <v>996</v>
      </c>
      <c r="O212" s="337">
        <v>24</v>
      </c>
      <c r="P212" s="337" t="s">
        <v>996</v>
      </c>
      <c r="Q212" s="337">
        <v>30</v>
      </c>
      <c r="R212" s="337">
        <v>0</v>
      </c>
      <c r="S212" s="339">
        <v>0</v>
      </c>
      <c r="T212" s="339">
        <v>0</v>
      </c>
      <c r="U212" s="339">
        <v>0</v>
      </c>
      <c r="V212" s="339">
        <v>0</v>
      </c>
      <c r="W212" s="339">
        <v>0</v>
      </c>
      <c r="X212" s="339">
        <v>0</v>
      </c>
      <c r="Y212" s="339">
        <v>0</v>
      </c>
      <c r="Z212" s="339">
        <v>0</v>
      </c>
      <c r="AA212" s="339">
        <v>0</v>
      </c>
      <c r="AB212" s="339" t="e">
        <v>#DIV/0!</v>
      </c>
      <c r="AC212" s="342" t="e">
        <v>#DIV/0!</v>
      </c>
      <c r="AD212" s="342" t="e">
        <v>#DIV/0!</v>
      </c>
      <c r="AE212" s="342" t="e">
        <v>#DIV/0!</v>
      </c>
      <c r="AF212" s="342" t="e">
        <v>#DIV/0!</v>
      </c>
      <c r="AG212" s="332"/>
    </row>
    <row r="213" spans="1:33" s="333" customFormat="1">
      <c r="A213" s="337">
        <v>14</v>
      </c>
      <c r="B213" s="380" t="s">
        <v>1326</v>
      </c>
      <c r="C213" s="338">
        <v>2</v>
      </c>
      <c r="D213" s="337">
        <v>2</v>
      </c>
      <c r="E213" s="337">
        <v>2</v>
      </c>
      <c r="F213" s="337">
        <v>2</v>
      </c>
      <c r="G213" s="338">
        <v>1.2</v>
      </c>
      <c r="H213" s="338">
        <v>1.2</v>
      </c>
      <c r="I213" s="337">
        <v>24</v>
      </c>
      <c r="J213" s="337" t="s">
        <v>996</v>
      </c>
      <c r="K213" s="337">
        <v>24</v>
      </c>
      <c r="L213" s="337" t="s">
        <v>996</v>
      </c>
      <c r="M213" s="337">
        <v>24</v>
      </c>
      <c r="N213" s="337" t="s">
        <v>996</v>
      </c>
      <c r="O213" s="337">
        <v>24</v>
      </c>
      <c r="P213" s="337" t="s">
        <v>996</v>
      </c>
      <c r="Q213" s="337">
        <v>30</v>
      </c>
      <c r="R213" s="337">
        <v>0</v>
      </c>
      <c r="S213" s="339">
        <v>0</v>
      </c>
      <c r="T213" s="339">
        <v>0</v>
      </c>
      <c r="U213" s="339">
        <v>0</v>
      </c>
      <c r="V213" s="339">
        <v>0</v>
      </c>
      <c r="W213" s="339">
        <v>0</v>
      </c>
      <c r="X213" s="339">
        <v>0</v>
      </c>
      <c r="Y213" s="339">
        <v>0</v>
      </c>
      <c r="Z213" s="339">
        <v>0</v>
      </c>
      <c r="AA213" s="339">
        <v>0</v>
      </c>
      <c r="AB213" s="339" t="e">
        <v>#DIV/0!</v>
      </c>
      <c r="AC213" s="342" t="e">
        <v>#DIV/0!</v>
      </c>
      <c r="AD213" s="342" t="e">
        <v>#DIV/0!</v>
      </c>
      <c r="AE213" s="342" t="e">
        <v>#DIV/0!</v>
      </c>
      <c r="AF213" s="342" t="e">
        <v>#DIV/0!</v>
      </c>
      <c r="AG213" s="332"/>
    </row>
    <row r="214" spans="1:33" s="333" customFormat="1">
      <c r="A214" s="337">
        <v>15</v>
      </c>
      <c r="B214" s="380" t="s">
        <v>1327</v>
      </c>
      <c r="C214" s="338">
        <v>1</v>
      </c>
      <c r="D214" s="337">
        <v>1</v>
      </c>
      <c r="E214" s="337">
        <v>1</v>
      </c>
      <c r="F214" s="337">
        <v>1</v>
      </c>
      <c r="G214" s="338">
        <v>0.4</v>
      </c>
      <c r="H214" s="338">
        <v>0.4</v>
      </c>
      <c r="I214" s="337">
        <v>24</v>
      </c>
      <c r="J214" s="337" t="s">
        <v>996</v>
      </c>
      <c r="K214" s="337">
        <v>4</v>
      </c>
      <c r="L214" s="337" t="s">
        <v>996</v>
      </c>
      <c r="M214" s="337">
        <v>3</v>
      </c>
      <c r="N214" s="337" t="s">
        <v>996</v>
      </c>
      <c r="O214" s="337">
        <v>4</v>
      </c>
      <c r="P214" s="337" t="s">
        <v>996</v>
      </c>
      <c r="Q214" s="337">
        <v>30</v>
      </c>
      <c r="R214" s="337">
        <v>0</v>
      </c>
      <c r="S214" s="339">
        <v>0</v>
      </c>
      <c r="T214" s="339">
        <v>0</v>
      </c>
      <c r="U214" s="339">
        <v>0</v>
      </c>
      <c r="V214" s="339">
        <v>0</v>
      </c>
      <c r="W214" s="339">
        <v>0</v>
      </c>
      <c r="X214" s="339">
        <v>0</v>
      </c>
      <c r="Y214" s="339">
        <v>0</v>
      </c>
      <c r="Z214" s="339">
        <v>0</v>
      </c>
      <c r="AA214" s="339">
        <v>0</v>
      </c>
      <c r="AB214" s="339" t="e">
        <v>#DIV/0!</v>
      </c>
      <c r="AC214" s="342" t="e">
        <v>#DIV/0!</v>
      </c>
      <c r="AD214" s="342" t="e">
        <v>#DIV/0!</v>
      </c>
      <c r="AE214" s="342" t="e">
        <v>#DIV/0!</v>
      </c>
      <c r="AF214" s="342" t="e">
        <v>#DIV/0!</v>
      </c>
      <c r="AG214" s="332"/>
    </row>
    <row r="215" spans="1:33" s="333" customFormat="1">
      <c r="A215" s="337">
        <v>16</v>
      </c>
      <c r="B215" s="380" t="s">
        <v>1328</v>
      </c>
      <c r="C215" s="338">
        <v>1</v>
      </c>
      <c r="D215" s="337">
        <v>1</v>
      </c>
      <c r="E215" s="337">
        <v>1</v>
      </c>
      <c r="F215" s="337">
        <v>1</v>
      </c>
      <c r="G215" s="338">
        <v>0.05</v>
      </c>
      <c r="H215" s="338">
        <v>0.05</v>
      </c>
      <c r="I215" s="337">
        <v>2</v>
      </c>
      <c r="J215" s="337" t="s">
        <v>1329</v>
      </c>
      <c r="K215" s="337">
        <v>2</v>
      </c>
      <c r="L215" s="337" t="s">
        <v>1329</v>
      </c>
      <c r="M215" s="337">
        <v>2</v>
      </c>
      <c r="N215" s="337" t="s">
        <v>1329</v>
      </c>
      <c r="O215" s="337">
        <v>2</v>
      </c>
      <c r="P215" s="337" t="s">
        <v>1329</v>
      </c>
      <c r="Q215" s="337">
        <v>30</v>
      </c>
      <c r="R215" s="337">
        <v>0</v>
      </c>
      <c r="S215" s="339">
        <v>0</v>
      </c>
      <c r="T215" s="339">
        <v>0</v>
      </c>
      <c r="U215" s="339">
        <v>0</v>
      </c>
      <c r="V215" s="339">
        <v>0</v>
      </c>
      <c r="W215" s="339">
        <v>0</v>
      </c>
      <c r="X215" s="339">
        <v>0</v>
      </c>
      <c r="Y215" s="339">
        <v>0</v>
      </c>
      <c r="Z215" s="339">
        <v>0</v>
      </c>
      <c r="AA215" s="339">
        <v>0</v>
      </c>
      <c r="AB215" s="339" t="e">
        <v>#DIV/0!</v>
      </c>
      <c r="AC215" s="342" t="e">
        <v>#DIV/0!</v>
      </c>
      <c r="AD215" s="342" t="e">
        <v>#DIV/0!</v>
      </c>
      <c r="AE215" s="342" t="e">
        <v>#DIV/0!</v>
      </c>
      <c r="AF215" s="342" t="e">
        <v>#DIV/0!</v>
      </c>
      <c r="AG215" s="332"/>
    </row>
    <row r="216" spans="1:33" s="333" customFormat="1">
      <c r="A216" s="337">
        <v>17</v>
      </c>
      <c r="B216" s="381" t="s">
        <v>1330</v>
      </c>
      <c r="C216" s="338">
        <v>1</v>
      </c>
      <c r="D216" s="337">
        <v>2</v>
      </c>
      <c r="E216" s="337">
        <v>2</v>
      </c>
      <c r="F216" s="337">
        <v>2</v>
      </c>
      <c r="G216" s="338">
        <v>0.1</v>
      </c>
      <c r="H216" s="338">
        <v>0.1</v>
      </c>
      <c r="I216" s="337">
        <v>2</v>
      </c>
      <c r="J216" s="337" t="s">
        <v>1329</v>
      </c>
      <c r="K216" s="337">
        <v>2</v>
      </c>
      <c r="L216" s="337" t="s">
        <v>1329</v>
      </c>
      <c r="M216" s="337">
        <v>2</v>
      </c>
      <c r="N216" s="337" t="s">
        <v>1329</v>
      </c>
      <c r="O216" s="337">
        <v>2</v>
      </c>
      <c r="P216" s="337" t="s">
        <v>1329</v>
      </c>
      <c r="Q216" s="337">
        <v>30</v>
      </c>
      <c r="R216" s="337">
        <v>0</v>
      </c>
      <c r="S216" s="339">
        <v>0</v>
      </c>
      <c r="T216" s="339">
        <v>0</v>
      </c>
      <c r="U216" s="339">
        <v>0</v>
      </c>
      <c r="V216" s="339">
        <v>0</v>
      </c>
      <c r="W216" s="339">
        <v>0</v>
      </c>
      <c r="X216" s="339">
        <v>0</v>
      </c>
      <c r="Y216" s="339">
        <v>0</v>
      </c>
      <c r="Z216" s="339">
        <v>0</v>
      </c>
      <c r="AA216" s="339">
        <v>0</v>
      </c>
      <c r="AB216" s="339" t="e">
        <v>#DIV/0!</v>
      </c>
      <c r="AC216" s="342" t="e">
        <v>#DIV/0!</v>
      </c>
      <c r="AD216" s="342" t="e">
        <v>#DIV/0!</v>
      </c>
      <c r="AE216" s="342" t="e">
        <v>#DIV/0!</v>
      </c>
      <c r="AF216" s="342" t="e">
        <v>#DIV/0!</v>
      </c>
      <c r="AG216" s="332"/>
    </row>
    <row r="217" spans="1:33" s="333" customFormat="1">
      <c r="A217" s="337">
        <v>18</v>
      </c>
      <c r="B217" s="380" t="s">
        <v>392</v>
      </c>
      <c r="C217" s="338">
        <v>1</v>
      </c>
      <c r="D217" s="337">
        <v>2</v>
      </c>
      <c r="E217" s="337">
        <v>2</v>
      </c>
      <c r="F217" s="337">
        <v>2</v>
      </c>
      <c r="G217" s="338">
        <v>0.75</v>
      </c>
      <c r="H217" s="338">
        <v>0.75</v>
      </c>
      <c r="I217" s="337">
        <v>24</v>
      </c>
      <c r="J217" s="337" t="s">
        <v>996</v>
      </c>
      <c r="K217" s="337">
        <v>24</v>
      </c>
      <c r="L217" s="337" t="s">
        <v>996</v>
      </c>
      <c r="M217" s="337">
        <v>24</v>
      </c>
      <c r="N217" s="337" t="s">
        <v>996</v>
      </c>
      <c r="O217" s="337">
        <v>24</v>
      </c>
      <c r="P217" s="337" t="s">
        <v>996</v>
      </c>
      <c r="Q217" s="337">
        <v>30</v>
      </c>
      <c r="R217" s="337">
        <v>0</v>
      </c>
      <c r="S217" s="339">
        <v>0</v>
      </c>
      <c r="T217" s="339">
        <v>0</v>
      </c>
      <c r="U217" s="339">
        <v>0</v>
      </c>
      <c r="V217" s="339">
        <v>0</v>
      </c>
      <c r="W217" s="339">
        <v>0</v>
      </c>
      <c r="X217" s="339">
        <v>0</v>
      </c>
      <c r="Y217" s="339">
        <v>0</v>
      </c>
      <c r="Z217" s="339">
        <v>0</v>
      </c>
      <c r="AA217" s="339">
        <v>0</v>
      </c>
      <c r="AB217" s="339" t="e">
        <v>#DIV/0!</v>
      </c>
      <c r="AC217" s="342" t="e">
        <v>#DIV/0!</v>
      </c>
      <c r="AD217" s="342" t="e">
        <v>#DIV/0!</v>
      </c>
      <c r="AE217" s="342" t="e">
        <v>#DIV/0!</v>
      </c>
      <c r="AF217" s="342" t="e">
        <v>#DIV/0!</v>
      </c>
      <c r="AG217" s="332"/>
    </row>
    <row r="218" spans="1:33" s="333" customFormat="1">
      <c r="A218" s="337">
        <v>19</v>
      </c>
      <c r="B218" s="380" t="s">
        <v>1331</v>
      </c>
      <c r="C218" s="338">
        <v>1</v>
      </c>
      <c r="D218" s="337">
        <v>1</v>
      </c>
      <c r="E218" s="337">
        <v>1</v>
      </c>
      <c r="F218" s="337">
        <v>1</v>
      </c>
      <c r="G218" s="338">
        <v>0.75</v>
      </c>
      <c r="H218" s="338">
        <v>0.75</v>
      </c>
      <c r="I218" s="337">
        <v>24</v>
      </c>
      <c r="J218" s="337" t="s">
        <v>996</v>
      </c>
      <c r="K218" s="337">
        <v>24</v>
      </c>
      <c r="L218" s="337" t="s">
        <v>996</v>
      </c>
      <c r="M218" s="337">
        <v>24</v>
      </c>
      <c r="N218" s="337" t="s">
        <v>996</v>
      </c>
      <c r="O218" s="337">
        <v>24</v>
      </c>
      <c r="P218" s="337" t="s">
        <v>996</v>
      </c>
      <c r="Q218" s="337">
        <v>30</v>
      </c>
      <c r="R218" s="337">
        <v>0</v>
      </c>
      <c r="S218" s="339">
        <v>0</v>
      </c>
      <c r="T218" s="339">
        <v>0</v>
      </c>
      <c r="U218" s="339">
        <v>0</v>
      </c>
      <c r="V218" s="339">
        <v>0</v>
      </c>
      <c r="W218" s="339">
        <v>0</v>
      </c>
      <c r="X218" s="339">
        <v>0</v>
      </c>
      <c r="Y218" s="339">
        <v>0</v>
      </c>
      <c r="Z218" s="339">
        <v>0</v>
      </c>
      <c r="AA218" s="339">
        <v>0</v>
      </c>
      <c r="AB218" s="339" t="e">
        <v>#DIV/0!</v>
      </c>
      <c r="AC218" s="342" t="e">
        <v>#DIV/0!</v>
      </c>
      <c r="AD218" s="342" t="e">
        <v>#DIV/0!</v>
      </c>
      <c r="AE218" s="342" t="e">
        <v>#DIV/0!</v>
      </c>
      <c r="AF218" s="342" t="e">
        <v>#DIV/0!</v>
      </c>
      <c r="AG218" s="332"/>
    </row>
    <row r="219" spans="1:33" s="333" customFormat="1">
      <c r="A219" s="337">
        <v>20</v>
      </c>
      <c r="B219" s="380" t="s">
        <v>1332</v>
      </c>
      <c r="C219" s="338">
        <v>1</v>
      </c>
      <c r="D219" s="337">
        <v>1</v>
      </c>
      <c r="E219" s="337">
        <v>1</v>
      </c>
      <c r="F219" s="337">
        <v>1</v>
      </c>
      <c r="G219" s="338">
        <v>0.75</v>
      </c>
      <c r="H219" s="338">
        <v>0.75</v>
      </c>
      <c r="I219" s="337">
        <v>24</v>
      </c>
      <c r="J219" s="337" t="s">
        <v>996</v>
      </c>
      <c r="K219" s="337">
        <v>24</v>
      </c>
      <c r="L219" s="337" t="s">
        <v>996</v>
      </c>
      <c r="M219" s="337">
        <v>24</v>
      </c>
      <c r="N219" s="337" t="s">
        <v>996</v>
      </c>
      <c r="O219" s="337">
        <v>24</v>
      </c>
      <c r="P219" s="337" t="s">
        <v>996</v>
      </c>
      <c r="Q219" s="337">
        <v>30</v>
      </c>
      <c r="R219" s="337">
        <v>0</v>
      </c>
      <c r="S219" s="339">
        <v>0</v>
      </c>
      <c r="T219" s="339">
        <v>0</v>
      </c>
      <c r="U219" s="339">
        <v>0</v>
      </c>
      <c r="V219" s="339">
        <v>0</v>
      </c>
      <c r="W219" s="339">
        <v>0</v>
      </c>
      <c r="X219" s="339">
        <v>0</v>
      </c>
      <c r="Y219" s="339">
        <v>0</v>
      </c>
      <c r="Z219" s="339">
        <v>0</v>
      </c>
      <c r="AA219" s="339">
        <v>0</v>
      </c>
      <c r="AB219" s="339" t="e">
        <v>#DIV/0!</v>
      </c>
      <c r="AC219" s="342" t="e">
        <v>#DIV/0!</v>
      </c>
      <c r="AD219" s="342" t="e">
        <v>#DIV/0!</v>
      </c>
      <c r="AE219" s="342" t="e">
        <v>#DIV/0!</v>
      </c>
      <c r="AF219" s="342" t="e">
        <v>#DIV/0!</v>
      </c>
      <c r="AG219" s="332"/>
    </row>
    <row r="220" spans="1:33" s="333" customFormat="1">
      <c r="A220" s="337">
        <v>21</v>
      </c>
      <c r="B220" s="380" t="s">
        <v>1333</v>
      </c>
      <c r="C220" s="338">
        <v>1</v>
      </c>
      <c r="D220" s="337">
        <v>1</v>
      </c>
      <c r="E220" s="337">
        <v>1</v>
      </c>
      <c r="F220" s="337">
        <v>1</v>
      </c>
      <c r="G220" s="338">
        <v>0.75</v>
      </c>
      <c r="H220" s="338">
        <v>0.75</v>
      </c>
      <c r="I220" s="337">
        <v>24</v>
      </c>
      <c r="J220" s="337" t="s">
        <v>996</v>
      </c>
      <c r="K220" s="337">
        <v>24</v>
      </c>
      <c r="L220" s="337" t="s">
        <v>996</v>
      </c>
      <c r="M220" s="337">
        <v>24</v>
      </c>
      <c r="N220" s="337" t="s">
        <v>996</v>
      </c>
      <c r="O220" s="337">
        <v>24</v>
      </c>
      <c r="P220" s="337" t="s">
        <v>996</v>
      </c>
      <c r="Q220" s="337">
        <v>30</v>
      </c>
      <c r="R220" s="337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42"/>
      <c r="AD220" s="342"/>
      <c r="AE220" s="342"/>
      <c r="AF220" s="342"/>
      <c r="AG220" s="332"/>
    </row>
    <row r="221" spans="1:33" s="333" customFormat="1">
      <c r="A221" s="337">
        <v>22</v>
      </c>
      <c r="B221" s="380" t="s">
        <v>1334</v>
      </c>
      <c r="C221" s="338">
        <v>1</v>
      </c>
      <c r="D221" s="337">
        <v>1</v>
      </c>
      <c r="E221" s="337">
        <v>1</v>
      </c>
      <c r="F221" s="337">
        <v>1</v>
      </c>
      <c r="G221" s="338">
        <v>1.5</v>
      </c>
      <c r="H221" s="338">
        <v>1.5</v>
      </c>
      <c r="I221" s="337">
        <v>4</v>
      </c>
      <c r="J221" s="337" t="s">
        <v>1335</v>
      </c>
      <c r="K221" s="337">
        <v>6</v>
      </c>
      <c r="L221" s="337" t="s">
        <v>1336</v>
      </c>
      <c r="M221" s="337">
        <v>8</v>
      </c>
      <c r="N221" s="337" t="s">
        <v>1337</v>
      </c>
      <c r="O221" s="337">
        <v>9</v>
      </c>
      <c r="P221" s="337" t="s">
        <v>1338</v>
      </c>
      <c r="Q221" s="337">
        <v>30</v>
      </c>
      <c r="R221" s="337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42"/>
      <c r="AD221" s="342"/>
      <c r="AE221" s="342"/>
      <c r="AF221" s="342"/>
      <c r="AG221" s="332"/>
    </row>
    <row r="222" spans="1:33" s="333" customFormat="1">
      <c r="A222" s="337">
        <v>23</v>
      </c>
      <c r="B222" s="380" t="s">
        <v>1339</v>
      </c>
      <c r="C222" s="338">
        <v>1</v>
      </c>
      <c r="D222" s="337">
        <v>1</v>
      </c>
      <c r="E222" s="337">
        <v>1</v>
      </c>
      <c r="F222" s="337">
        <v>1</v>
      </c>
      <c r="G222" s="338">
        <v>0.6</v>
      </c>
      <c r="H222" s="338">
        <v>0.6</v>
      </c>
      <c r="I222" s="337">
        <v>8</v>
      </c>
      <c r="J222" s="337" t="s">
        <v>1318</v>
      </c>
      <c r="K222" s="337">
        <v>9</v>
      </c>
      <c r="L222" s="337" t="s">
        <v>1340</v>
      </c>
      <c r="M222" s="337">
        <v>10</v>
      </c>
      <c r="N222" s="337" t="s">
        <v>1341</v>
      </c>
      <c r="O222" s="337">
        <v>11</v>
      </c>
      <c r="P222" s="337" t="s">
        <v>1342</v>
      </c>
      <c r="Q222" s="337">
        <v>30</v>
      </c>
      <c r="R222" s="337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42"/>
      <c r="AD222" s="342"/>
      <c r="AE222" s="342"/>
      <c r="AF222" s="342"/>
      <c r="AG222" s="332"/>
    </row>
    <row r="223" spans="1:33" s="333" customFormat="1">
      <c r="A223" s="337">
        <v>24</v>
      </c>
      <c r="B223" s="380" t="s">
        <v>1343</v>
      </c>
      <c r="C223" s="338">
        <v>1</v>
      </c>
      <c r="D223" s="337">
        <v>1</v>
      </c>
      <c r="E223" s="337">
        <v>1</v>
      </c>
      <c r="F223" s="337">
        <v>1</v>
      </c>
      <c r="G223" s="338">
        <v>0.6</v>
      </c>
      <c r="H223" s="338">
        <v>0.6</v>
      </c>
      <c r="I223" s="337">
        <v>1</v>
      </c>
      <c r="J223" s="337" t="s">
        <v>1318</v>
      </c>
      <c r="K223" s="337">
        <v>1</v>
      </c>
      <c r="L223" s="337" t="s">
        <v>1318</v>
      </c>
      <c r="M223" s="337">
        <v>1</v>
      </c>
      <c r="N223" s="337" t="s">
        <v>1318</v>
      </c>
      <c r="O223" s="337">
        <v>1</v>
      </c>
      <c r="P223" s="337" t="s">
        <v>1318</v>
      </c>
      <c r="Q223" s="337">
        <v>30</v>
      </c>
      <c r="R223" s="337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42"/>
      <c r="AD223" s="342"/>
      <c r="AE223" s="342"/>
      <c r="AF223" s="342"/>
      <c r="AG223" s="332"/>
    </row>
    <row r="224" spans="1:33" s="333" customFormat="1">
      <c r="A224" s="337">
        <v>25</v>
      </c>
      <c r="B224" s="380" t="s">
        <v>1344</v>
      </c>
      <c r="C224" s="338">
        <v>1</v>
      </c>
      <c r="D224" s="337">
        <v>1</v>
      </c>
      <c r="E224" s="337">
        <v>1</v>
      </c>
      <c r="F224" s="337">
        <v>1</v>
      </c>
      <c r="G224" s="338">
        <v>0.5</v>
      </c>
      <c r="H224" s="338">
        <v>0.5</v>
      </c>
      <c r="I224" s="337">
        <v>24</v>
      </c>
      <c r="J224" s="337" t="s">
        <v>996</v>
      </c>
      <c r="K224" s="337">
        <v>24</v>
      </c>
      <c r="L224" s="337" t="s">
        <v>996</v>
      </c>
      <c r="M224" s="337">
        <v>24</v>
      </c>
      <c r="N224" s="337" t="s">
        <v>996</v>
      </c>
      <c r="O224" s="337">
        <v>24</v>
      </c>
      <c r="P224" s="337" t="s">
        <v>996</v>
      </c>
      <c r="Q224" s="337">
        <v>30</v>
      </c>
      <c r="R224" s="337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42"/>
      <c r="AD224" s="342"/>
      <c r="AE224" s="342"/>
      <c r="AF224" s="342"/>
      <c r="AG224" s="332"/>
    </row>
    <row r="225" spans="1:33" s="333" customFormat="1">
      <c r="A225" s="337">
        <v>26</v>
      </c>
      <c r="B225" s="380" t="s">
        <v>1345</v>
      </c>
      <c r="C225" s="338">
        <v>1</v>
      </c>
      <c r="D225" s="337">
        <v>1</v>
      </c>
      <c r="E225" s="337">
        <v>1</v>
      </c>
      <c r="F225" s="337">
        <v>1</v>
      </c>
      <c r="G225" s="338">
        <v>1.5</v>
      </c>
      <c r="H225" s="338">
        <v>1.5</v>
      </c>
      <c r="I225" s="337">
        <v>9</v>
      </c>
      <c r="J225" s="337" t="s">
        <v>1340</v>
      </c>
      <c r="K225" s="337">
        <v>9</v>
      </c>
      <c r="L225" s="337" t="s">
        <v>1340</v>
      </c>
      <c r="M225" s="337">
        <v>9</v>
      </c>
      <c r="N225" s="337" t="s">
        <v>1340</v>
      </c>
      <c r="O225" s="337">
        <v>9</v>
      </c>
      <c r="P225" s="337" t="s">
        <v>1340</v>
      </c>
      <c r="Q225" s="337">
        <v>30</v>
      </c>
      <c r="R225" s="337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42"/>
      <c r="AD225" s="342"/>
      <c r="AE225" s="342"/>
      <c r="AF225" s="342"/>
      <c r="AG225" s="332"/>
    </row>
    <row r="226" spans="1:33" s="333" customFormat="1">
      <c r="A226" s="337">
        <v>27</v>
      </c>
      <c r="B226" s="380" t="s">
        <v>1346</v>
      </c>
      <c r="C226" s="338">
        <v>1</v>
      </c>
      <c r="D226" s="337">
        <v>1</v>
      </c>
      <c r="E226" s="337">
        <v>1</v>
      </c>
      <c r="F226" s="337">
        <v>1</v>
      </c>
      <c r="G226" s="338">
        <v>0.75</v>
      </c>
      <c r="H226" s="338">
        <v>0.75</v>
      </c>
      <c r="I226" s="337">
        <v>24</v>
      </c>
      <c r="J226" s="337" t="s">
        <v>996</v>
      </c>
      <c r="K226" s="337">
        <v>24</v>
      </c>
      <c r="L226" s="337" t="s">
        <v>996</v>
      </c>
      <c r="M226" s="337">
        <v>24</v>
      </c>
      <c r="N226" s="337" t="s">
        <v>996</v>
      </c>
      <c r="O226" s="337">
        <v>24</v>
      </c>
      <c r="P226" s="337" t="s">
        <v>996</v>
      </c>
      <c r="Q226" s="337">
        <v>30</v>
      </c>
      <c r="R226" s="337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42"/>
      <c r="AD226" s="342"/>
      <c r="AE226" s="342"/>
      <c r="AF226" s="342"/>
      <c r="AG226" s="332"/>
    </row>
    <row r="227" spans="1:33" s="333" customFormat="1">
      <c r="A227" s="337">
        <v>28</v>
      </c>
      <c r="B227" s="380" t="s">
        <v>1347</v>
      </c>
      <c r="C227" s="338">
        <v>1</v>
      </c>
      <c r="D227" s="337">
        <v>1</v>
      </c>
      <c r="E227" s="337">
        <v>1</v>
      </c>
      <c r="F227" s="337">
        <v>1</v>
      </c>
      <c r="G227" s="338">
        <v>0.75</v>
      </c>
      <c r="H227" s="338">
        <v>0.75</v>
      </c>
      <c r="I227" s="337">
        <v>24</v>
      </c>
      <c r="J227" s="337" t="s">
        <v>996</v>
      </c>
      <c r="K227" s="337">
        <v>24</v>
      </c>
      <c r="L227" s="337" t="s">
        <v>996</v>
      </c>
      <c r="M227" s="337">
        <v>24</v>
      </c>
      <c r="N227" s="337" t="s">
        <v>996</v>
      </c>
      <c r="O227" s="337">
        <v>24</v>
      </c>
      <c r="P227" s="337" t="s">
        <v>996</v>
      </c>
      <c r="Q227" s="337">
        <v>30</v>
      </c>
      <c r="R227" s="337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42"/>
      <c r="AD227" s="342"/>
      <c r="AE227" s="342"/>
      <c r="AF227" s="342"/>
      <c r="AG227" s="332"/>
    </row>
    <row r="228" spans="1:33" s="333" customFormat="1">
      <c r="A228" s="337">
        <v>29</v>
      </c>
      <c r="B228" s="380" t="s">
        <v>1348</v>
      </c>
      <c r="C228" s="338">
        <v>1</v>
      </c>
      <c r="D228" s="337">
        <v>1</v>
      </c>
      <c r="E228" s="337">
        <v>1</v>
      </c>
      <c r="F228" s="337">
        <v>1</v>
      </c>
      <c r="G228" s="338">
        <v>0.75</v>
      </c>
      <c r="H228" s="338">
        <v>0.75</v>
      </c>
      <c r="I228" s="337">
        <v>24</v>
      </c>
      <c r="J228" s="337" t="s">
        <v>996</v>
      </c>
      <c r="K228" s="337">
        <v>24</v>
      </c>
      <c r="L228" s="337" t="s">
        <v>996</v>
      </c>
      <c r="M228" s="337">
        <v>24</v>
      </c>
      <c r="N228" s="337" t="s">
        <v>996</v>
      </c>
      <c r="O228" s="337">
        <v>24</v>
      </c>
      <c r="P228" s="337" t="s">
        <v>996</v>
      </c>
      <c r="Q228" s="337">
        <v>30</v>
      </c>
      <c r="R228" s="337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42"/>
      <c r="AD228" s="342"/>
      <c r="AE228" s="342"/>
      <c r="AF228" s="342"/>
      <c r="AG228" s="332"/>
    </row>
    <row r="229" spans="1:33" s="333" customFormat="1">
      <c r="A229" s="337">
        <v>30</v>
      </c>
      <c r="B229" s="380" t="s">
        <v>1349</v>
      </c>
      <c r="C229" s="338">
        <v>2</v>
      </c>
      <c r="D229" s="337">
        <v>2</v>
      </c>
      <c r="E229" s="337">
        <v>2</v>
      </c>
      <c r="F229" s="337">
        <v>2</v>
      </c>
      <c r="G229" s="338">
        <v>0.75</v>
      </c>
      <c r="H229" s="338">
        <v>0.75</v>
      </c>
      <c r="I229" s="337">
        <v>24</v>
      </c>
      <c r="J229" s="337" t="s">
        <v>996</v>
      </c>
      <c r="K229" s="337">
        <v>24</v>
      </c>
      <c r="L229" s="337" t="s">
        <v>996</v>
      </c>
      <c r="M229" s="337">
        <v>24</v>
      </c>
      <c r="N229" s="337" t="s">
        <v>996</v>
      </c>
      <c r="O229" s="337">
        <v>24</v>
      </c>
      <c r="P229" s="337" t="s">
        <v>996</v>
      </c>
      <c r="Q229" s="337">
        <v>30</v>
      </c>
      <c r="R229" s="337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42"/>
      <c r="AD229" s="342"/>
      <c r="AE229" s="342"/>
      <c r="AF229" s="342"/>
      <c r="AG229" s="332"/>
    </row>
    <row r="230" spans="1:33" s="332" customFormat="1" ht="14.25">
      <c r="A230" s="350" t="s">
        <v>39</v>
      </c>
      <c r="B230" s="376" t="s">
        <v>1350</v>
      </c>
      <c r="C230" s="364"/>
      <c r="D230" s="350"/>
      <c r="E230" s="350"/>
      <c r="F230" s="350"/>
      <c r="G230" s="364"/>
      <c r="H230" s="364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  <c r="AC230" s="352"/>
      <c r="AD230" s="352"/>
      <c r="AE230" s="352"/>
      <c r="AF230" s="352"/>
    </row>
    <row r="231" spans="1:33" s="333" customFormat="1">
      <c r="A231" s="337">
        <v>1</v>
      </c>
      <c r="B231" s="380" t="s">
        <v>292</v>
      </c>
      <c r="C231" s="338">
        <v>1</v>
      </c>
      <c r="D231" s="337"/>
      <c r="E231" s="337">
        <v>1</v>
      </c>
      <c r="F231" s="337">
        <v>1</v>
      </c>
      <c r="G231" s="338">
        <v>0.8</v>
      </c>
      <c r="H231" s="338">
        <v>0.8</v>
      </c>
      <c r="I231" s="337"/>
      <c r="J231" s="337"/>
      <c r="K231" s="337">
        <v>6</v>
      </c>
      <c r="L231" s="337">
        <v>2</v>
      </c>
      <c r="M231" s="337"/>
      <c r="N231" s="337"/>
      <c r="O231" s="337">
        <v>6</v>
      </c>
      <c r="P231" s="337"/>
      <c r="Q231" s="337">
        <v>30</v>
      </c>
      <c r="R231" s="337">
        <v>0</v>
      </c>
      <c r="S231" s="339">
        <v>0</v>
      </c>
      <c r="T231" s="339">
        <v>0</v>
      </c>
      <c r="U231" s="339">
        <v>0</v>
      </c>
      <c r="V231" s="339">
        <v>144.00000000000003</v>
      </c>
      <c r="W231" s="339">
        <v>0</v>
      </c>
      <c r="X231" s="339">
        <v>0</v>
      </c>
      <c r="Y231" s="339">
        <v>0</v>
      </c>
      <c r="Z231" s="339">
        <v>0</v>
      </c>
      <c r="AA231" s="339">
        <v>144.00000000000003</v>
      </c>
      <c r="AB231" s="339" t="e">
        <v>#DIV/0!</v>
      </c>
      <c r="AC231" s="342" t="e">
        <v>#DIV/0!</v>
      </c>
      <c r="AD231" s="342" t="e">
        <v>#DIV/0!</v>
      </c>
      <c r="AE231" s="342" t="e">
        <v>#DIV/0!</v>
      </c>
      <c r="AF231" s="342">
        <v>1</v>
      </c>
      <c r="AG231" s="332"/>
    </row>
    <row r="232" spans="1:33" s="333" customFormat="1">
      <c r="A232" s="337">
        <v>2</v>
      </c>
      <c r="B232" s="380" t="s">
        <v>293</v>
      </c>
      <c r="C232" s="338">
        <v>1</v>
      </c>
      <c r="D232" s="337">
        <v>1</v>
      </c>
      <c r="E232" s="337">
        <v>3</v>
      </c>
      <c r="F232" s="337">
        <v>3</v>
      </c>
      <c r="G232" s="338">
        <v>0.35</v>
      </c>
      <c r="H232" s="338">
        <v>0.35</v>
      </c>
      <c r="I232" s="337">
        <v>24</v>
      </c>
      <c r="J232" s="337" t="s">
        <v>996</v>
      </c>
      <c r="K232" s="337">
        <v>24</v>
      </c>
      <c r="L232" s="337" t="s">
        <v>996</v>
      </c>
      <c r="M232" s="337">
        <v>24</v>
      </c>
      <c r="N232" s="337" t="s">
        <v>996</v>
      </c>
      <c r="O232" s="337">
        <v>24</v>
      </c>
      <c r="P232" s="337" t="s">
        <v>996</v>
      </c>
      <c r="Q232" s="337">
        <v>30</v>
      </c>
      <c r="R232" s="337">
        <v>251.99999999999994</v>
      </c>
      <c r="S232" s="339">
        <v>251.99999999999994</v>
      </c>
      <c r="T232" s="339">
        <v>251.99999999999994</v>
      </c>
      <c r="U232" s="339">
        <v>755.99999999999989</v>
      </c>
      <c r="V232" s="339">
        <v>755.99999999999989</v>
      </c>
      <c r="W232" s="339">
        <v>251.99999999999994</v>
      </c>
      <c r="X232" s="339">
        <v>251.99999999999994</v>
      </c>
      <c r="Y232" s="339">
        <v>251.99999999999994</v>
      </c>
      <c r="Z232" s="339">
        <v>755.99999999999989</v>
      </c>
      <c r="AA232" s="339">
        <v>755.99999999999989</v>
      </c>
      <c r="AB232" s="339">
        <v>1</v>
      </c>
      <c r="AC232" s="342">
        <v>1</v>
      </c>
      <c r="AD232" s="342">
        <v>1</v>
      </c>
      <c r="AE232" s="342">
        <v>1</v>
      </c>
      <c r="AF232" s="342">
        <v>1</v>
      </c>
      <c r="AG232" s="332"/>
    </row>
    <row r="233" spans="1:33" s="333" customFormat="1" ht="30">
      <c r="A233" s="337">
        <v>3</v>
      </c>
      <c r="B233" s="380" t="s">
        <v>294</v>
      </c>
      <c r="C233" s="338">
        <v>1</v>
      </c>
      <c r="D233" s="337">
        <v>1</v>
      </c>
      <c r="E233" s="337">
        <v>2</v>
      </c>
      <c r="F233" s="337">
        <v>2</v>
      </c>
      <c r="G233" s="338">
        <v>0.63</v>
      </c>
      <c r="H233" s="338">
        <v>0.63</v>
      </c>
      <c r="I233" s="337">
        <v>24</v>
      </c>
      <c r="J233" s="337" t="s">
        <v>996</v>
      </c>
      <c r="K233" s="337">
        <v>6</v>
      </c>
      <c r="L233" s="337">
        <v>12</v>
      </c>
      <c r="M233" s="337">
        <v>6</v>
      </c>
      <c r="N233" s="337">
        <v>6</v>
      </c>
      <c r="O233" s="337">
        <v>24</v>
      </c>
      <c r="P233" s="337" t="s">
        <v>996</v>
      </c>
      <c r="Q233" s="337">
        <v>30</v>
      </c>
      <c r="R233" s="337">
        <v>0</v>
      </c>
      <c r="S233" s="339">
        <v>453.6</v>
      </c>
      <c r="T233" s="339">
        <v>113.4</v>
      </c>
      <c r="U233" s="339">
        <v>226.8</v>
      </c>
      <c r="V233" s="339">
        <v>907.2</v>
      </c>
      <c r="W233" s="339">
        <v>0</v>
      </c>
      <c r="X233" s="339">
        <v>453.6</v>
      </c>
      <c r="Y233" s="339">
        <v>113.4</v>
      </c>
      <c r="Z233" s="339">
        <v>226.8</v>
      </c>
      <c r="AA233" s="339">
        <v>907.2</v>
      </c>
      <c r="AB233" s="339" t="e">
        <v>#DIV/0!</v>
      </c>
      <c r="AC233" s="342">
        <v>1</v>
      </c>
      <c r="AD233" s="342">
        <v>1</v>
      </c>
      <c r="AE233" s="342">
        <v>1</v>
      </c>
      <c r="AF233" s="342">
        <v>1</v>
      </c>
      <c r="AG233" s="332"/>
    </row>
    <row r="234" spans="1:33" s="333" customFormat="1">
      <c r="A234" s="337">
        <v>4</v>
      </c>
      <c r="B234" s="380" t="s">
        <v>295</v>
      </c>
      <c r="C234" s="338"/>
      <c r="D234" s="337">
        <v>1</v>
      </c>
      <c r="E234" s="337">
        <v>1</v>
      </c>
      <c r="F234" s="337">
        <v>1</v>
      </c>
      <c r="G234" s="338">
        <v>4</v>
      </c>
      <c r="H234" s="338">
        <v>4</v>
      </c>
      <c r="I234" s="337">
        <v>4</v>
      </c>
      <c r="J234" s="337" t="s">
        <v>996</v>
      </c>
      <c r="K234" s="337">
        <v>6</v>
      </c>
      <c r="L234" s="337">
        <v>12</v>
      </c>
      <c r="M234" s="337">
        <v>6</v>
      </c>
      <c r="N234" s="337">
        <v>6</v>
      </c>
      <c r="O234" s="337">
        <v>6</v>
      </c>
      <c r="P234" s="337" t="s">
        <v>996</v>
      </c>
      <c r="Q234" s="337">
        <v>30</v>
      </c>
      <c r="R234" s="337">
        <v>0</v>
      </c>
      <c r="S234" s="339">
        <v>0</v>
      </c>
      <c r="T234" s="339">
        <v>720</v>
      </c>
      <c r="U234" s="339">
        <v>720</v>
      </c>
      <c r="V234" s="339">
        <v>720</v>
      </c>
      <c r="W234" s="339">
        <v>0</v>
      </c>
      <c r="X234" s="339">
        <v>0</v>
      </c>
      <c r="Y234" s="339">
        <v>720</v>
      </c>
      <c r="Z234" s="339">
        <v>720</v>
      </c>
      <c r="AA234" s="339">
        <v>720</v>
      </c>
      <c r="AB234" s="339" t="e">
        <v>#DIV/0!</v>
      </c>
      <c r="AC234" s="342" t="e">
        <v>#DIV/0!</v>
      </c>
      <c r="AD234" s="342">
        <v>1</v>
      </c>
      <c r="AE234" s="342">
        <v>1</v>
      </c>
      <c r="AF234" s="342">
        <v>1</v>
      </c>
      <c r="AG234" s="332"/>
    </row>
    <row r="235" spans="1:33" s="333" customFormat="1">
      <c r="A235" s="337">
        <v>5</v>
      </c>
      <c r="B235" s="380" t="s">
        <v>296</v>
      </c>
      <c r="C235" s="338">
        <v>1</v>
      </c>
      <c r="D235" s="337">
        <v>1</v>
      </c>
      <c r="E235" s="337">
        <v>1</v>
      </c>
      <c r="F235" s="337">
        <v>1</v>
      </c>
      <c r="G235" s="338">
        <v>0.85</v>
      </c>
      <c r="H235" s="338">
        <v>0.85</v>
      </c>
      <c r="I235" s="337">
        <v>2</v>
      </c>
      <c r="J235" s="337" t="s">
        <v>1351</v>
      </c>
      <c r="K235" s="337">
        <v>6</v>
      </c>
      <c r="L235" s="337">
        <v>2</v>
      </c>
      <c r="M235" s="337">
        <v>6</v>
      </c>
      <c r="N235" s="337">
        <v>6</v>
      </c>
      <c r="O235" s="337">
        <v>6</v>
      </c>
      <c r="P235" s="337" t="s">
        <v>1351</v>
      </c>
      <c r="Q235" s="337">
        <v>30</v>
      </c>
      <c r="R235" s="337">
        <v>0</v>
      </c>
      <c r="S235" s="339">
        <v>51</v>
      </c>
      <c r="T235" s="339">
        <v>153</v>
      </c>
      <c r="U235" s="339">
        <v>153</v>
      </c>
      <c r="V235" s="339">
        <v>153</v>
      </c>
      <c r="W235" s="339">
        <v>0</v>
      </c>
      <c r="X235" s="339">
        <v>51</v>
      </c>
      <c r="Y235" s="339">
        <v>153</v>
      </c>
      <c r="Z235" s="339">
        <v>153</v>
      </c>
      <c r="AA235" s="339">
        <v>153</v>
      </c>
      <c r="AB235" s="339" t="e">
        <v>#DIV/0!</v>
      </c>
      <c r="AC235" s="342">
        <v>1</v>
      </c>
      <c r="AD235" s="342">
        <v>1</v>
      </c>
      <c r="AE235" s="342">
        <v>1</v>
      </c>
      <c r="AF235" s="342">
        <v>1</v>
      </c>
      <c r="AG235" s="332"/>
    </row>
    <row r="236" spans="1:33" s="333" customFormat="1">
      <c r="A236" s="337">
        <v>6</v>
      </c>
      <c r="B236" s="381" t="s">
        <v>299</v>
      </c>
      <c r="C236" s="338">
        <v>1</v>
      </c>
      <c r="D236" s="337">
        <v>1</v>
      </c>
      <c r="E236" s="337">
        <v>2</v>
      </c>
      <c r="F236" s="337">
        <v>2</v>
      </c>
      <c r="G236" s="338">
        <v>1.4</v>
      </c>
      <c r="H236" s="338">
        <v>1.4</v>
      </c>
      <c r="I236" s="337">
        <v>2</v>
      </c>
      <c r="J236" s="337" t="s">
        <v>1268</v>
      </c>
      <c r="K236" s="337">
        <v>6</v>
      </c>
      <c r="L236" s="337">
        <v>2</v>
      </c>
      <c r="M236" s="337">
        <v>6</v>
      </c>
      <c r="N236" s="337">
        <v>6</v>
      </c>
      <c r="O236" s="337">
        <v>6</v>
      </c>
      <c r="P236" s="337" t="s">
        <v>1268</v>
      </c>
      <c r="Q236" s="337">
        <v>30</v>
      </c>
      <c r="R236" s="337">
        <v>0</v>
      </c>
      <c r="S236" s="339">
        <v>84</v>
      </c>
      <c r="T236" s="339">
        <v>251.99999999999994</v>
      </c>
      <c r="U236" s="339">
        <v>503.99999999999989</v>
      </c>
      <c r="V236" s="339">
        <v>503.99999999999989</v>
      </c>
      <c r="W236" s="339">
        <v>0</v>
      </c>
      <c r="X236" s="339">
        <v>84</v>
      </c>
      <c r="Y236" s="339">
        <v>251.99999999999994</v>
      </c>
      <c r="Z236" s="339">
        <v>503.99999999999989</v>
      </c>
      <c r="AA236" s="339">
        <v>503.99999999999989</v>
      </c>
      <c r="AB236" s="339" t="e">
        <v>#DIV/0!</v>
      </c>
      <c r="AC236" s="342">
        <v>1</v>
      </c>
      <c r="AD236" s="342">
        <v>1</v>
      </c>
      <c r="AE236" s="342">
        <v>1</v>
      </c>
      <c r="AF236" s="342">
        <v>1</v>
      </c>
      <c r="AG236" s="332"/>
    </row>
    <row r="237" spans="1:33" s="333" customFormat="1">
      <c r="A237" s="337">
        <v>7</v>
      </c>
      <c r="B237" s="380" t="s">
        <v>300</v>
      </c>
      <c r="C237" s="338"/>
      <c r="D237" s="337">
        <v>1</v>
      </c>
      <c r="E237" s="337">
        <v>2</v>
      </c>
      <c r="F237" s="337">
        <v>2</v>
      </c>
      <c r="G237" s="338">
        <v>0.28999999999999998</v>
      </c>
      <c r="H237" s="338">
        <v>0.28999999999999998</v>
      </c>
      <c r="I237" s="337">
        <v>2</v>
      </c>
      <c r="J237" s="337" t="s">
        <v>1268</v>
      </c>
      <c r="K237" s="337">
        <v>6</v>
      </c>
      <c r="L237" s="337">
        <v>2</v>
      </c>
      <c r="M237" s="337">
        <v>6</v>
      </c>
      <c r="N237" s="337">
        <v>6</v>
      </c>
      <c r="O237" s="337">
        <v>6</v>
      </c>
      <c r="P237" s="337" t="s">
        <v>1268</v>
      </c>
      <c r="Q237" s="337">
        <v>30</v>
      </c>
      <c r="R237" s="337">
        <v>0</v>
      </c>
      <c r="S237" s="339">
        <v>0</v>
      </c>
      <c r="T237" s="339">
        <v>52.199999999999996</v>
      </c>
      <c r="U237" s="339">
        <v>104.39999999999999</v>
      </c>
      <c r="V237" s="339">
        <v>104.39999999999999</v>
      </c>
      <c r="W237" s="339">
        <v>0</v>
      </c>
      <c r="X237" s="339">
        <v>0</v>
      </c>
      <c r="Y237" s="339">
        <v>52.199999999999996</v>
      </c>
      <c r="Z237" s="339">
        <v>104.39999999999999</v>
      </c>
      <c r="AA237" s="339">
        <v>104.39999999999999</v>
      </c>
      <c r="AB237" s="339" t="e">
        <v>#DIV/0!</v>
      </c>
      <c r="AC237" s="342" t="e">
        <v>#DIV/0!</v>
      </c>
      <c r="AD237" s="342">
        <v>1</v>
      </c>
      <c r="AE237" s="342">
        <v>1</v>
      </c>
      <c r="AF237" s="342">
        <v>1</v>
      </c>
      <c r="AG237" s="332"/>
    </row>
    <row r="238" spans="1:33" s="333" customFormat="1">
      <c r="A238" s="337">
        <v>8</v>
      </c>
      <c r="B238" s="380" t="s">
        <v>301</v>
      </c>
      <c r="C238" s="338">
        <v>1</v>
      </c>
      <c r="D238" s="337">
        <v>1</v>
      </c>
      <c r="E238" s="337">
        <v>1</v>
      </c>
      <c r="F238" s="337">
        <v>1</v>
      </c>
      <c r="G238" s="338">
        <v>2.2000000000000002</v>
      </c>
      <c r="H238" s="338">
        <v>2.2000000000000002</v>
      </c>
      <c r="I238" s="337">
        <v>4</v>
      </c>
      <c r="J238" s="337" t="s">
        <v>1268</v>
      </c>
      <c r="K238" s="337">
        <v>6</v>
      </c>
      <c r="L238" s="337">
        <v>2</v>
      </c>
      <c r="M238" s="337">
        <v>6</v>
      </c>
      <c r="N238" s="337">
        <v>6</v>
      </c>
      <c r="O238" s="337">
        <v>6</v>
      </c>
      <c r="P238" s="337" t="s">
        <v>1268</v>
      </c>
      <c r="Q238" s="337">
        <v>30</v>
      </c>
      <c r="R238" s="337">
        <v>0</v>
      </c>
      <c r="S238" s="339">
        <v>264</v>
      </c>
      <c r="T238" s="339">
        <v>396.00000000000006</v>
      </c>
      <c r="U238" s="339">
        <v>396.00000000000006</v>
      </c>
      <c r="V238" s="339">
        <v>396.00000000000006</v>
      </c>
      <c r="W238" s="339">
        <v>0</v>
      </c>
      <c r="X238" s="339">
        <v>264</v>
      </c>
      <c r="Y238" s="339">
        <v>396.00000000000006</v>
      </c>
      <c r="Z238" s="339">
        <v>396.00000000000006</v>
      </c>
      <c r="AA238" s="339">
        <v>396.00000000000006</v>
      </c>
      <c r="AB238" s="339" t="e">
        <v>#DIV/0!</v>
      </c>
      <c r="AC238" s="342">
        <v>1</v>
      </c>
      <c r="AD238" s="342">
        <v>1</v>
      </c>
      <c r="AE238" s="342">
        <v>1</v>
      </c>
      <c r="AF238" s="342">
        <v>1</v>
      </c>
      <c r="AG238" s="332"/>
    </row>
    <row r="239" spans="1:33" s="333" customFormat="1">
      <c r="A239" s="337">
        <v>9</v>
      </c>
      <c r="B239" s="380" t="s">
        <v>302</v>
      </c>
      <c r="C239" s="338"/>
      <c r="D239" s="337">
        <v>1</v>
      </c>
      <c r="E239" s="337">
        <v>1</v>
      </c>
      <c r="F239" s="337">
        <v>1</v>
      </c>
      <c r="G239" s="338">
        <v>12</v>
      </c>
      <c r="H239" s="338">
        <v>12</v>
      </c>
      <c r="I239" s="337"/>
      <c r="J239" s="337" t="s">
        <v>1268</v>
      </c>
      <c r="K239" s="337">
        <v>6</v>
      </c>
      <c r="L239" s="337">
        <v>2</v>
      </c>
      <c r="M239" s="337">
        <v>6</v>
      </c>
      <c r="N239" s="337">
        <v>6</v>
      </c>
      <c r="O239" s="337">
        <v>6</v>
      </c>
      <c r="P239" s="337" t="s">
        <v>1268</v>
      </c>
      <c r="Q239" s="337">
        <v>30</v>
      </c>
      <c r="R239" s="337">
        <v>0</v>
      </c>
      <c r="S239" s="339">
        <v>0</v>
      </c>
      <c r="T239" s="339">
        <v>2160</v>
      </c>
      <c r="U239" s="339">
        <v>2160</v>
      </c>
      <c r="V239" s="339">
        <v>2160</v>
      </c>
      <c r="W239" s="339">
        <v>0</v>
      </c>
      <c r="X239" s="339">
        <v>0</v>
      </c>
      <c r="Y239" s="339">
        <v>2160</v>
      </c>
      <c r="Z239" s="339">
        <v>2160</v>
      </c>
      <c r="AA239" s="339">
        <v>2160</v>
      </c>
      <c r="AB239" s="339" t="e">
        <v>#DIV/0!</v>
      </c>
      <c r="AC239" s="342" t="e">
        <v>#DIV/0!</v>
      </c>
      <c r="AD239" s="342">
        <v>1</v>
      </c>
      <c r="AE239" s="342">
        <v>1</v>
      </c>
      <c r="AF239" s="342">
        <v>1</v>
      </c>
      <c r="AG239" s="332"/>
    </row>
    <row r="240" spans="1:33" s="333" customFormat="1">
      <c r="A240" s="337">
        <v>10</v>
      </c>
      <c r="B240" s="380" t="s">
        <v>303</v>
      </c>
      <c r="C240" s="338">
        <v>1</v>
      </c>
      <c r="D240" s="337">
        <v>1</v>
      </c>
      <c r="E240" s="337">
        <v>2</v>
      </c>
      <c r="F240" s="337">
        <v>2</v>
      </c>
      <c r="G240" s="338">
        <v>30</v>
      </c>
      <c r="H240" s="338">
        <v>30</v>
      </c>
      <c r="I240" s="337">
        <v>4</v>
      </c>
      <c r="J240" s="337" t="s">
        <v>1268</v>
      </c>
      <c r="K240" s="337">
        <v>6</v>
      </c>
      <c r="L240" s="337">
        <v>2</v>
      </c>
      <c r="M240" s="337">
        <v>6</v>
      </c>
      <c r="N240" s="337">
        <v>6</v>
      </c>
      <c r="O240" s="337">
        <v>6</v>
      </c>
      <c r="P240" s="337" t="s">
        <v>1268</v>
      </c>
      <c r="Q240" s="337">
        <v>30</v>
      </c>
      <c r="R240" s="337">
        <v>0</v>
      </c>
      <c r="S240" s="339">
        <v>3600</v>
      </c>
      <c r="T240" s="339">
        <v>5400</v>
      </c>
      <c r="U240" s="339">
        <v>10800</v>
      </c>
      <c r="V240" s="339">
        <v>10800</v>
      </c>
      <c r="W240" s="339">
        <v>0</v>
      </c>
      <c r="X240" s="339">
        <v>3600</v>
      </c>
      <c r="Y240" s="339">
        <v>5400</v>
      </c>
      <c r="Z240" s="339">
        <v>10800</v>
      </c>
      <c r="AA240" s="339">
        <v>10800</v>
      </c>
      <c r="AB240" s="339" t="e">
        <v>#DIV/0!</v>
      </c>
      <c r="AC240" s="342">
        <v>1</v>
      </c>
      <c r="AD240" s="342">
        <v>1</v>
      </c>
      <c r="AE240" s="342">
        <v>1</v>
      </c>
      <c r="AF240" s="342">
        <v>1</v>
      </c>
      <c r="AG240" s="332"/>
    </row>
    <row r="241" spans="1:33" s="333" customFormat="1" ht="30">
      <c r="A241" s="337">
        <v>11</v>
      </c>
      <c r="B241" s="380" t="s">
        <v>304</v>
      </c>
      <c r="C241" s="338">
        <v>1</v>
      </c>
      <c r="D241" s="337">
        <v>1</v>
      </c>
      <c r="E241" s="337">
        <v>2</v>
      </c>
      <c r="F241" s="337">
        <v>2</v>
      </c>
      <c r="G241" s="338">
        <v>30</v>
      </c>
      <c r="H241" s="338">
        <v>30</v>
      </c>
      <c r="I241" s="337">
        <v>4</v>
      </c>
      <c r="J241" s="337" t="s">
        <v>1268</v>
      </c>
      <c r="K241" s="337">
        <v>6</v>
      </c>
      <c r="L241" s="337">
        <v>2</v>
      </c>
      <c r="M241" s="337">
        <v>6</v>
      </c>
      <c r="N241" s="337">
        <v>6</v>
      </c>
      <c r="O241" s="337">
        <v>6</v>
      </c>
      <c r="P241" s="337" t="s">
        <v>1268</v>
      </c>
      <c r="Q241" s="337">
        <v>30</v>
      </c>
      <c r="R241" s="337">
        <v>0</v>
      </c>
      <c r="S241" s="339">
        <v>3600</v>
      </c>
      <c r="T241" s="339">
        <v>5400</v>
      </c>
      <c r="U241" s="339">
        <v>10800</v>
      </c>
      <c r="V241" s="339">
        <v>10800</v>
      </c>
      <c r="W241" s="339">
        <v>0</v>
      </c>
      <c r="X241" s="339">
        <v>3600</v>
      </c>
      <c r="Y241" s="339">
        <v>5400</v>
      </c>
      <c r="Z241" s="339">
        <v>10800</v>
      </c>
      <c r="AA241" s="339">
        <v>10800</v>
      </c>
      <c r="AB241" s="339" t="e">
        <v>#DIV/0!</v>
      </c>
      <c r="AC241" s="342">
        <v>1</v>
      </c>
      <c r="AD241" s="342">
        <v>1</v>
      </c>
      <c r="AE241" s="342">
        <v>1</v>
      </c>
      <c r="AF241" s="342">
        <v>1</v>
      </c>
      <c r="AG241" s="332"/>
    </row>
    <row r="242" spans="1:33" s="333" customFormat="1" ht="30">
      <c r="A242" s="337">
        <v>12</v>
      </c>
      <c r="B242" s="380" t="s">
        <v>305</v>
      </c>
      <c r="C242" s="338"/>
      <c r="D242" s="337">
        <v>1</v>
      </c>
      <c r="E242" s="337">
        <v>2</v>
      </c>
      <c r="F242" s="337">
        <v>2</v>
      </c>
      <c r="G242" s="338">
        <v>15</v>
      </c>
      <c r="H242" s="338">
        <v>15</v>
      </c>
      <c r="I242" s="337"/>
      <c r="J242" s="337" t="s">
        <v>998</v>
      </c>
      <c r="K242" s="337">
        <v>6</v>
      </c>
      <c r="L242" s="337">
        <v>1</v>
      </c>
      <c r="M242" s="337">
        <v>1</v>
      </c>
      <c r="N242" s="337">
        <v>1</v>
      </c>
      <c r="O242" s="337">
        <v>3</v>
      </c>
      <c r="P242" s="337" t="s">
        <v>1351</v>
      </c>
      <c r="Q242" s="337">
        <v>30</v>
      </c>
      <c r="R242" s="337">
        <v>0</v>
      </c>
      <c r="S242" s="339">
        <v>0</v>
      </c>
      <c r="T242" s="339">
        <v>2700</v>
      </c>
      <c r="U242" s="339">
        <v>900</v>
      </c>
      <c r="V242" s="339">
        <v>2700</v>
      </c>
      <c r="W242" s="339">
        <v>0</v>
      </c>
      <c r="X242" s="339">
        <v>0</v>
      </c>
      <c r="Y242" s="339">
        <v>2700</v>
      </c>
      <c r="Z242" s="339">
        <v>900</v>
      </c>
      <c r="AA242" s="339">
        <v>2700</v>
      </c>
      <c r="AB242" s="339" t="e">
        <v>#DIV/0!</v>
      </c>
      <c r="AC242" s="342" t="e">
        <v>#DIV/0!</v>
      </c>
      <c r="AD242" s="342">
        <v>1</v>
      </c>
      <c r="AE242" s="342">
        <v>1</v>
      </c>
      <c r="AF242" s="342">
        <v>1</v>
      </c>
      <c r="AG242" s="332"/>
    </row>
    <row r="243" spans="1:33" s="333" customFormat="1" ht="30">
      <c r="A243" s="337">
        <v>13</v>
      </c>
      <c r="B243" s="380" t="s">
        <v>305</v>
      </c>
      <c r="C243" s="338">
        <v>1</v>
      </c>
      <c r="D243" s="337">
        <v>1</v>
      </c>
      <c r="E243" s="337">
        <v>1</v>
      </c>
      <c r="F243" s="337">
        <v>1</v>
      </c>
      <c r="G243" s="338">
        <v>15</v>
      </c>
      <c r="H243" s="338">
        <v>15</v>
      </c>
      <c r="I243" s="337">
        <v>4</v>
      </c>
      <c r="J243" s="337" t="s">
        <v>998</v>
      </c>
      <c r="K243" s="337">
        <v>6</v>
      </c>
      <c r="L243" s="337">
        <v>1</v>
      </c>
      <c r="M243" s="337">
        <v>1</v>
      </c>
      <c r="N243" s="337">
        <v>1</v>
      </c>
      <c r="O243" s="337">
        <v>3</v>
      </c>
      <c r="P243" s="337"/>
      <c r="Q243" s="337">
        <v>30</v>
      </c>
      <c r="R243" s="337">
        <v>0</v>
      </c>
      <c r="S243" s="339">
        <v>1800</v>
      </c>
      <c r="T243" s="339">
        <v>2700</v>
      </c>
      <c r="U243" s="339">
        <v>450</v>
      </c>
      <c r="V243" s="339">
        <v>1350</v>
      </c>
      <c r="W243" s="339">
        <v>0</v>
      </c>
      <c r="X243" s="339">
        <v>1800</v>
      </c>
      <c r="Y243" s="339">
        <v>2700</v>
      </c>
      <c r="Z243" s="339">
        <v>450</v>
      </c>
      <c r="AA243" s="339">
        <v>1350</v>
      </c>
      <c r="AB243" s="339" t="e">
        <v>#DIV/0!</v>
      </c>
      <c r="AC243" s="342">
        <v>1</v>
      </c>
      <c r="AD243" s="342">
        <v>1</v>
      </c>
      <c r="AE243" s="342">
        <v>1</v>
      </c>
      <c r="AF243" s="342">
        <v>1</v>
      </c>
      <c r="AG243" s="332"/>
    </row>
    <row r="244" spans="1:33" s="333" customFormat="1" ht="30">
      <c r="A244" s="337">
        <v>14</v>
      </c>
      <c r="B244" s="380" t="s">
        <v>306</v>
      </c>
      <c r="C244" s="338">
        <v>1</v>
      </c>
      <c r="D244" s="337">
        <v>1</v>
      </c>
      <c r="E244" s="337">
        <v>2</v>
      </c>
      <c r="F244" s="337">
        <v>2</v>
      </c>
      <c r="G244" s="338">
        <v>18</v>
      </c>
      <c r="H244" s="338">
        <v>18</v>
      </c>
      <c r="I244" s="337">
        <v>4</v>
      </c>
      <c r="J244" s="337" t="s">
        <v>998</v>
      </c>
      <c r="K244" s="337">
        <v>6</v>
      </c>
      <c r="L244" s="337">
        <v>1</v>
      </c>
      <c r="M244" s="337">
        <v>1</v>
      </c>
      <c r="N244" s="337">
        <v>1</v>
      </c>
      <c r="O244" s="337">
        <v>4</v>
      </c>
      <c r="P244" s="337" t="s">
        <v>1351</v>
      </c>
      <c r="Q244" s="337">
        <v>30</v>
      </c>
      <c r="R244" s="337">
        <v>0</v>
      </c>
      <c r="S244" s="339">
        <v>2160</v>
      </c>
      <c r="T244" s="339">
        <v>3240</v>
      </c>
      <c r="U244" s="339">
        <v>1080</v>
      </c>
      <c r="V244" s="339">
        <v>4320</v>
      </c>
      <c r="W244" s="339">
        <v>0</v>
      </c>
      <c r="X244" s="339">
        <v>2160</v>
      </c>
      <c r="Y244" s="339">
        <v>3240</v>
      </c>
      <c r="Z244" s="339">
        <v>1080</v>
      </c>
      <c r="AA244" s="339">
        <v>4320</v>
      </c>
      <c r="AB244" s="339" t="e">
        <v>#DIV/0!</v>
      </c>
      <c r="AC244" s="342">
        <v>1</v>
      </c>
      <c r="AD244" s="342">
        <v>1</v>
      </c>
      <c r="AE244" s="342">
        <v>1</v>
      </c>
      <c r="AF244" s="342">
        <v>1</v>
      </c>
      <c r="AG244" s="332"/>
    </row>
    <row r="245" spans="1:33" s="333" customFormat="1">
      <c r="A245" s="337">
        <v>15</v>
      </c>
      <c r="B245" s="380" t="s">
        <v>1352</v>
      </c>
      <c r="C245" s="338">
        <v>2</v>
      </c>
      <c r="D245" s="337">
        <v>2</v>
      </c>
      <c r="E245" s="337">
        <v>2</v>
      </c>
      <c r="F245" s="337">
        <v>2</v>
      </c>
      <c r="G245" s="338"/>
      <c r="H245" s="338"/>
      <c r="I245" s="337"/>
      <c r="J245" s="337"/>
      <c r="K245" s="337"/>
      <c r="L245" s="337"/>
      <c r="M245" s="337"/>
      <c r="N245" s="337"/>
      <c r="O245" s="337"/>
      <c r="P245" s="337"/>
      <c r="Q245" s="337"/>
      <c r="R245" s="337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42"/>
      <c r="AD245" s="342"/>
      <c r="AE245" s="342"/>
      <c r="AF245" s="342"/>
      <c r="AG245" s="332"/>
    </row>
    <row r="246" spans="1:33" s="333" customFormat="1">
      <c r="A246" s="337">
        <v>16</v>
      </c>
      <c r="B246" s="380" t="s">
        <v>307</v>
      </c>
      <c r="C246" s="338">
        <v>2</v>
      </c>
      <c r="D246" s="337">
        <v>2</v>
      </c>
      <c r="E246" s="337">
        <v>2</v>
      </c>
      <c r="F246" s="337">
        <v>2</v>
      </c>
      <c r="G246" s="338">
        <v>12</v>
      </c>
      <c r="H246" s="338">
        <v>12</v>
      </c>
      <c r="I246" s="337">
        <v>5</v>
      </c>
      <c r="J246" s="337" t="s">
        <v>998</v>
      </c>
      <c r="K246" s="337">
        <v>6</v>
      </c>
      <c r="L246" s="337">
        <v>3</v>
      </c>
      <c r="M246" s="337">
        <v>3</v>
      </c>
      <c r="N246" s="337">
        <v>3</v>
      </c>
      <c r="O246" s="337">
        <v>6</v>
      </c>
      <c r="P246" s="337" t="s">
        <v>1351</v>
      </c>
      <c r="Q246" s="337">
        <v>30</v>
      </c>
      <c r="R246" s="337">
        <v>0</v>
      </c>
      <c r="S246" s="339">
        <v>3600</v>
      </c>
      <c r="T246" s="339">
        <v>4320</v>
      </c>
      <c r="U246" s="339">
        <v>2160</v>
      </c>
      <c r="V246" s="339">
        <v>4320</v>
      </c>
      <c r="W246" s="339">
        <v>0</v>
      </c>
      <c r="X246" s="339">
        <v>3600</v>
      </c>
      <c r="Y246" s="339">
        <v>4320</v>
      </c>
      <c r="Z246" s="339">
        <v>2160</v>
      </c>
      <c r="AA246" s="339">
        <v>4320</v>
      </c>
      <c r="AB246" s="339" t="e">
        <v>#DIV/0!</v>
      </c>
      <c r="AC246" s="342">
        <v>1</v>
      </c>
      <c r="AD246" s="342">
        <v>1</v>
      </c>
      <c r="AE246" s="342">
        <v>1</v>
      </c>
      <c r="AF246" s="342">
        <v>1</v>
      </c>
      <c r="AG246" s="332"/>
    </row>
    <row r="247" spans="1:33" s="333" customFormat="1">
      <c r="A247" s="337">
        <v>17</v>
      </c>
      <c r="B247" s="380" t="s">
        <v>308</v>
      </c>
      <c r="C247" s="338">
        <v>2</v>
      </c>
      <c r="D247" s="337">
        <v>2</v>
      </c>
      <c r="E247" s="337">
        <v>2</v>
      </c>
      <c r="F247" s="337">
        <v>2</v>
      </c>
      <c r="G247" s="338">
        <v>14.4</v>
      </c>
      <c r="H247" s="338">
        <v>14.4</v>
      </c>
      <c r="I247" s="337">
        <v>5</v>
      </c>
      <c r="J247" s="337" t="s">
        <v>998</v>
      </c>
      <c r="K247" s="337">
        <v>6</v>
      </c>
      <c r="L247" s="337">
        <v>2</v>
      </c>
      <c r="M247" s="337">
        <v>2</v>
      </c>
      <c r="N247" s="337">
        <v>2</v>
      </c>
      <c r="O247" s="337">
        <v>5</v>
      </c>
      <c r="P247" s="337" t="s">
        <v>1351</v>
      </c>
      <c r="Q247" s="337">
        <v>30</v>
      </c>
      <c r="R247" s="337">
        <v>0</v>
      </c>
      <c r="S247" s="339">
        <v>4320</v>
      </c>
      <c r="T247" s="339">
        <v>5184</v>
      </c>
      <c r="U247" s="339">
        <v>1728</v>
      </c>
      <c r="V247" s="339">
        <v>4320</v>
      </c>
      <c r="W247" s="339">
        <v>0</v>
      </c>
      <c r="X247" s="339">
        <v>4320</v>
      </c>
      <c r="Y247" s="339">
        <v>5184</v>
      </c>
      <c r="Z247" s="339">
        <v>1728</v>
      </c>
      <c r="AA247" s="339">
        <v>4320</v>
      </c>
      <c r="AB247" s="339" t="e">
        <v>#DIV/0!</v>
      </c>
      <c r="AC247" s="342">
        <v>1</v>
      </c>
      <c r="AD247" s="342">
        <v>1</v>
      </c>
      <c r="AE247" s="342">
        <v>1</v>
      </c>
      <c r="AF247" s="342">
        <v>1</v>
      </c>
      <c r="AG247" s="332"/>
    </row>
    <row r="248" spans="1:33" s="333" customFormat="1">
      <c r="A248" s="337">
        <v>18</v>
      </c>
      <c r="B248" s="380" t="s">
        <v>309</v>
      </c>
      <c r="C248" s="338">
        <v>1</v>
      </c>
      <c r="D248" s="337">
        <v>1</v>
      </c>
      <c r="E248" s="337">
        <v>2</v>
      </c>
      <c r="F248" s="337">
        <v>2</v>
      </c>
      <c r="G248" s="338">
        <v>7</v>
      </c>
      <c r="H248" s="338">
        <v>7</v>
      </c>
      <c r="I248" s="337"/>
      <c r="J248" s="337" t="s">
        <v>998</v>
      </c>
      <c r="K248" s="337">
        <v>6</v>
      </c>
      <c r="L248" s="337">
        <v>2</v>
      </c>
      <c r="M248" s="337">
        <v>2</v>
      </c>
      <c r="N248" s="337">
        <v>2</v>
      </c>
      <c r="O248" s="337">
        <v>4</v>
      </c>
      <c r="P248" s="337" t="s">
        <v>1351</v>
      </c>
      <c r="Q248" s="337">
        <v>30</v>
      </c>
      <c r="R248" s="337">
        <v>0</v>
      </c>
      <c r="S248" s="339">
        <v>0</v>
      </c>
      <c r="T248" s="339">
        <v>1260</v>
      </c>
      <c r="U248" s="339">
        <v>840</v>
      </c>
      <c r="V248" s="339">
        <v>1680</v>
      </c>
      <c r="W248" s="339">
        <v>0</v>
      </c>
      <c r="X248" s="339">
        <v>0</v>
      </c>
      <c r="Y248" s="339">
        <v>1260</v>
      </c>
      <c r="Z248" s="339">
        <v>840</v>
      </c>
      <c r="AA248" s="339">
        <v>1680</v>
      </c>
      <c r="AB248" s="339" t="e">
        <v>#DIV/0!</v>
      </c>
      <c r="AC248" s="342" t="e">
        <v>#DIV/0!</v>
      </c>
      <c r="AD248" s="342">
        <v>1</v>
      </c>
      <c r="AE248" s="342">
        <v>1</v>
      </c>
      <c r="AF248" s="342">
        <v>1</v>
      </c>
      <c r="AG248" s="332"/>
    </row>
    <row r="249" spans="1:33" s="333" customFormat="1" hidden="1">
      <c r="A249" s="337">
        <v>19</v>
      </c>
      <c r="B249" s="380" t="s">
        <v>310</v>
      </c>
      <c r="C249" s="338">
        <v>1</v>
      </c>
      <c r="D249" s="337">
        <v>1</v>
      </c>
      <c r="E249" s="337">
        <v>1</v>
      </c>
      <c r="F249" s="337">
        <v>1</v>
      </c>
      <c r="G249" s="338">
        <v>29.3</v>
      </c>
      <c r="H249" s="338">
        <v>29.3</v>
      </c>
      <c r="I249" s="337"/>
      <c r="J249" s="337" t="s">
        <v>998</v>
      </c>
      <c r="K249" s="337">
        <v>6</v>
      </c>
      <c r="L249" s="337">
        <v>2</v>
      </c>
      <c r="M249" s="337">
        <v>2</v>
      </c>
      <c r="N249" s="337">
        <v>2</v>
      </c>
      <c r="O249" s="337">
        <v>4</v>
      </c>
      <c r="P249" s="337" t="s">
        <v>1351</v>
      </c>
      <c r="Q249" s="337">
        <v>30</v>
      </c>
      <c r="R249" s="337">
        <v>0</v>
      </c>
      <c r="S249" s="339">
        <v>0</v>
      </c>
      <c r="T249" s="339">
        <v>5274</v>
      </c>
      <c r="U249" s="339">
        <v>1758</v>
      </c>
      <c r="V249" s="339">
        <v>3516</v>
      </c>
      <c r="W249" s="339">
        <v>0</v>
      </c>
      <c r="X249" s="339">
        <v>0</v>
      </c>
      <c r="Y249" s="339">
        <v>5274</v>
      </c>
      <c r="Z249" s="339">
        <v>1758</v>
      </c>
      <c r="AA249" s="339">
        <v>3516</v>
      </c>
      <c r="AB249" s="339" t="e">
        <v>#DIV/0!</v>
      </c>
      <c r="AC249" s="342" t="e">
        <v>#DIV/0!</v>
      </c>
      <c r="AD249" s="342">
        <v>1</v>
      </c>
      <c r="AE249" s="342">
        <v>1</v>
      </c>
      <c r="AF249" s="342">
        <v>1</v>
      </c>
      <c r="AG249" s="332"/>
    </row>
    <row r="250" spans="1:33" s="333" customFormat="1">
      <c r="A250" s="337">
        <v>20</v>
      </c>
      <c r="B250" s="380" t="s">
        <v>311</v>
      </c>
      <c r="C250" s="338">
        <v>1</v>
      </c>
      <c r="D250" s="337">
        <v>1</v>
      </c>
      <c r="E250" s="337">
        <v>1</v>
      </c>
      <c r="F250" s="337">
        <v>1</v>
      </c>
      <c r="G250" s="338">
        <v>1.2</v>
      </c>
      <c r="H250" s="338">
        <v>1.2</v>
      </c>
      <c r="I250" s="337"/>
      <c r="J250" s="337" t="s">
        <v>998</v>
      </c>
      <c r="K250" s="337">
        <v>6</v>
      </c>
      <c r="L250" s="337">
        <v>2</v>
      </c>
      <c r="M250" s="337">
        <v>2</v>
      </c>
      <c r="N250" s="337">
        <v>2</v>
      </c>
      <c r="O250" s="337">
        <v>4</v>
      </c>
      <c r="P250" s="337" t="s">
        <v>1351</v>
      </c>
      <c r="Q250" s="337">
        <v>30</v>
      </c>
      <c r="R250" s="337">
        <v>0</v>
      </c>
      <c r="S250" s="339">
        <v>0</v>
      </c>
      <c r="T250" s="339">
        <v>215.99999999999997</v>
      </c>
      <c r="U250" s="339">
        <v>72</v>
      </c>
      <c r="V250" s="339">
        <v>144</v>
      </c>
      <c r="W250" s="339">
        <v>0</v>
      </c>
      <c r="X250" s="339">
        <v>0</v>
      </c>
      <c r="Y250" s="339">
        <v>215.99999999999997</v>
      </c>
      <c r="Z250" s="339">
        <v>72</v>
      </c>
      <c r="AA250" s="339">
        <v>144</v>
      </c>
      <c r="AB250" s="339" t="e">
        <v>#DIV/0!</v>
      </c>
      <c r="AC250" s="342" t="e">
        <v>#DIV/0!</v>
      </c>
      <c r="AD250" s="342">
        <v>1</v>
      </c>
      <c r="AE250" s="342">
        <v>1</v>
      </c>
      <c r="AF250" s="342">
        <v>1</v>
      </c>
      <c r="AG250" s="332"/>
    </row>
    <row r="251" spans="1:33" s="333" customFormat="1">
      <c r="A251" s="337">
        <v>21</v>
      </c>
      <c r="B251" s="380" t="s">
        <v>551</v>
      </c>
      <c r="C251" s="338">
        <v>1</v>
      </c>
      <c r="D251" s="337">
        <v>2</v>
      </c>
      <c r="E251" s="337">
        <v>3</v>
      </c>
      <c r="F251" s="337">
        <v>3</v>
      </c>
      <c r="G251" s="338">
        <v>12</v>
      </c>
      <c r="H251" s="338">
        <v>12</v>
      </c>
      <c r="I251" s="337">
        <v>3</v>
      </c>
      <c r="J251" s="337" t="s">
        <v>1353</v>
      </c>
      <c r="K251" s="337">
        <v>4</v>
      </c>
      <c r="L251" s="337">
        <v>4</v>
      </c>
      <c r="M251" s="337">
        <v>4</v>
      </c>
      <c r="N251" s="337">
        <v>4</v>
      </c>
      <c r="O251" s="337">
        <v>4</v>
      </c>
      <c r="P251" s="337">
        <v>4</v>
      </c>
      <c r="Q251" s="337"/>
      <c r="R251" s="337">
        <v>0</v>
      </c>
      <c r="S251" s="339">
        <v>0</v>
      </c>
      <c r="T251" s="339">
        <v>0</v>
      </c>
      <c r="U251" s="339">
        <v>0</v>
      </c>
      <c r="V251" s="339">
        <v>0</v>
      </c>
      <c r="W251" s="339">
        <v>0</v>
      </c>
      <c r="X251" s="339">
        <v>0</v>
      </c>
      <c r="Y251" s="339">
        <v>0</v>
      </c>
      <c r="Z251" s="339">
        <v>0</v>
      </c>
      <c r="AA251" s="339">
        <v>0</v>
      </c>
      <c r="AB251" s="339" t="e">
        <v>#DIV/0!</v>
      </c>
      <c r="AC251" s="342" t="e">
        <v>#DIV/0!</v>
      </c>
      <c r="AD251" s="342" t="e">
        <v>#DIV/0!</v>
      </c>
      <c r="AE251" s="342" t="e">
        <v>#DIV/0!</v>
      </c>
      <c r="AF251" s="342" t="e">
        <v>#DIV/0!</v>
      </c>
      <c r="AG251" s="332"/>
    </row>
    <row r="252" spans="1:33" s="333" customFormat="1">
      <c r="A252" s="337">
        <v>22</v>
      </c>
      <c r="B252" s="380" t="s">
        <v>1354</v>
      </c>
      <c r="C252" s="338">
        <v>1</v>
      </c>
      <c r="D252" s="337">
        <v>2</v>
      </c>
      <c r="E252" s="337">
        <v>2</v>
      </c>
      <c r="F252" s="337">
        <v>2</v>
      </c>
      <c r="G252" s="338">
        <v>18</v>
      </c>
      <c r="H252" s="338">
        <v>18</v>
      </c>
      <c r="I252" s="337">
        <v>2</v>
      </c>
      <c r="J252" s="337" t="s">
        <v>1355</v>
      </c>
      <c r="K252" s="337">
        <v>6</v>
      </c>
      <c r="L252" s="337">
        <v>6</v>
      </c>
      <c r="M252" s="337">
        <v>6</v>
      </c>
      <c r="N252" s="337">
        <v>6</v>
      </c>
      <c r="O252" s="337">
        <v>8</v>
      </c>
      <c r="P252" s="337">
        <v>6</v>
      </c>
      <c r="Q252" s="337"/>
      <c r="R252" s="337">
        <v>0</v>
      </c>
      <c r="S252" s="339">
        <v>0</v>
      </c>
      <c r="T252" s="339">
        <v>0</v>
      </c>
      <c r="U252" s="339">
        <v>0</v>
      </c>
      <c r="V252" s="339">
        <v>0</v>
      </c>
      <c r="W252" s="339">
        <v>0</v>
      </c>
      <c r="X252" s="339">
        <v>0</v>
      </c>
      <c r="Y252" s="339">
        <v>0</v>
      </c>
      <c r="Z252" s="339">
        <v>0</v>
      </c>
      <c r="AA252" s="339">
        <v>0</v>
      </c>
      <c r="AB252" s="339" t="e">
        <v>#DIV/0!</v>
      </c>
      <c r="AC252" s="342" t="e">
        <v>#DIV/0!</v>
      </c>
      <c r="AD252" s="342" t="e">
        <v>#DIV/0!</v>
      </c>
      <c r="AE252" s="342" t="e">
        <v>#DIV/0!</v>
      </c>
      <c r="AF252" s="342" t="e">
        <v>#DIV/0!</v>
      </c>
      <c r="AG252" s="332"/>
    </row>
    <row r="253" spans="1:33" s="333" customFormat="1">
      <c r="A253" s="337">
        <v>23</v>
      </c>
      <c r="B253" s="380" t="s">
        <v>312</v>
      </c>
      <c r="C253" s="338">
        <v>1</v>
      </c>
      <c r="D253" s="337">
        <v>1</v>
      </c>
      <c r="E253" s="337">
        <v>1</v>
      </c>
      <c r="F253" s="337">
        <v>1</v>
      </c>
      <c r="G253" s="338">
        <v>2.2000000000000002</v>
      </c>
      <c r="H253" s="338">
        <v>2.2000000000000002</v>
      </c>
      <c r="I253" s="337">
        <v>24</v>
      </c>
      <c r="J253" s="337" t="s">
        <v>996</v>
      </c>
      <c r="K253" s="337">
        <v>6</v>
      </c>
      <c r="L253" s="337">
        <v>8</v>
      </c>
      <c r="M253" s="337">
        <v>8</v>
      </c>
      <c r="N253" s="337">
        <v>8</v>
      </c>
      <c r="O253" s="337">
        <v>8</v>
      </c>
      <c r="P253" s="337" t="s">
        <v>996</v>
      </c>
      <c r="Q253" s="337">
        <v>30</v>
      </c>
      <c r="R253" s="337">
        <v>0</v>
      </c>
      <c r="S253" s="339">
        <v>619.20000000000005</v>
      </c>
      <c r="T253" s="339">
        <v>154.80000000000001</v>
      </c>
      <c r="U253" s="339">
        <v>206.4</v>
      </c>
      <c r="V253" s="339">
        <v>206.4</v>
      </c>
      <c r="W253" s="339">
        <v>0</v>
      </c>
      <c r="X253" s="339">
        <v>619.20000000000005</v>
      </c>
      <c r="Y253" s="339">
        <v>154.80000000000001</v>
      </c>
      <c r="Z253" s="339">
        <v>206.4</v>
      </c>
      <c r="AA253" s="339">
        <v>206.4</v>
      </c>
      <c r="AB253" s="339" t="e">
        <v>#DIV/0!</v>
      </c>
      <c r="AC253" s="342">
        <v>1</v>
      </c>
      <c r="AD253" s="342">
        <v>1</v>
      </c>
      <c r="AE253" s="342">
        <v>1</v>
      </c>
      <c r="AF253" s="342">
        <v>1</v>
      </c>
      <c r="AG253" s="332"/>
    </row>
    <row r="254" spans="1:33" s="333" customFormat="1">
      <c r="A254" s="337">
        <v>24</v>
      </c>
      <c r="B254" s="380" t="s">
        <v>313</v>
      </c>
      <c r="C254" s="338">
        <v>1</v>
      </c>
      <c r="D254" s="337">
        <v>1</v>
      </c>
      <c r="E254" s="337">
        <v>2</v>
      </c>
      <c r="F254" s="337">
        <v>2</v>
      </c>
      <c r="G254" s="338">
        <v>22</v>
      </c>
      <c r="H254" s="338">
        <v>22</v>
      </c>
      <c r="I254" s="337">
        <v>6</v>
      </c>
      <c r="J254" s="337" t="s">
        <v>1268</v>
      </c>
      <c r="K254" s="337">
        <v>6</v>
      </c>
      <c r="L254" s="337">
        <v>3</v>
      </c>
      <c r="M254" s="337">
        <v>3</v>
      </c>
      <c r="N254" s="337">
        <v>3</v>
      </c>
      <c r="O254" s="337">
        <v>6</v>
      </c>
      <c r="P254" s="337" t="s">
        <v>1351</v>
      </c>
      <c r="Q254" s="337">
        <v>30</v>
      </c>
      <c r="R254" s="337">
        <v>0</v>
      </c>
      <c r="S254" s="339">
        <v>3960</v>
      </c>
      <c r="T254" s="339">
        <v>3960</v>
      </c>
      <c r="U254" s="339">
        <v>3960</v>
      </c>
      <c r="V254" s="339">
        <v>7920</v>
      </c>
      <c r="W254" s="339">
        <v>0</v>
      </c>
      <c r="X254" s="339">
        <v>3960</v>
      </c>
      <c r="Y254" s="339">
        <v>3960</v>
      </c>
      <c r="Z254" s="339">
        <v>3960</v>
      </c>
      <c r="AA254" s="339">
        <v>7920</v>
      </c>
      <c r="AB254" s="339" t="e">
        <v>#DIV/0!</v>
      </c>
      <c r="AC254" s="342">
        <v>1</v>
      </c>
      <c r="AD254" s="342">
        <v>1</v>
      </c>
      <c r="AE254" s="342">
        <v>1</v>
      </c>
      <c r="AF254" s="342">
        <v>1</v>
      </c>
      <c r="AG254" s="332"/>
    </row>
    <row r="255" spans="1:33" s="333" customFormat="1">
      <c r="A255" s="337">
        <v>25</v>
      </c>
      <c r="B255" s="381" t="s">
        <v>314</v>
      </c>
      <c r="C255" s="338">
        <v>2</v>
      </c>
      <c r="D255" s="337">
        <v>2</v>
      </c>
      <c r="E255" s="337">
        <v>4</v>
      </c>
      <c r="F255" s="337">
        <v>4</v>
      </c>
      <c r="G255" s="338">
        <v>0.75</v>
      </c>
      <c r="H255" s="338">
        <v>0.75</v>
      </c>
      <c r="I255" s="337"/>
      <c r="J255" s="337"/>
      <c r="K255" s="337"/>
      <c r="L255" s="337"/>
      <c r="M255" s="337"/>
      <c r="N255" s="337"/>
      <c r="O255" s="337"/>
      <c r="P255" s="337"/>
      <c r="Q255" s="337"/>
      <c r="R255" s="337">
        <v>0</v>
      </c>
      <c r="S255" s="339">
        <v>0</v>
      </c>
      <c r="T255" s="339">
        <v>0</v>
      </c>
      <c r="U255" s="339">
        <v>0</v>
      </c>
      <c r="V255" s="339">
        <v>0</v>
      </c>
      <c r="W255" s="339">
        <v>0</v>
      </c>
      <c r="X255" s="339">
        <v>0</v>
      </c>
      <c r="Y255" s="339">
        <v>0</v>
      </c>
      <c r="Z255" s="339">
        <v>0</v>
      </c>
      <c r="AA255" s="339">
        <v>0</v>
      </c>
      <c r="AB255" s="339" t="e">
        <v>#DIV/0!</v>
      </c>
      <c r="AC255" s="342" t="e">
        <v>#DIV/0!</v>
      </c>
      <c r="AD255" s="342" t="e">
        <v>#DIV/0!</v>
      </c>
      <c r="AE255" s="342" t="e">
        <v>#DIV/0!</v>
      </c>
      <c r="AF255" s="342" t="e">
        <v>#DIV/0!</v>
      </c>
      <c r="AG255" s="332"/>
    </row>
    <row r="256" spans="1:33" s="333" customFormat="1">
      <c r="A256" s="337">
        <v>26</v>
      </c>
      <c r="B256" s="380" t="s">
        <v>315</v>
      </c>
      <c r="C256" s="338">
        <v>2</v>
      </c>
      <c r="D256" s="337">
        <v>2</v>
      </c>
      <c r="E256" s="337">
        <v>3</v>
      </c>
      <c r="F256" s="337">
        <v>3</v>
      </c>
      <c r="G256" s="338">
        <v>0.75</v>
      </c>
      <c r="H256" s="338">
        <v>0.75</v>
      </c>
      <c r="I256" s="337">
        <v>24</v>
      </c>
      <c r="J256" s="337" t="s">
        <v>996</v>
      </c>
      <c r="K256" s="337">
        <v>6</v>
      </c>
      <c r="L256" s="337">
        <v>12</v>
      </c>
      <c r="M256" s="337">
        <v>12</v>
      </c>
      <c r="N256" s="337">
        <v>12</v>
      </c>
      <c r="O256" s="337">
        <v>24</v>
      </c>
      <c r="P256" s="337" t="s">
        <v>996</v>
      </c>
      <c r="Q256" s="337">
        <v>30</v>
      </c>
      <c r="R256" s="337">
        <v>1080</v>
      </c>
      <c r="S256" s="339">
        <v>1080</v>
      </c>
      <c r="T256" s="339">
        <v>270</v>
      </c>
      <c r="U256" s="339">
        <v>810</v>
      </c>
      <c r="V256" s="339">
        <v>1620</v>
      </c>
      <c r="W256" s="339">
        <v>1080</v>
      </c>
      <c r="X256" s="339">
        <v>1080</v>
      </c>
      <c r="Y256" s="339">
        <v>270</v>
      </c>
      <c r="Z256" s="339">
        <v>810</v>
      </c>
      <c r="AA256" s="339">
        <v>1620</v>
      </c>
      <c r="AB256" s="339">
        <v>1</v>
      </c>
      <c r="AC256" s="342">
        <v>1</v>
      </c>
      <c r="AD256" s="342">
        <v>1</v>
      </c>
      <c r="AE256" s="342">
        <v>1</v>
      </c>
      <c r="AF256" s="342">
        <v>1</v>
      </c>
      <c r="AG256" s="332"/>
    </row>
    <row r="257" spans="1:33" s="333" customFormat="1">
      <c r="A257" s="337">
        <v>27</v>
      </c>
      <c r="B257" s="380" t="s">
        <v>1356</v>
      </c>
      <c r="C257" s="338">
        <v>4</v>
      </c>
      <c r="D257" s="337">
        <v>4</v>
      </c>
      <c r="E257" s="337">
        <v>6</v>
      </c>
      <c r="F257" s="337">
        <v>6</v>
      </c>
      <c r="G257" s="338">
        <v>0.56000000000000005</v>
      </c>
      <c r="H257" s="338">
        <v>0.56000000000000005</v>
      </c>
      <c r="I257" s="337">
        <v>24</v>
      </c>
      <c r="J257" s="337" t="s">
        <v>996</v>
      </c>
      <c r="K257" s="337">
        <v>6</v>
      </c>
      <c r="L257" s="337">
        <v>12</v>
      </c>
      <c r="M257" s="337">
        <v>12</v>
      </c>
      <c r="N257" s="337">
        <v>12</v>
      </c>
      <c r="O257" s="337">
        <v>24</v>
      </c>
      <c r="P257" s="337" t="s">
        <v>996</v>
      </c>
      <c r="Q257" s="337">
        <v>30</v>
      </c>
      <c r="R257" s="337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42"/>
      <c r="AD257" s="342"/>
      <c r="AE257" s="342"/>
      <c r="AF257" s="342"/>
      <c r="AG257" s="332"/>
    </row>
    <row r="258" spans="1:33" s="333" customFormat="1">
      <c r="A258" s="337">
        <v>28</v>
      </c>
      <c r="B258" s="380" t="s">
        <v>317</v>
      </c>
      <c r="C258" s="338">
        <v>2</v>
      </c>
      <c r="D258" s="337">
        <v>2</v>
      </c>
      <c r="E258" s="337">
        <v>2</v>
      </c>
      <c r="F258" s="337">
        <v>2</v>
      </c>
      <c r="G258" s="338">
        <v>0.75</v>
      </c>
      <c r="H258" s="338">
        <v>0.75</v>
      </c>
      <c r="I258" s="337"/>
      <c r="J258" s="337"/>
      <c r="K258" s="337"/>
      <c r="L258" s="337"/>
      <c r="M258" s="337"/>
      <c r="N258" s="337"/>
      <c r="O258" s="337"/>
      <c r="P258" s="337"/>
      <c r="Q258" s="337"/>
      <c r="R258" s="337">
        <v>0</v>
      </c>
      <c r="S258" s="339">
        <v>0</v>
      </c>
      <c r="T258" s="339">
        <v>0</v>
      </c>
      <c r="U258" s="339">
        <v>0</v>
      </c>
      <c r="V258" s="339">
        <v>0</v>
      </c>
      <c r="W258" s="339">
        <v>0</v>
      </c>
      <c r="X258" s="339">
        <v>0</v>
      </c>
      <c r="Y258" s="339">
        <v>0</v>
      </c>
      <c r="Z258" s="339">
        <v>0</v>
      </c>
      <c r="AA258" s="339">
        <v>0</v>
      </c>
      <c r="AB258" s="339" t="e">
        <v>#DIV/0!</v>
      </c>
      <c r="AC258" s="342" t="e">
        <v>#DIV/0!</v>
      </c>
      <c r="AD258" s="342" t="e">
        <v>#DIV/0!</v>
      </c>
      <c r="AE258" s="342" t="e">
        <v>#DIV/0!</v>
      </c>
      <c r="AF258" s="342" t="e">
        <v>#DIV/0!</v>
      </c>
      <c r="AG258" s="332"/>
    </row>
    <row r="259" spans="1:33" s="333" customFormat="1">
      <c r="A259" s="337">
        <v>29</v>
      </c>
      <c r="B259" s="380" t="s">
        <v>318</v>
      </c>
      <c r="C259" s="338">
        <v>1</v>
      </c>
      <c r="D259" s="337">
        <v>1</v>
      </c>
      <c r="E259" s="337">
        <v>3</v>
      </c>
      <c r="F259" s="337">
        <v>3</v>
      </c>
      <c r="G259" s="338">
        <v>0.63</v>
      </c>
      <c r="H259" s="338">
        <v>0.63</v>
      </c>
      <c r="I259" s="337">
        <v>24</v>
      </c>
      <c r="J259" s="337" t="s">
        <v>996</v>
      </c>
      <c r="K259" s="337">
        <v>6</v>
      </c>
      <c r="L259" s="337">
        <v>12</v>
      </c>
      <c r="M259" s="337">
        <v>12</v>
      </c>
      <c r="N259" s="337">
        <v>12</v>
      </c>
      <c r="O259" s="337">
        <v>24</v>
      </c>
      <c r="P259" s="337" t="s">
        <v>996</v>
      </c>
      <c r="Q259" s="337">
        <v>30</v>
      </c>
      <c r="R259" s="337">
        <v>453.6</v>
      </c>
      <c r="S259" s="339">
        <v>453.6</v>
      </c>
      <c r="T259" s="339">
        <v>113.4</v>
      </c>
      <c r="U259" s="339">
        <v>680.4</v>
      </c>
      <c r="V259" s="339">
        <v>1360.8</v>
      </c>
      <c r="W259" s="339">
        <v>453.6</v>
      </c>
      <c r="X259" s="339">
        <v>453.6</v>
      </c>
      <c r="Y259" s="339">
        <v>113.4</v>
      </c>
      <c r="Z259" s="339">
        <v>680.4</v>
      </c>
      <c r="AA259" s="339">
        <v>1360.8</v>
      </c>
      <c r="AB259" s="339">
        <v>1</v>
      </c>
      <c r="AC259" s="342">
        <v>1</v>
      </c>
      <c r="AD259" s="342">
        <v>1</v>
      </c>
      <c r="AE259" s="342">
        <v>1</v>
      </c>
      <c r="AF259" s="342">
        <v>1</v>
      </c>
      <c r="AG259" s="332"/>
    </row>
    <row r="260" spans="1:33" s="333" customFormat="1">
      <c r="A260" s="337">
        <v>30</v>
      </c>
      <c r="B260" s="380" t="s">
        <v>319</v>
      </c>
      <c r="C260" s="338">
        <v>1</v>
      </c>
      <c r="D260" s="337">
        <v>1</v>
      </c>
      <c r="E260" s="337">
        <v>1</v>
      </c>
      <c r="F260" s="337">
        <v>1</v>
      </c>
      <c r="G260" s="338">
        <v>0.65</v>
      </c>
      <c r="H260" s="338">
        <v>0.65</v>
      </c>
      <c r="I260" s="337">
        <v>24</v>
      </c>
      <c r="J260" s="337" t="s">
        <v>996</v>
      </c>
      <c r="K260" s="337">
        <v>6</v>
      </c>
      <c r="L260" s="337">
        <v>12</v>
      </c>
      <c r="M260" s="337">
        <v>12</v>
      </c>
      <c r="N260" s="337">
        <v>12</v>
      </c>
      <c r="O260" s="337">
        <v>24</v>
      </c>
      <c r="P260" s="337" t="s">
        <v>996</v>
      </c>
      <c r="Q260" s="337">
        <v>30</v>
      </c>
      <c r="R260" s="337">
        <v>468.00000000000006</v>
      </c>
      <c r="S260" s="339">
        <v>468.00000000000006</v>
      </c>
      <c r="T260" s="339">
        <v>117.00000000000001</v>
      </c>
      <c r="U260" s="339">
        <v>234.00000000000003</v>
      </c>
      <c r="V260" s="339">
        <v>468.00000000000006</v>
      </c>
      <c r="W260" s="339">
        <v>468.00000000000006</v>
      </c>
      <c r="X260" s="339">
        <v>468.00000000000006</v>
      </c>
      <c r="Y260" s="339">
        <v>117.00000000000001</v>
      </c>
      <c r="Z260" s="339">
        <v>234.00000000000003</v>
      </c>
      <c r="AA260" s="339">
        <v>468.00000000000006</v>
      </c>
      <c r="AB260" s="339">
        <v>1</v>
      </c>
      <c r="AC260" s="342">
        <v>1</v>
      </c>
      <c r="AD260" s="342">
        <v>1</v>
      </c>
      <c r="AE260" s="342">
        <v>1</v>
      </c>
      <c r="AF260" s="342">
        <v>1</v>
      </c>
      <c r="AG260" s="332"/>
    </row>
    <row r="261" spans="1:33" s="333" customFormat="1">
      <c r="A261" s="337">
        <v>31</v>
      </c>
      <c r="B261" s="380" t="s">
        <v>320</v>
      </c>
      <c r="C261" s="338">
        <v>1</v>
      </c>
      <c r="D261" s="337">
        <v>2</v>
      </c>
      <c r="E261" s="337">
        <v>3</v>
      </c>
      <c r="F261" s="337">
        <v>3</v>
      </c>
      <c r="G261" s="338">
        <v>0.72</v>
      </c>
      <c r="H261" s="338">
        <v>0.72</v>
      </c>
      <c r="I261" s="337">
        <v>24</v>
      </c>
      <c r="J261" s="337" t="s">
        <v>996</v>
      </c>
      <c r="K261" s="337">
        <v>6</v>
      </c>
      <c r="L261" s="337">
        <v>12</v>
      </c>
      <c r="M261" s="337">
        <v>12</v>
      </c>
      <c r="N261" s="337">
        <v>12</v>
      </c>
      <c r="O261" s="337">
        <v>24</v>
      </c>
      <c r="P261" s="337" t="s">
        <v>996</v>
      </c>
      <c r="Q261" s="337">
        <v>30</v>
      </c>
      <c r="R261" s="337">
        <v>518.40000000000009</v>
      </c>
      <c r="S261" s="339">
        <v>518.40000000000009</v>
      </c>
      <c r="T261" s="339">
        <v>259.20000000000005</v>
      </c>
      <c r="U261" s="339">
        <v>777.6</v>
      </c>
      <c r="V261" s="339">
        <v>1555.2</v>
      </c>
      <c r="W261" s="339">
        <v>518.40000000000009</v>
      </c>
      <c r="X261" s="339">
        <v>518.40000000000009</v>
      </c>
      <c r="Y261" s="339">
        <v>259.20000000000005</v>
      </c>
      <c r="Z261" s="339">
        <v>777.6</v>
      </c>
      <c r="AA261" s="339">
        <v>1555.2</v>
      </c>
      <c r="AB261" s="339">
        <v>1</v>
      </c>
      <c r="AC261" s="342">
        <v>1</v>
      </c>
      <c r="AD261" s="342">
        <v>1</v>
      </c>
      <c r="AE261" s="342">
        <v>1</v>
      </c>
      <c r="AF261" s="342">
        <v>1</v>
      </c>
      <c r="AG261" s="332"/>
    </row>
    <row r="262" spans="1:33" s="332" customFormat="1" ht="14.25">
      <c r="A262" s="350" t="s">
        <v>44</v>
      </c>
      <c r="B262" s="376" t="s">
        <v>1357</v>
      </c>
      <c r="C262" s="364"/>
      <c r="D262" s="350"/>
      <c r="E262" s="350"/>
      <c r="F262" s="350"/>
      <c r="G262" s="364"/>
      <c r="H262" s="364"/>
      <c r="I262" s="350"/>
      <c r="J262" s="350"/>
      <c r="K262" s="350"/>
      <c r="L262" s="350"/>
      <c r="M262" s="350"/>
      <c r="N262" s="350"/>
      <c r="O262" s="350"/>
      <c r="P262" s="350"/>
      <c r="Q262" s="350"/>
      <c r="R262" s="350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  <c r="AC262" s="352"/>
      <c r="AD262" s="352"/>
      <c r="AE262" s="352"/>
      <c r="AF262" s="352"/>
    </row>
    <row r="263" spans="1:33" s="332" customFormat="1" ht="14.25">
      <c r="A263" s="350" t="s">
        <v>1358</v>
      </c>
      <c r="B263" s="376" t="s">
        <v>1359</v>
      </c>
      <c r="C263" s="364"/>
      <c r="D263" s="350"/>
      <c r="E263" s="350"/>
      <c r="F263" s="350"/>
      <c r="G263" s="364"/>
      <c r="H263" s="364"/>
      <c r="I263" s="350"/>
      <c r="J263" s="350"/>
      <c r="K263" s="350"/>
      <c r="L263" s="350"/>
      <c r="M263" s="350"/>
      <c r="N263" s="350"/>
      <c r="O263" s="350"/>
      <c r="P263" s="350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  <c r="AA263" s="350"/>
      <c r="AB263" s="350"/>
      <c r="AC263" s="350"/>
      <c r="AD263" s="350"/>
      <c r="AE263" s="350"/>
      <c r="AF263" s="350"/>
    </row>
    <row r="264" spans="1:33" s="333" customFormat="1">
      <c r="A264" s="337">
        <v>1</v>
      </c>
      <c r="B264" s="380" t="s">
        <v>1360</v>
      </c>
      <c r="C264" s="338">
        <v>1</v>
      </c>
      <c r="D264" s="338">
        <v>1</v>
      </c>
      <c r="E264" s="338">
        <v>1</v>
      </c>
      <c r="F264" s="338">
        <v>1</v>
      </c>
      <c r="G264" s="338">
        <v>0.04</v>
      </c>
      <c r="H264" s="338">
        <v>0.04</v>
      </c>
      <c r="I264" s="338">
        <v>8</v>
      </c>
      <c r="J264" s="337" t="s">
        <v>1023</v>
      </c>
      <c r="K264" s="338">
        <v>8</v>
      </c>
      <c r="L264" s="337" t="s">
        <v>1023</v>
      </c>
      <c r="M264" s="337">
        <v>8</v>
      </c>
      <c r="N264" s="337" t="s">
        <v>1023</v>
      </c>
      <c r="O264" s="337">
        <v>8</v>
      </c>
      <c r="P264" s="337" t="s">
        <v>1023</v>
      </c>
      <c r="Q264" s="337">
        <v>30</v>
      </c>
      <c r="R264" s="337">
        <v>0</v>
      </c>
      <c r="S264" s="339">
        <v>0</v>
      </c>
      <c r="T264" s="339">
        <v>0</v>
      </c>
      <c r="U264" s="339">
        <v>0</v>
      </c>
      <c r="V264" s="339">
        <v>0</v>
      </c>
      <c r="W264" s="339">
        <v>0</v>
      </c>
      <c r="X264" s="339">
        <v>0</v>
      </c>
      <c r="Y264" s="339">
        <v>0</v>
      </c>
      <c r="Z264" s="339">
        <v>0</v>
      </c>
      <c r="AA264" s="339">
        <v>0</v>
      </c>
      <c r="AB264" s="339" t="e">
        <v>#DIV/0!</v>
      </c>
      <c r="AC264" s="342" t="e">
        <v>#DIV/0!</v>
      </c>
      <c r="AD264" s="342" t="e">
        <v>#DIV/0!</v>
      </c>
      <c r="AE264" s="342" t="e">
        <v>#DIV/0!</v>
      </c>
      <c r="AF264" s="342" t="e">
        <v>#DIV/0!</v>
      </c>
      <c r="AG264" s="332"/>
    </row>
    <row r="265" spans="1:33" s="333" customFormat="1">
      <c r="A265" s="337">
        <v>2</v>
      </c>
      <c r="B265" s="380" t="s">
        <v>1361</v>
      </c>
      <c r="C265" s="338">
        <v>1</v>
      </c>
      <c r="D265" s="338">
        <v>1</v>
      </c>
      <c r="E265" s="338">
        <v>1</v>
      </c>
      <c r="F265" s="338">
        <v>1</v>
      </c>
      <c r="G265" s="338">
        <v>2</v>
      </c>
      <c r="H265" s="338">
        <v>2</v>
      </c>
      <c r="I265" s="338">
        <v>8</v>
      </c>
      <c r="J265" s="337" t="s">
        <v>1023</v>
      </c>
      <c r="K265" s="338">
        <v>8</v>
      </c>
      <c r="L265" s="337" t="s">
        <v>1023</v>
      </c>
      <c r="M265" s="337">
        <v>8</v>
      </c>
      <c r="N265" s="337" t="s">
        <v>1023</v>
      </c>
      <c r="O265" s="337">
        <v>8</v>
      </c>
      <c r="P265" s="337" t="s">
        <v>1023</v>
      </c>
      <c r="Q265" s="337">
        <v>30</v>
      </c>
      <c r="R265" s="337">
        <v>0</v>
      </c>
      <c r="S265" s="339">
        <v>0</v>
      </c>
      <c r="T265" s="339">
        <v>0</v>
      </c>
      <c r="U265" s="339">
        <v>0</v>
      </c>
      <c r="V265" s="339">
        <v>0</v>
      </c>
      <c r="W265" s="339">
        <v>0</v>
      </c>
      <c r="X265" s="339">
        <v>0</v>
      </c>
      <c r="Y265" s="339">
        <v>0</v>
      </c>
      <c r="Z265" s="339">
        <v>0</v>
      </c>
      <c r="AA265" s="339">
        <v>0</v>
      </c>
      <c r="AB265" s="339" t="e">
        <v>#DIV/0!</v>
      </c>
      <c r="AC265" s="342" t="e">
        <v>#DIV/0!</v>
      </c>
      <c r="AD265" s="342" t="e">
        <v>#DIV/0!</v>
      </c>
      <c r="AE265" s="342" t="e">
        <v>#DIV/0!</v>
      </c>
      <c r="AF265" s="342" t="e">
        <v>#DIV/0!</v>
      </c>
      <c r="AG265" s="332"/>
    </row>
    <row r="266" spans="1:33" s="333" customFormat="1">
      <c r="A266" s="337">
        <v>3</v>
      </c>
      <c r="B266" s="380" t="s">
        <v>1362</v>
      </c>
      <c r="C266" s="338">
        <v>4</v>
      </c>
      <c r="D266" s="338">
        <v>4</v>
      </c>
      <c r="E266" s="338">
        <v>4</v>
      </c>
      <c r="F266" s="338">
        <v>4</v>
      </c>
      <c r="G266" s="338">
        <v>0.1</v>
      </c>
      <c r="H266" s="338">
        <v>0.1</v>
      </c>
      <c r="I266" s="338">
        <v>8</v>
      </c>
      <c r="J266" s="337" t="s">
        <v>1023</v>
      </c>
      <c r="K266" s="338">
        <v>8</v>
      </c>
      <c r="L266" s="337" t="s">
        <v>1023</v>
      </c>
      <c r="M266" s="337">
        <v>8</v>
      </c>
      <c r="N266" s="337" t="s">
        <v>1023</v>
      </c>
      <c r="O266" s="337">
        <v>8</v>
      </c>
      <c r="P266" s="337" t="s">
        <v>1023</v>
      </c>
      <c r="Q266" s="337">
        <v>30</v>
      </c>
      <c r="R266" s="337">
        <v>0</v>
      </c>
      <c r="S266" s="339">
        <v>0</v>
      </c>
      <c r="T266" s="339">
        <v>0</v>
      </c>
      <c r="U266" s="339">
        <v>0</v>
      </c>
      <c r="V266" s="339">
        <v>0</v>
      </c>
      <c r="W266" s="339">
        <v>0</v>
      </c>
      <c r="X266" s="339">
        <v>0</v>
      </c>
      <c r="Y266" s="339">
        <v>0</v>
      </c>
      <c r="Z266" s="339">
        <v>0</v>
      </c>
      <c r="AA266" s="339">
        <v>0</v>
      </c>
      <c r="AB266" s="339" t="e">
        <v>#DIV/0!</v>
      </c>
      <c r="AC266" s="342" t="e">
        <v>#DIV/0!</v>
      </c>
      <c r="AD266" s="342" t="e">
        <v>#DIV/0!</v>
      </c>
      <c r="AE266" s="342" t="e">
        <v>#DIV/0!</v>
      </c>
      <c r="AF266" s="342" t="e">
        <v>#DIV/0!</v>
      </c>
      <c r="AG266" s="332"/>
    </row>
    <row r="267" spans="1:33" s="333" customFormat="1">
      <c r="A267" s="337">
        <v>4</v>
      </c>
      <c r="B267" s="380" t="s">
        <v>1363</v>
      </c>
      <c r="C267" s="338">
        <v>2</v>
      </c>
      <c r="D267" s="338">
        <v>2</v>
      </c>
      <c r="E267" s="338">
        <v>2</v>
      </c>
      <c r="F267" s="338">
        <v>2</v>
      </c>
      <c r="G267" s="338">
        <v>2.2000000000000002</v>
      </c>
      <c r="H267" s="338">
        <v>2.2000000000000002</v>
      </c>
      <c r="I267" s="338">
        <v>4</v>
      </c>
      <c r="J267" s="224" t="s">
        <v>1583</v>
      </c>
      <c r="K267" s="338">
        <v>4</v>
      </c>
      <c r="L267" s="224" t="s">
        <v>1583</v>
      </c>
      <c r="M267" s="337">
        <v>6</v>
      </c>
      <c r="N267" s="337" t="s">
        <v>1364</v>
      </c>
      <c r="O267" s="337">
        <v>6</v>
      </c>
      <c r="P267" s="337" t="s">
        <v>1364</v>
      </c>
      <c r="Q267" s="337">
        <v>30</v>
      </c>
      <c r="R267" s="337">
        <v>0</v>
      </c>
      <c r="S267" s="339">
        <v>0</v>
      </c>
      <c r="T267" s="339">
        <v>0</v>
      </c>
      <c r="U267" s="339">
        <v>0</v>
      </c>
      <c r="V267" s="339">
        <v>0</v>
      </c>
      <c r="W267" s="339">
        <v>0</v>
      </c>
      <c r="X267" s="339">
        <v>0</v>
      </c>
      <c r="Y267" s="339">
        <v>0</v>
      </c>
      <c r="Z267" s="339">
        <v>0</v>
      </c>
      <c r="AA267" s="339">
        <v>0</v>
      </c>
      <c r="AB267" s="339" t="e">
        <v>#DIV/0!</v>
      </c>
      <c r="AC267" s="342" t="e">
        <v>#DIV/0!</v>
      </c>
      <c r="AD267" s="342" t="e">
        <v>#DIV/0!</v>
      </c>
      <c r="AE267" s="342" t="e">
        <v>#DIV/0!</v>
      </c>
      <c r="AF267" s="342" t="e">
        <v>#DIV/0!</v>
      </c>
      <c r="AG267" s="332"/>
    </row>
    <row r="268" spans="1:33" s="333" customFormat="1">
      <c r="A268" s="337">
        <v>5</v>
      </c>
      <c r="B268" s="380" t="s">
        <v>1365</v>
      </c>
      <c r="C268" s="338">
        <v>3</v>
      </c>
      <c r="D268" s="338">
        <v>3</v>
      </c>
      <c r="E268" s="338">
        <v>3</v>
      </c>
      <c r="F268" s="338">
        <v>3</v>
      </c>
      <c r="G268" s="338">
        <v>0.1</v>
      </c>
      <c r="H268" s="338">
        <v>0.1</v>
      </c>
      <c r="I268" s="338">
        <v>4</v>
      </c>
      <c r="J268" s="224" t="s">
        <v>1583</v>
      </c>
      <c r="K268" s="338">
        <v>4</v>
      </c>
      <c r="L268" s="224" t="s">
        <v>1583</v>
      </c>
      <c r="M268" s="337">
        <v>6</v>
      </c>
      <c r="N268" s="337" t="s">
        <v>1364</v>
      </c>
      <c r="O268" s="337">
        <v>6</v>
      </c>
      <c r="P268" s="337" t="s">
        <v>1364</v>
      </c>
      <c r="Q268" s="337">
        <v>30</v>
      </c>
      <c r="R268" s="337">
        <v>0</v>
      </c>
      <c r="S268" s="339">
        <v>0</v>
      </c>
      <c r="T268" s="339">
        <v>0</v>
      </c>
      <c r="U268" s="339">
        <v>0</v>
      </c>
      <c r="V268" s="339">
        <v>0</v>
      </c>
      <c r="W268" s="339">
        <v>0</v>
      </c>
      <c r="X268" s="339">
        <v>0</v>
      </c>
      <c r="Y268" s="339">
        <v>0</v>
      </c>
      <c r="Z268" s="339">
        <v>0</v>
      </c>
      <c r="AA268" s="339">
        <v>0</v>
      </c>
      <c r="AB268" s="339" t="e">
        <v>#DIV/0!</v>
      </c>
      <c r="AC268" s="342" t="e">
        <v>#DIV/0!</v>
      </c>
      <c r="AD268" s="342" t="e">
        <v>#DIV/0!</v>
      </c>
      <c r="AE268" s="342" t="e">
        <v>#DIV/0!</v>
      </c>
      <c r="AF268" s="342" t="e">
        <v>#DIV/0!</v>
      </c>
      <c r="AG268" s="332"/>
    </row>
    <row r="269" spans="1:33" s="333" customFormat="1">
      <c r="A269" s="337">
        <v>6</v>
      </c>
      <c r="B269" s="380" t="s">
        <v>1366</v>
      </c>
      <c r="C269" s="338">
        <v>2</v>
      </c>
      <c r="D269" s="338">
        <v>2</v>
      </c>
      <c r="E269" s="338">
        <v>2</v>
      </c>
      <c r="F269" s="338">
        <v>2</v>
      </c>
      <c r="G269" s="338">
        <v>22.5</v>
      </c>
      <c r="H269" s="338">
        <v>22.5</v>
      </c>
      <c r="I269" s="338">
        <v>4</v>
      </c>
      <c r="J269" s="224" t="s">
        <v>1583</v>
      </c>
      <c r="K269" s="338">
        <v>4</v>
      </c>
      <c r="L269" s="224" t="s">
        <v>1583</v>
      </c>
      <c r="M269" s="337">
        <v>6</v>
      </c>
      <c r="N269" s="337" t="s">
        <v>1364</v>
      </c>
      <c r="O269" s="337">
        <v>6</v>
      </c>
      <c r="P269" s="337" t="s">
        <v>1364</v>
      </c>
      <c r="Q269" s="337">
        <v>30</v>
      </c>
      <c r="R269" s="337">
        <v>0</v>
      </c>
      <c r="S269" s="339">
        <v>0</v>
      </c>
      <c r="T269" s="339">
        <v>0</v>
      </c>
      <c r="U269" s="339">
        <v>0</v>
      </c>
      <c r="V269" s="339">
        <v>0</v>
      </c>
      <c r="W269" s="339">
        <v>0</v>
      </c>
      <c r="X269" s="339">
        <v>0</v>
      </c>
      <c r="Y269" s="339">
        <v>0</v>
      </c>
      <c r="Z269" s="339">
        <v>0</v>
      </c>
      <c r="AA269" s="339">
        <v>0</v>
      </c>
      <c r="AB269" s="339" t="e">
        <v>#DIV/0!</v>
      </c>
      <c r="AC269" s="342" t="e">
        <v>#DIV/0!</v>
      </c>
      <c r="AD269" s="342" t="e">
        <v>#DIV/0!</v>
      </c>
      <c r="AE269" s="342" t="e">
        <v>#DIV/0!</v>
      </c>
      <c r="AF269" s="342" t="e">
        <v>#DIV/0!</v>
      </c>
      <c r="AG269" s="332"/>
    </row>
    <row r="270" spans="1:33" s="333" customFormat="1">
      <c r="A270" s="337">
        <v>7</v>
      </c>
      <c r="B270" s="380" t="s">
        <v>1367</v>
      </c>
      <c r="C270" s="338">
        <v>1</v>
      </c>
      <c r="D270" s="338">
        <v>1</v>
      </c>
      <c r="E270" s="338">
        <v>1</v>
      </c>
      <c r="F270" s="338">
        <v>1</v>
      </c>
      <c r="G270" s="338">
        <v>0.4</v>
      </c>
      <c r="H270" s="338">
        <v>0.4</v>
      </c>
      <c r="I270" s="338">
        <v>4</v>
      </c>
      <c r="J270" s="224" t="s">
        <v>1583</v>
      </c>
      <c r="K270" s="338">
        <v>4</v>
      </c>
      <c r="L270" s="224" t="s">
        <v>1583</v>
      </c>
      <c r="M270" s="337">
        <v>6</v>
      </c>
      <c r="N270" s="337" t="s">
        <v>1364</v>
      </c>
      <c r="O270" s="337">
        <v>6</v>
      </c>
      <c r="P270" s="337" t="s">
        <v>1364</v>
      </c>
      <c r="Q270" s="337">
        <v>30</v>
      </c>
      <c r="R270" s="337">
        <v>0</v>
      </c>
      <c r="S270" s="339">
        <v>0</v>
      </c>
      <c r="T270" s="339">
        <v>0</v>
      </c>
      <c r="U270" s="339">
        <v>0</v>
      </c>
      <c r="V270" s="339">
        <v>0</v>
      </c>
      <c r="W270" s="339">
        <v>0</v>
      </c>
      <c r="X270" s="339">
        <v>0</v>
      </c>
      <c r="Y270" s="339">
        <v>0</v>
      </c>
      <c r="Z270" s="339">
        <v>0</v>
      </c>
      <c r="AA270" s="339">
        <v>0</v>
      </c>
      <c r="AB270" s="339" t="e">
        <v>#DIV/0!</v>
      </c>
      <c r="AC270" s="342" t="e">
        <v>#DIV/0!</v>
      </c>
      <c r="AD270" s="342" t="e">
        <v>#DIV/0!</v>
      </c>
      <c r="AE270" s="342" t="e">
        <v>#DIV/0!</v>
      </c>
      <c r="AF270" s="342" t="e">
        <v>#DIV/0!</v>
      </c>
      <c r="AG270" s="332"/>
    </row>
    <row r="271" spans="1:33" s="333" customFormat="1">
      <c r="A271" s="337">
        <v>8</v>
      </c>
      <c r="B271" s="380" t="s">
        <v>1368</v>
      </c>
      <c r="C271" s="338">
        <v>1</v>
      </c>
      <c r="D271" s="338">
        <v>1</v>
      </c>
      <c r="E271" s="338">
        <v>1</v>
      </c>
      <c r="F271" s="338">
        <v>1</v>
      </c>
      <c r="G271" s="338">
        <v>0.55000000000000004</v>
      </c>
      <c r="H271" s="338">
        <v>0.55000000000000004</v>
      </c>
      <c r="I271" s="338">
        <v>4</v>
      </c>
      <c r="J271" s="224" t="s">
        <v>1583</v>
      </c>
      <c r="K271" s="338">
        <v>4</v>
      </c>
      <c r="L271" s="224" t="s">
        <v>1583</v>
      </c>
      <c r="M271" s="337">
        <v>6</v>
      </c>
      <c r="N271" s="337" t="s">
        <v>1364</v>
      </c>
      <c r="O271" s="337">
        <v>6</v>
      </c>
      <c r="P271" s="337" t="s">
        <v>1364</v>
      </c>
      <c r="Q271" s="337">
        <v>30</v>
      </c>
      <c r="R271" s="337">
        <v>0</v>
      </c>
      <c r="S271" s="339">
        <v>0</v>
      </c>
      <c r="T271" s="339">
        <v>0</v>
      </c>
      <c r="U271" s="339">
        <v>0</v>
      </c>
      <c r="V271" s="339">
        <v>0</v>
      </c>
      <c r="W271" s="339">
        <v>0</v>
      </c>
      <c r="X271" s="339">
        <v>0</v>
      </c>
      <c r="Y271" s="339">
        <v>0</v>
      </c>
      <c r="Z271" s="339">
        <v>0</v>
      </c>
      <c r="AA271" s="339">
        <v>0</v>
      </c>
      <c r="AB271" s="339" t="e">
        <v>#DIV/0!</v>
      </c>
      <c r="AC271" s="342" t="e">
        <v>#DIV/0!</v>
      </c>
      <c r="AD271" s="342" t="e">
        <v>#DIV/0!</v>
      </c>
      <c r="AE271" s="342" t="e">
        <v>#DIV/0!</v>
      </c>
      <c r="AF271" s="342" t="e">
        <v>#DIV/0!</v>
      </c>
      <c r="AG271" s="332"/>
    </row>
    <row r="272" spans="1:33" s="333" customFormat="1">
      <c r="A272" s="337">
        <v>9</v>
      </c>
      <c r="B272" s="380" t="s">
        <v>236</v>
      </c>
      <c r="C272" s="338">
        <v>1</v>
      </c>
      <c r="D272" s="338">
        <v>1</v>
      </c>
      <c r="E272" s="338">
        <v>1</v>
      </c>
      <c r="F272" s="338">
        <v>1</v>
      </c>
      <c r="G272" s="338">
        <v>2.2000000000000002</v>
      </c>
      <c r="H272" s="338">
        <v>2.2000000000000002</v>
      </c>
      <c r="I272" s="338">
        <v>12</v>
      </c>
      <c r="J272" s="337" t="s">
        <v>996</v>
      </c>
      <c r="K272" s="338">
        <v>12</v>
      </c>
      <c r="L272" s="337" t="s">
        <v>996</v>
      </c>
      <c r="M272" s="338">
        <v>12</v>
      </c>
      <c r="N272" s="337" t="s">
        <v>996</v>
      </c>
      <c r="O272" s="338">
        <v>12</v>
      </c>
      <c r="P272" s="337" t="s">
        <v>996</v>
      </c>
      <c r="Q272" s="337">
        <v>30</v>
      </c>
      <c r="R272" s="337">
        <v>0</v>
      </c>
      <c r="S272" s="339">
        <v>0</v>
      </c>
      <c r="T272" s="339">
        <v>0</v>
      </c>
      <c r="U272" s="339">
        <v>0</v>
      </c>
      <c r="V272" s="339">
        <v>0</v>
      </c>
      <c r="W272" s="339">
        <v>0</v>
      </c>
      <c r="X272" s="339">
        <v>0</v>
      </c>
      <c r="Y272" s="339">
        <v>0</v>
      </c>
      <c r="Z272" s="339">
        <v>0</v>
      </c>
      <c r="AA272" s="339">
        <v>0</v>
      </c>
      <c r="AB272" s="339" t="e">
        <v>#DIV/0!</v>
      </c>
      <c r="AC272" s="342" t="e">
        <v>#DIV/0!</v>
      </c>
      <c r="AD272" s="342" t="e">
        <v>#DIV/0!</v>
      </c>
      <c r="AE272" s="342" t="e">
        <v>#DIV/0!</v>
      </c>
      <c r="AF272" s="342" t="e">
        <v>#DIV/0!</v>
      </c>
      <c r="AG272" s="332"/>
    </row>
    <row r="273" spans="1:33" s="333" customFormat="1">
      <c r="A273" s="337">
        <v>10</v>
      </c>
      <c r="B273" s="380" t="s">
        <v>237</v>
      </c>
      <c r="C273" s="338">
        <v>1</v>
      </c>
      <c r="D273" s="338">
        <v>1</v>
      </c>
      <c r="E273" s="338">
        <v>1</v>
      </c>
      <c r="F273" s="338">
        <v>1</v>
      </c>
      <c r="G273" s="338">
        <v>2.2000000000000002</v>
      </c>
      <c r="H273" s="338">
        <v>2.2000000000000002</v>
      </c>
      <c r="I273" s="338">
        <v>12</v>
      </c>
      <c r="J273" s="337" t="s">
        <v>996</v>
      </c>
      <c r="K273" s="338">
        <v>12</v>
      </c>
      <c r="L273" s="337" t="s">
        <v>996</v>
      </c>
      <c r="M273" s="338">
        <v>12</v>
      </c>
      <c r="N273" s="337" t="s">
        <v>996</v>
      </c>
      <c r="O273" s="338">
        <v>12</v>
      </c>
      <c r="P273" s="337" t="s">
        <v>996</v>
      </c>
      <c r="Q273" s="337">
        <v>30</v>
      </c>
      <c r="R273" s="337">
        <v>0</v>
      </c>
      <c r="S273" s="339">
        <v>0</v>
      </c>
      <c r="T273" s="339">
        <v>0</v>
      </c>
      <c r="U273" s="339">
        <v>0</v>
      </c>
      <c r="V273" s="339">
        <v>0</v>
      </c>
      <c r="W273" s="339">
        <v>0</v>
      </c>
      <c r="X273" s="339">
        <v>0</v>
      </c>
      <c r="Y273" s="339">
        <v>0</v>
      </c>
      <c r="Z273" s="339">
        <v>0</v>
      </c>
      <c r="AA273" s="339">
        <v>0</v>
      </c>
      <c r="AB273" s="339" t="e">
        <v>#DIV/0!</v>
      </c>
      <c r="AC273" s="342" t="e">
        <v>#DIV/0!</v>
      </c>
      <c r="AD273" s="342" t="e">
        <v>#DIV/0!</v>
      </c>
      <c r="AE273" s="342" t="e">
        <v>#DIV/0!</v>
      </c>
      <c r="AF273" s="342" t="e">
        <v>#DIV/0!</v>
      </c>
      <c r="AG273" s="332"/>
    </row>
    <row r="274" spans="1:33" s="333" customFormat="1">
      <c r="A274" s="337">
        <v>11</v>
      </c>
      <c r="B274" s="380" t="s">
        <v>235</v>
      </c>
      <c r="C274" s="338">
        <v>1</v>
      </c>
      <c r="D274" s="338">
        <v>1</v>
      </c>
      <c r="E274" s="338">
        <v>1</v>
      </c>
      <c r="F274" s="338">
        <v>1</v>
      </c>
      <c r="G274" s="338">
        <v>2.4</v>
      </c>
      <c r="H274" s="338">
        <v>2.4</v>
      </c>
      <c r="I274" s="338">
        <v>12</v>
      </c>
      <c r="J274" s="337" t="s">
        <v>996</v>
      </c>
      <c r="K274" s="338">
        <v>12</v>
      </c>
      <c r="L274" s="337" t="s">
        <v>996</v>
      </c>
      <c r="M274" s="338">
        <v>12</v>
      </c>
      <c r="N274" s="337" t="s">
        <v>996</v>
      </c>
      <c r="O274" s="338">
        <v>12</v>
      </c>
      <c r="P274" s="337" t="s">
        <v>996</v>
      </c>
      <c r="Q274" s="337">
        <v>30</v>
      </c>
      <c r="R274" s="337">
        <v>0</v>
      </c>
      <c r="S274" s="339">
        <v>0</v>
      </c>
      <c r="T274" s="339">
        <v>0</v>
      </c>
      <c r="U274" s="339">
        <v>0</v>
      </c>
      <c r="V274" s="339">
        <v>0</v>
      </c>
      <c r="W274" s="339">
        <v>0</v>
      </c>
      <c r="X274" s="339">
        <v>0</v>
      </c>
      <c r="Y274" s="339">
        <v>0</v>
      </c>
      <c r="Z274" s="339">
        <v>0</v>
      </c>
      <c r="AA274" s="339">
        <v>0</v>
      </c>
      <c r="AB274" s="339" t="e">
        <v>#DIV/0!</v>
      </c>
      <c r="AC274" s="342" t="e">
        <v>#DIV/0!</v>
      </c>
      <c r="AD274" s="342" t="e">
        <v>#DIV/0!</v>
      </c>
      <c r="AE274" s="342" t="e">
        <v>#DIV/0!</v>
      </c>
      <c r="AF274" s="342" t="e">
        <v>#DIV/0!</v>
      </c>
      <c r="AG274" s="332"/>
    </row>
    <row r="275" spans="1:33" s="333" customFormat="1">
      <c r="A275" s="337">
        <v>12</v>
      </c>
      <c r="B275" s="380" t="s">
        <v>239</v>
      </c>
      <c r="C275" s="338">
        <v>1</v>
      </c>
      <c r="D275" s="338">
        <v>1</v>
      </c>
      <c r="E275" s="338">
        <v>1</v>
      </c>
      <c r="F275" s="338">
        <v>1</v>
      </c>
      <c r="G275" s="338">
        <v>2.2000000000000002</v>
      </c>
      <c r="H275" s="338">
        <v>2.2000000000000002</v>
      </c>
      <c r="I275" s="338">
        <v>12</v>
      </c>
      <c r="J275" s="337" t="s">
        <v>996</v>
      </c>
      <c r="K275" s="338">
        <v>12</v>
      </c>
      <c r="L275" s="337" t="s">
        <v>996</v>
      </c>
      <c r="M275" s="338">
        <v>12</v>
      </c>
      <c r="N275" s="337" t="s">
        <v>996</v>
      </c>
      <c r="O275" s="338">
        <v>12</v>
      </c>
      <c r="P275" s="337" t="s">
        <v>996</v>
      </c>
      <c r="Q275" s="337">
        <v>30</v>
      </c>
      <c r="R275" s="337">
        <v>0</v>
      </c>
      <c r="S275" s="339">
        <v>0</v>
      </c>
      <c r="T275" s="339">
        <v>0</v>
      </c>
      <c r="U275" s="339">
        <v>0</v>
      </c>
      <c r="V275" s="339">
        <v>0</v>
      </c>
      <c r="W275" s="339">
        <v>0</v>
      </c>
      <c r="X275" s="339">
        <v>0</v>
      </c>
      <c r="Y275" s="339">
        <v>0</v>
      </c>
      <c r="Z275" s="339">
        <v>0</v>
      </c>
      <c r="AA275" s="339">
        <v>0</v>
      </c>
      <c r="AB275" s="339" t="e">
        <v>#DIV/0!</v>
      </c>
      <c r="AC275" s="342" t="e">
        <v>#DIV/0!</v>
      </c>
      <c r="AD275" s="342" t="e">
        <v>#DIV/0!</v>
      </c>
      <c r="AE275" s="342" t="e">
        <v>#DIV/0!</v>
      </c>
      <c r="AF275" s="342" t="e">
        <v>#DIV/0!</v>
      </c>
      <c r="AG275" s="332"/>
    </row>
    <row r="276" spans="1:33" s="333" customFormat="1">
      <c r="A276" s="337">
        <v>13</v>
      </c>
      <c r="B276" s="380" t="s">
        <v>240</v>
      </c>
      <c r="C276" s="338">
        <v>1</v>
      </c>
      <c r="D276" s="338">
        <v>1</v>
      </c>
      <c r="E276" s="338">
        <v>1</v>
      </c>
      <c r="F276" s="338">
        <v>1</v>
      </c>
      <c r="G276" s="338">
        <v>2.4</v>
      </c>
      <c r="H276" s="338">
        <v>2.4</v>
      </c>
      <c r="I276" s="338">
        <v>12</v>
      </c>
      <c r="J276" s="337" t="s">
        <v>996</v>
      </c>
      <c r="K276" s="338">
        <v>12</v>
      </c>
      <c r="L276" s="337" t="s">
        <v>996</v>
      </c>
      <c r="M276" s="338">
        <v>12</v>
      </c>
      <c r="N276" s="337" t="s">
        <v>996</v>
      </c>
      <c r="O276" s="338">
        <v>12</v>
      </c>
      <c r="P276" s="337" t="s">
        <v>996</v>
      </c>
      <c r="Q276" s="337">
        <v>30</v>
      </c>
      <c r="R276" s="337">
        <v>0</v>
      </c>
      <c r="S276" s="339">
        <v>0</v>
      </c>
      <c r="T276" s="339">
        <v>0</v>
      </c>
      <c r="U276" s="339">
        <v>0</v>
      </c>
      <c r="V276" s="339">
        <v>0</v>
      </c>
      <c r="W276" s="339">
        <v>0</v>
      </c>
      <c r="X276" s="339">
        <v>0</v>
      </c>
      <c r="Y276" s="339">
        <v>0</v>
      </c>
      <c r="Z276" s="339">
        <v>0</v>
      </c>
      <c r="AA276" s="339">
        <v>0</v>
      </c>
      <c r="AB276" s="339" t="e">
        <v>#DIV/0!</v>
      </c>
      <c r="AC276" s="342" t="e">
        <v>#DIV/0!</v>
      </c>
      <c r="AD276" s="342" t="e">
        <v>#DIV/0!</v>
      </c>
      <c r="AE276" s="342" t="e">
        <v>#DIV/0!</v>
      </c>
      <c r="AF276" s="342" t="e">
        <v>#DIV/0!</v>
      </c>
      <c r="AG276" s="332"/>
    </row>
    <row r="277" spans="1:33" s="333" customFormat="1">
      <c r="A277" s="337">
        <v>14</v>
      </c>
      <c r="B277" s="380" t="s">
        <v>241</v>
      </c>
      <c r="C277" s="338">
        <v>1</v>
      </c>
      <c r="D277" s="338">
        <v>1</v>
      </c>
      <c r="E277" s="338">
        <v>1</v>
      </c>
      <c r="F277" s="338">
        <v>1</v>
      </c>
      <c r="G277" s="338">
        <v>2.2000000000000002</v>
      </c>
      <c r="H277" s="338">
        <v>2.2000000000000002</v>
      </c>
      <c r="I277" s="338">
        <v>12</v>
      </c>
      <c r="J277" s="337" t="s">
        <v>996</v>
      </c>
      <c r="K277" s="338">
        <v>12</v>
      </c>
      <c r="L277" s="337" t="s">
        <v>996</v>
      </c>
      <c r="M277" s="338">
        <v>12</v>
      </c>
      <c r="N277" s="337" t="s">
        <v>996</v>
      </c>
      <c r="O277" s="338">
        <v>12</v>
      </c>
      <c r="P277" s="337" t="s">
        <v>996</v>
      </c>
      <c r="Q277" s="337">
        <v>30</v>
      </c>
      <c r="R277" s="337">
        <v>0</v>
      </c>
      <c r="S277" s="339">
        <v>0</v>
      </c>
      <c r="T277" s="339">
        <v>0</v>
      </c>
      <c r="U277" s="339">
        <v>0</v>
      </c>
      <c r="V277" s="339">
        <v>0</v>
      </c>
      <c r="W277" s="339">
        <v>0</v>
      </c>
      <c r="X277" s="339">
        <v>0</v>
      </c>
      <c r="Y277" s="339">
        <v>0</v>
      </c>
      <c r="Z277" s="339">
        <v>0</v>
      </c>
      <c r="AA277" s="339">
        <v>0</v>
      </c>
      <c r="AB277" s="339" t="e">
        <v>#DIV/0!</v>
      </c>
      <c r="AC277" s="342" t="e">
        <v>#DIV/0!</v>
      </c>
      <c r="AD277" s="342" t="e">
        <v>#DIV/0!</v>
      </c>
      <c r="AE277" s="342" t="e">
        <v>#DIV/0!</v>
      </c>
      <c r="AF277" s="342" t="e">
        <v>#DIV/0!</v>
      </c>
      <c r="AG277" s="332"/>
    </row>
    <row r="278" spans="1:33" s="333" customFormat="1">
      <c r="A278" s="337">
        <v>15</v>
      </c>
      <c r="B278" s="380" t="s">
        <v>242</v>
      </c>
      <c r="C278" s="338">
        <v>1</v>
      </c>
      <c r="D278" s="338">
        <v>1</v>
      </c>
      <c r="E278" s="338">
        <v>1</v>
      </c>
      <c r="F278" s="338">
        <v>1</v>
      </c>
      <c r="G278" s="338">
        <v>2.4</v>
      </c>
      <c r="H278" s="338">
        <v>2.4</v>
      </c>
      <c r="I278" s="338">
        <v>12</v>
      </c>
      <c r="J278" s="337" t="s">
        <v>996</v>
      </c>
      <c r="K278" s="338">
        <v>12</v>
      </c>
      <c r="L278" s="337" t="s">
        <v>996</v>
      </c>
      <c r="M278" s="338">
        <v>12</v>
      </c>
      <c r="N278" s="337" t="s">
        <v>996</v>
      </c>
      <c r="O278" s="338">
        <v>12</v>
      </c>
      <c r="P278" s="337" t="s">
        <v>996</v>
      </c>
      <c r="Q278" s="337">
        <v>30</v>
      </c>
      <c r="R278" s="337">
        <v>0</v>
      </c>
      <c r="S278" s="339">
        <v>0</v>
      </c>
      <c r="T278" s="339">
        <v>0</v>
      </c>
      <c r="U278" s="339">
        <v>0</v>
      </c>
      <c r="V278" s="339">
        <v>0</v>
      </c>
      <c r="W278" s="339">
        <v>0</v>
      </c>
      <c r="X278" s="339">
        <v>0</v>
      </c>
      <c r="Y278" s="339">
        <v>0</v>
      </c>
      <c r="Z278" s="339">
        <v>0</v>
      </c>
      <c r="AA278" s="339">
        <v>0</v>
      </c>
      <c r="AB278" s="339" t="e">
        <v>#DIV/0!</v>
      </c>
      <c r="AC278" s="342" t="e">
        <v>#DIV/0!</v>
      </c>
      <c r="AD278" s="342" t="e">
        <v>#DIV/0!</v>
      </c>
      <c r="AE278" s="342" t="e">
        <v>#DIV/0!</v>
      </c>
      <c r="AF278" s="342" t="e">
        <v>#DIV/0!</v>
      </c>
      <c r="AG278" s="332"/>
    </row>
    <row r="279" spans="1:33" s="333" customFormat="1" ht="18" customHeight="1">
      <c r="A279" s="337">
        <v>16</v>
      </c>
      <c r="B279" s="380" t="s">
        <v>247</v>
      </c>
      <c r="C279" s="338">
        <v>1</v>
      </c>
      <c r="D279" s="338">
        <v>1</v>
      </c>
      <c r="E279" s="338">
        <v>1</v>
      </c>
      <c r="F279" s="338">
        <v>1</v>
      </c>
      <c r="G279" s="338">
        <v>2.2000000000000002</v>
      </c>
      <c r="H279" s="338">
        <v>2.2000000000000002</v>
      </c>
      <c r="I279" s="338">
        <v>12</v>
      </c>
      <c r="J279" s="337" t="s">
        <v>996</v>
      </c>
      <c r="K279" s="338">
        <v>12</v>
      </c>
      <c r="L279" s="337" t="s">
        <v>996</v>
      </c>
      <c r="M279" s="338">
        <v>12</v>
      </c>
      <c r="N279" s="337" t="s">
        <v>996</v>
      </c>
      <c r="O279" s="338">
        <v>12</v>
      </c>
      <c r="P279" s="337" t="s">
        <v>996</v>
      </c>
      <c r="Q279" s="337">
        <v>30</v>
      </c>
      <c r="R279" s="337">
        <v>0</v>
      </c>
      <c r="S279" s="339">
        <v>0</v>
      </c>
      <c r="T279" s="339">
        <v>0</v>
      </c>
      <c r="U279" s="339">
        <v>0</v>
      </c>
      <c r="V279" s="339">
        <v>0</v>
      </c>
      <c r="W279" s="339">
        <v>0</v>
      </c>
      <c r="X279" s="339">
        <v>0</v>
      </c>
      <c r="Y279" s="339">
        <v>0</v>
      </c>
      <c r="Z279" s="339">
        <v>0</v>
      </c>
      <c r="AA279" s="339">
        <v>0</v>
      </c>
      <c r="AB279" s="339" t="e">
        <v>#DIV/0!</v>
      </c>
      <c r="AC279" s="342" t="e">
        <v>#DIV/0!</v>
      </c>
      <c r="AD279" s="342" t="e">
        <v>#DIV/0!</v>
      </c>
      <c r="AE279" s="342" t="e">
        <v>#DIV/0!</v>
      </c>
      <c r="AF279" s="342" t="e">
        <v>#DIV/0!</v>
      </c>
      <c r="AG279" s="332"/>
    </row>
    <row r="280" spans="1:33" s="333" customFormat="1" ht="18" customHeight="1">
      <c r="A280" s="337">
        <v>17</v>
      </c>
      <c r="B280" s="380" t="s">
        <v>1369</v>
      </c>
      <c r="C280" s="338">
        <v>1</v>
      </c>
      <c r="D280" s="338">
        <v>1</v>
      </c>
      <c r="E280" s="338">
        <v>1</v>
      </c>
      <c r="F280" s="338">
        <v>1</v>
      </c>
      <c r="G280" s="338">
        <v>0.11</v>
      </c>
      <c r="H280" s="338">
        <v>0.11</v>
      </c>
      <c r="I280" s="338">
        <v>4</v>
      </c>
      <c r="J280" s="337" t="s">
        <v>998</v>
      </c>
      <c r="K280" s="338">
        <v>4</v>
      </c>
      <c r="L280" s="337" t="s">
        <v>998</v>
      </c>
      <c r="M280" s="338">
        <v>4</v>
      </c>
      <c r="N280" s="337" t="s">
        <v>998</v>
      </c>
      <c r="O280" s="338">
        <v>12</v>
      </c>
      <c r="P280" s="337" t="s">
        <v>996</v>
      </c>
      <c r="Q280" s="337">
        <v>30</v>
      </c>
      <c r="R280" s="337">
        <v>0</v>
      </c>
      <c r="S280" s="339">
        <v>0</v>
      </c>
      <c r="T280" s="339">
        <v>0</v>
      </c>
      <c r="U280" s="339">
        <v>0</v>
      </c>
      <c r="V280" s="339">
        <v>0</v>
      </c>
      <c r="W280" s="339">
        <v>0</v>
      </c>
      <c r="X280" s="339">
        <v>0</v>
      </c>
      <c r="Y280" s="339">
        <v>0</v>
      </c>
      <c r="Z280" s="339">
        <v>0</v>
      </c>
      <c r="AA280" s="339">
        <v>0</v>
      </c>
      <c r="AB280" s="339" t="e">
        <v>#DIV/0!</v>
      </c>
      <c r="AC280" s="342" t="e">
        <v>#DIV/0!</v>
      </c>
      <c r="AD280" s="342" t="e">
        <v>#DIV/0!</v>
      </c>
      <c r="AE280" s="342" t="e">
        <v>#DIV/0!</v>
      </c>
      <c r="AF280" s="342" t="e">
        <v>#DIV/0!</v>
      </c>
      <c r="AG280" s="332"/>
    </row>
    <row r="281" spans="1:33" s="333" customFormat="1" ht="18" customHeight="1">
      <c r="A281" s="337">
        <v>18</v>
      </c>
      <c r="B281" s="380" t="s">
        <v>1370</v>
      </c>
      <c r="C281" s="338">
        <v>1</v>
      </c>
      <c r="D281" s="338">
        <v>1</v>
      </c>
      <c r="E281" s="338">
        <v>1</v>
      </c>
      <c r="F281" s="338">
        <v>1</v>
      </c>
      <c r="G281" s="338">
        <v>0.36</v>
      </c>
      <c r="H281" s="338">
        <v>0.36</v>
      </c>
      <c r="I281" s="338">
        <v>4</v>
      </c>
      <c r="J281" s="337" t="s">
        <v>998</v>
      </c>
      <c r="K281" s="338">
        <v>4</v>
      </c>
      <c r="L281" s="337" t="s">
        <v>998</v>
      </c>
      <c r="M281" s="337">
        <v>6</v>
      </c>
      <c r="N281" s="337" t="s">
        <v>1371</v>
      </c>
      <c r="O281" s="337">
        <v>6</v>
      </c>
      <c r="P281" s="337" t="s">
        <v>1239</v>
      </c>
      <c r="Q281" s="337">
        <v>30</v>
      </c>
      <c r="R281" s="337">
        <v>0</v>
      </c>
      <c r="S281" s="339">
        <v>0</v>
      </c>
      <c r="T281" s="339">
        <v>0</v>
      </c>
      <c r="U281" s="339">
        <v>0</v>
      </c>
      <c r="V281" s="339">
        <v>0</v>
      </c>
      <c r="W281" s="339">
        <v>0</v>
      </c>
      <c r="X281" s="339">
        <v>0</v>
      </c>
      <c r="Y281" s="339">
        <v>0</v>
      </c>
      <c r="Z281" s="339">
        <v>0</v>
      </c>
      <c r="AA281" s="339">
        <v>0</v>
      </c>
      <c r="AB281" s="339" t="e">
        <v>#DIV/0!</v>
      </c>
      <c r="AC281" s="342" t="e">
        <v>#DIV/0!</v>
      </c>
      <c r="AD281" s="342" t="e">
        <v>#DIV/0!</v>
      </c>
      <c r="AE281" s="342" t="e">
        <v>#DIV/0!</v>
      </c>
      <c r="AF281" s="342" t="e">
        <v>#DIV/0!</v>
      </c>
      <c r="AG281" s="332"/>
    </row>
    <row r="282" spans="1:33" s="333" customFormat="1" ht="18" customHeight="1">
      <c r="A282" s="337">
        <v>19</v>
      </c>
      <c r="B282" s="380" t="s">
        <v>1372</v>
      </c>
      <c r="C282" s="338">
        <v>68</v>
      </c>
      <c r="D282" s="338">
        <v>68</v>
      </c>
      <c r="E282" s="338">
        <v>68</v>
      </c>
      <c r="F282" s="338">
        <v>68</v>
      </c>
      <c r="G282" s="338">
        <v>0.08</v>
      </c>
      <c r="H282" s="338">
        <v>0.08</v>
      </c>
      <c r="I282" s="338">
        <v>8</v>
      </c>
      <c r="J282" s="337" t="s">
        <v>1023</v>
      </c>
      <c r="K282" s="338">
        <v>8</v>
      </c>
      <c r="L282" s="337" t="s">
        <v>1023</v>
      </c>
      <c r="M282" s="337">
        <v>8</v>
      </c>
      <c r="N282" s="337" t="s">
        <v>1023</v>
      </c>
      <c r="O282" s="337">
        <v>8</v>
      </c>
      <c r="P282" s="337" t="s">
        <v>1023</v>
      </c>
      <c r="Q282" s="337">
        <v>30</v>
      </c>
      <c r="R282" s="337">
        <v>0</v>
      </c>
      <c r="S282" s="339">
        <v>0</v>
      </c>
      <c r="T282" s="339">
        <v>0</v>
      </c>
      <c r="U282" s="339">
        <v>0</v>
      </c>
      <c r="V282" s="339">
        <v>0</v>
      </c>
      <c r="W282" s="339">
        <v>0</v>
      </c>
      <c r="X282" s="339">
        <v>0</v>
      </c>
      <c r="Y282" s="339">
        <v>0</v>
      </c>
      <c r="Z282" s="339">
        <v>0</v>
      </c>
      <c r="AA282" s="339">
        <v>0</v>
      </c>
      <c r="AB282" s="339" t="e">
        <v>#DIV/0!</v>
      </c>
      <c r="AC282" s="342" t="e">
        <v>#DIV/0!</v>
      </c>
      <c r="AD282" s="342" t="e">
        <v>#DIV/0!</v>
      </c>
      <c r="AE282" s="342" t="e">
        <v>#DIV/0!</v>
      </c>
      <c r="AF282" s="342" t="e">
        <v>#DIV/0!</v>
      </c>
      <c r="AG282" s="332"/>
    </row>
    <row r="283" spans="1:33" s="333" customFormat="1" ht="18" customHeight="1">
      <c r="A283" s="337">
        <v>20</v>
      </c>
      <c r="B283" s="380" t="s">
        <v>1022</v>
      </c>
      <c r="C283" s="338">
        <v>20</v>
      </c>
      <c r="D283" s="338">
        <v>20</v>
      </c>
      <c r="E283" s="338">
        <v>20</v>
      </c>
      <c r="F283" s="338">
        <v>20</v>
      </c>
      <c r="G283" s="338">
        <v>0.01</v>
      </c>
      <c r="H283" s="338">
        <v>0.01</v>
      </c>
      <c r="I283" s="338">
        <v>8</v>
      </c>
      <c r="J283" s="337" t="s">
        <v>1023</v>
      </c>
      <c r="K283" s="338">
        <v>8</v>
      </c>
      <c r="L283" s="337" t="s">
        <v>1023</v>
      </c>
      <c r="M283" s="337">
        <v>8</v>
      </c>
      <c r="N283" s="337" t="s">
        <v>1023</v>
      </c>
      <c r="O283" s="337">
        <v>8</v>
      </c>
      <c r="P283" s="337" t="s">
        <v>1023</v>
      </c>
      <c r="Q283" s="337">
        <v>30</v>
      </c>
      <c r="R283" s="337">
        <v>0</v>
      </c>
      <c r="S283" s="339">
        <v>0</v>
      </c>
      <c r="T283" s="339">
        <v>0</v>
      </c>
      <c r="U283" s="339">
        <v>0</v>
      </c>
      <c r="V283" s="339">
        <v>0</v>
      </c>
      <c r="W283" s="339">
        <v>0</v>
      </c>
      <c r="X283" s="339">
        <v>0</v>
      </c>
      <c r="Y283" s="339">
        <v>0</v>
      </c>
      <c r="Z283" s="339">
        <v>0</v>
      </c>
      <c r="AA283" s="339">
        <v>0</v>
      </c>
      <c r="AB283" s="339" t="e">
        <v>#DIV/0!</v>
      </c>
      <c r="AC283" s="342" t="e">
        <v>#DIV/0!</v>
      </c>
      <c r="AD283" s="342" t="e">
        <v>#DIV/0!</v>
      </c>
      <c r="AE283" s="342" t="e">
        <v>#DIV/0!</v>
      </c>
      <c r="AF283" s="342" t="e">
        <v>#DIV/0!</v>
      </c>
      <c r="AG283" s="332"/>
    </row>
    <row r="284" spans="1:33" s="332" customFormat="1" ht="18" customHeight="1">
      <c r="A284" s="350" t="s">
        <v>1373</v>
      </c>
      <c r="B284" s="376" t="s">
        <v>1374</v>
      </c>
      <c r="C284" s="364"/>
      <c r="D284" s="364"/>
      <c r="E284" s="364"/>
      <c r="F284" s="364"/>
      <c r="G284" s="364"/>
      <c r="H284" s="364"/>
      <c r="I284" s="364"/>
      <c r="J284" s="350"/>
      <c r="K284" s="350"/>
      <c r="L284" s="350"/>
      <c r="M284" s="350"/>
      <c r="N284" s="350"/>
      <c r="O284" s="350"/>
      <c r="P284" s="350"/>
      <c r="Q284" s="350"/>
      <c r="R284" s="350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  <c r="AC284" s="352"/>
      <c r="AD284" s="352"/>
      <c r="AE284" s="352"/>
      <c r="AF284" s="352"/>
    </row>
    <row r="285" spans="1:33" s="333" customFormat="1" ht="18" customHeight="1">
      <c r="A285" s="337">
        <v>1</v>
      </c>
      <c r="B285" s="380" t="s">
        <v>1375</v>
      </c>
      <c r="C285" s="338"/>
      <c r="D285" s="338"/>
      <c r="E285" s="338">
        <v>7</v>
      </c>
      <c r="F285" s="338">
        <v>7</v>
      </c>
      <c r="G285" s="338">
        <v>1.5</v>
      </c>
      <c r="H285" s="338">
        <v>1.5</v>
      </c>
      <c r="I285" s="338">
        <v>0</v>
      </c>
      <c r="J285" s="337"/>
      <c r="K285" s="337">
        <v>0</v>
      </c>
      <c r="L285" s="337"/>
      <c r="M285" s="337">
        <v>0</v>
      </c>
      <c r="N285" s="337" t="s">
        <v>1023</v>
      </c>
      <c r="O285" s="337">
        <v>8</v>
      </c>
      <c r="P285" s="337" t="s">
        <v>1023</v>
      </c>
      <c r="Q285" s="337">
        <v>30</v>
      </c>
      <c r="R285" s="337">
        <v>0</v>
      </c>
      <c r="S285" s="339">
        <v>0</v>
      </c>
      <c r="T285" s="339">
        <v>0</v>
      </c>
      <c r="U285" s="339">
        <v>0</v>
      </c>
      <c r="V285" s="339">
        <v>0</v>
      </c>
      <c r="W285" s="339">
        <v>0</v>
      </c>
      <c r="X285" s="339">
        <v>0</v>
      </c>
      <c r="Y285" s="339">
        <v>0</v>
      </c>
      <c r="Z285" s="339">
        <v>0</v>
      </c>
      <c r="AA285" s="339">
        <v>0</v>
      </c>
      <c r="AB285" s="339" t="e">
        <v>#DIV/0!</v>
      </c>
      <c r="AC285" s="342" t="e">
        <v>#DIV/0!</v>
      </c>
      <c r="AD285" s="342" t="e">
        <v>#DIV/0!</v>
      </c>
      <c r="AE285" s="342" t="e">
        <v>#DIV/0!</v>
      </c>
      <c r="AF285" s="342" t="e">
        <v>#DIV/0!</v>
      </c>
      <c r="AG285" s="332"/>
    </row>
    <row r="286" spans="1:33" s="333" customFormat="1" ht="18" customHeight="1">
      <c r="A286" s="337">
        <v>2</v>
      </c>
      <c r="B286" s="380" t="s">
        <v>1376</v>
      </c>
      <c r="C286" s="338"/>
      <c r="D286" s="338"/>
      <c r="E286" s="338">
        <v>1</v>
      </c>
      <c r="F286" s="338">
        <v>1</v>
      </c>
      <c r="G286" s="338">
        <v>2.2000000000000002</v>
      </c>
      <c r="H286" s="338">
        <v>2.2000000000000002</v>
      </c>
      <c r="I286" s="338">
        <v>0</v>
      </c>
      <c r="J286" s="337"/>
      <c r="K286" s="337">
        <v>0</v>
      </c>
      <c r="L286" s="337"/>
      <c r="M286" s="337">
        <v>0</v>
      </c>
      <c r="N286" s="337" t="s">
        <v>996</v>
      </c>
      <c r="O286" s="337">
        <v>12</v>
      </c>
      <c r="P286" s="337" t="s">
        <v>996</v>
      </c>
      <c r="Q286" s="337">
        <v>30</v>
      </c>
      <c r="R286" s="337">
        <v>0</v>
      </c>
      <c r="S286" s="339">
        <v>0</v>
      </c>
      <c r="T286" s="339">
        <v>0</v>
      </c>
      <c r="U286" s="339">
        <v>0</v>
      </c>
      <c r="V286" s="339">
        <v>0</v>
      </c>
      <c r="W286" s="339">
        <v>0</v>
      </c>
      <c r="X286" s="339">
        <v>0</v>
      </c>
      <c r="Y286" s="339">
        <v>0</v>
      </c>
      <c r="Z286" s="339">
        <v>0</v>
      </c>
      <c r="AA286" s="339">
        <v>0</v>
      </c>
      <c r="AB286" s="339" t="e">
        <v>#DIV/0!</v>
      </c>
      <c r="AC286" s="342" t="e">
        <v>#DIV/0!</v>
      </c>
      <c r="AD286" s="342" t="e">
        <v>#DIV/0!</v>
      </c>
      <c r="AE286" s="342" t="e">
        <v>#DIV/0!</v>
      </c>
      <c r="AF286" s="342" t="e">
        <v>#DIV/0!</v>
      </c>
      <c r="AG286" s="332"/>
    </row>
    <row r="287" spans="1:33" s="333" customFormat="1" ht="18" customHeight="1">
      <c r="A287" s="337">
        <v>3</v>
      </c>
      <c r="B287" s="380" t="s">
        <v>1377</v>
      </c>
      <c r="C287" s="338"/>
      <c r="D287" s="338"/>
      <c r="E287" s="338">
        <v>1</v>
      </c>
      <c r="F287" s="338">
        <v>1</v>
      </c>
      <c r="G287" s="338">
        <v>2.2000000000000002</v>
      </c>
      <c r="H287" s="338">
        <v>2.2000000000000002</v>
      </c>
      <c r="I287" s="338">
        <v>0</v>
      </c>
      <c r="J287" s="337"/>
      <c r="K287" s="337">
        <v>0</v>
      </c>
      <c r="L287" s="337"/>
      <c r="M287" s="337">
        <v>0</v>
      </c>
      <c r="N287" s="337" t="s">
        <v>996</v>
      </c>
      <c r="O287" s="337">
        <v>12</v>
      </c>
      <c r="P287" s="337" t="s">
        <v>996</v>
      </c>
      <c r="Q287" s="337">
        <v>30</v>
      </c>
      <c r="R287" s="337">
        <v>0</v>
      </c>
      <c r="S287" s="339">
        <v>0</v>
      </c>
      <c r="T287" s="339">
        <v>0</v>
      </c>
      <c r="U287" s="339">
        <v>0</v>
      </c>
      <c r="V287" s="339">
        <v>0</v>
      </c>
      <c r="W287" s="339">
        <v>0</v>
      </c>
      <c r="X287" s="339">
        <v>0</v>
      </c>
      <c r="Y287" s="339">
        <v>0</v>
      </c>
      <c r="Z287" s="339">
        <v>0</v>
      </c>
      <c r="AA287" s="339">
        <v>0</v>
      </c>
      <c r="AB287" s="339" t="e">
        <v>#DIV/0!</v>
      </c>
      <c r="AC287" s="342" t="e">
        <v>#DIV/0!</v>
      </c>
      <c r="AD287" s="342" t="e">
        <v>#DIV/0!</v>
      </c>
      <c r="AE287" s="342" t="e">
        <v>#DIV/0!</v>
      </c>
      <c r="AF287" s="342" t="e">
        <v>#DIV/0!</v>
      </c>
      <c r="AG287" s="332"/>
    </row>
    <row r="288" spans="1:33" s="333" customFormat="1" ht="18" customHeight="1">
      <c r="A288" s="337">
        <v>4</v>
      </c>
      <c r="B288" s="380" t="s">
        <v>1378</v>
      </c>
      <c r="C288" s="338"/>
      <c r="D288" s="338"/>
      <c r="E288" s="338">
        <v>2</v>
      </c>
      <c r="F288" s="338">
        <v>2</v>
      </c>
      <c r="G288" s="338">
        <v>7</v>
      </c>
      <c r="H288" s="338">
        <v>7</v>
      </c>
      <c r="I288" s="338">
        <v>0</v>
      </c>
      <c r="J288" s="337"/>
      <c r="K288" s="337">
        <v>0</v>
      </c>
      <c r="L288" s="337"/>
      <c r="M288" s="337">
        <v>0</v>
      </c>
      <c r="N288" s="337" t="s">
        <v>998</v>
      </c>
      <c r="O288" s="337">
        <v>4</v>
      </c>
      <c r="P288" s="337" t="s">
        <v>998</v>
      </c>
      <c r="Q288" s="337">
        <v>30</v>
      </c>
      <c r="R288" s="337">
        <v>0</v>
      </c>
      <c r="S288" s="339">
        <v>0</v>
      </c>
      <c r="T288" s="339">
        <v>0</v>
      </c>
      <c r="U288" s="339">
        <v>0</v>
      </c>
      <c r="V288" s="339">
        <v>0</v>
      </c>
      <c r="W288" s="339">
        <v>0</v>
      </c>
      <c r="X288" s="339">
        <v>0</v>
      </c>
      <c r="Y288" s="339">
        <v>0</v>
      </c>
      <c r="Z288" s="339">
        <v>0</v>
      </c>
      <c r="AA288" s="339">
        <v>0</v>
      </c>
      <c r="AB288" s="339" t="e">
        <v>#DIV/0!</v>
      </c>
      <c r="AC288" s="342" t="e">
        <v>#DIV/0!</v>
      </c>
      <c r="AD288" s="342" t="e">
        <v>#DIV/0!</v>
      </c>
      <c r="AE288" s="342" t="e">
        <v>#DIV/0!</v>
      </c>
      <c r="AF288" s="342" t="e">
        <v>#DIV/0!</v>
      </c>
      <c r="AG288" s="332"/>
    </row>
    <row r="289" spans="1:33" s="333" customFormat="1" ht="18" customHeight="1">
      <c r="A289" s="337">
        <v>5</v>
      </c>
      <c r="B289" s="380" t="s">
        <v>1366</v>
      </c>
      <c r="C289" s="338"/>
      <c r="D289" s="338"/>
      <c r="E289" s="338">
        <v>2</v>
      </c>
      <c r="F289" s="338">
        <v>2</v>
      </c>
      <c r="G289" s="338">
        <v>22.5</v>
      </c>
      <c r="H289" s="338">
        <v>22.5</v>
      </c>
      <c r="I289" s="338">
        <v>0</v>
      </c>
      <c r="J289" s="337"/>
      <c r="K289" s="337">
        <v>0</v>
      </c>
      <c r="L289" s="337"/>
      <c r="M289" s="337">
        <v>0</v>
      </c>
      <c r="N289" s="337" t="s">
        <v>998</v>
      </c>
      <c r="O289" s="337">
        <v>4</v>
      </c>
      <c r="P289" s="337" t="s">
        <v>998</v>
      </c>
      <c r="Q289" s="337">
        <v>30</v>
      </c>
      <c r="R289" s="337">
        <v>0</v>
      </c>
      <c r="S289" s="339">
        <v>0</v>
      </c>
      <c r="T289" s="339">
        <v>0</v>
      </c>
      <c r="U289" s="339">
        <v>0</v>
      </c>
      <c r="V289" s="339">
        <v>0</v>
      </c>
      <c r="W289" s="339">
        <v>0</v>
      </c>
      <c r="X289" s="339">
        <v>0</v>
      </c>
      <c r="Y289" s="339">
        <v>0</v>
      </c>
      <c r="Z289" s="339">
        <v>0</v>
      </c>
      <c r="AA289" s="339">
        <v>0</v>
      </c>
      <c r="AB289" s="339" t="e">
        <v>#DIV/0!</v>
      </c>
      <c r="AC289" s="342" t="e">
        <v>#DIV/0!</v>
      </c>
      <c r="AD289" s="342" t="e">
        <v>#DIV/0!</v>
      </c>
      <c r="AE289" s="342" t="e">
        <v>#DIV/0!</v>
      </c>
      <c r="AF289" s="342" t="e">
        <v>#DIV/0!</v>
      </c>
      <c r="AG289" s="332"/>
    </row>
    <row r="290" spans="1:33" s="333" customFormat="1" ht="18" customHeight="1">
      <c r="A290" s="337">
        <v>6</v>
      </c>
      <c r="B290" s="380" t="s">
        <v>1379</v>
      </c>
      <c r="C290" s="338"/>
      <c r="D290" s="338"/>
      <c r="E290" s="338">
        <v>6</v>
      </c>
      <c r="F290" s="338">
        <v>6</v>
      </c>
      <c r="G290" s="338">
        <v>3.4</v>
      </c>
      <c r="H290" s="338">
        <v>3.4</v>
      </c>
      <c r="I290" s="338">
        <v>0</v>
      </c>
      <c r="J290" s="337"/>
      <c r="K290" s="337">
        <v>0</v>
      </c>
      <c r="L290" s="337"/>
      <c r="M290" s="337">
        <v>0</v>
      </c>
      <c r="N290" s="337"/>
      <c r="O290" s="337">
        <v>12</v>
      </c>
      <c r="P290" s="337"/>
      <c r="Q290" s="337">
        <v>30</v>
      </c>
      <c r="R290" s="337">
        <v>0</v>
      </c>
      <c r="S290" s="339">
        <v>0</v>
      </c>
      <c r="T290" s="339">
        <v>0</v>
      </c>
      <c r="U290" s="339">
        <v>0</v>
      </c>
      <c r="V290" s="339">
        <v>0</v>
      </c>
      <c r="W290" s="339">
        <v>0</v>
      </c>
      <c r="X290" s="339">
        <v>0</v>
      </c>
      <c r="Y290" s="339">
        <v>0</v>
      </c>
      <c r="Z290" s="339">
        <v>0</v>
      </c>
      <c r="AA290" s="339">
        <v>0</v>
      </c>
      <c r="AB290" s="339" t="e">
        <v>#DIV/0!</v>
      </c>
      <c r="AC290" s="342" t="e">
        <v>#DIV/0!</v>
      </c>
      <c r="AD290" s="342" t="e">
        <v>#DIV/0!</v>
      </c>
      <c r="AE290" s="342" t="e">
        <v>#DIV/0!</v>
      </c>
      <c r="AF290" s="342" t="e">
        <v>#DIV/0!</v>
      </c>
      <c r="AG290" s="332"/>
    </row>
    <row r="291" spans="1:33" s="333" customFormat="1" ht="18" customHeight="1">
      <c r="A291" s="337">
        <v>7</v>
      </c>
      <c r="B291" s="380" t="s">
        <v>1271</v>
      </c>
      <c r="C291" s="338"/>
      <c r="D291" s="338"/>
      <c r="E291" s="338">
        <v>1</v>
      </c>
      <c r="F291" s="338">
        <v>1</v>
      </c>
      <c r="G291" s="338">
        <v>2</v>
      </c>
      <c r="H291" s="338">
        <v>2</v>
      </c>
      <c r="I291" s="338">
        <v>0</v>
      </c>
      <c r="J291" s="337"/>
      <c r="K291" s="337">
        <v>0</v>
      </c>
      <c r="L291" s="337"/>
      <c r="M291" s="337">
        <v>0</v>
      </c>
      <c r="N291" s="337" t="s">
        <v>998</v>
      </c>
      <c r="O291" s="337">
        <v>4</v>
      </c>
      <c r="P291" s="337" t="s">
        <v>998</v>
      </c>
      <c r="Q291" s="337">
        <v>30</v>
      </c>
      <c r="R291" s="337">
        <v>0</v>
      </c>
      <c r="S291" s="339">
        <v>0</v>
      </c>
      <c r="T291" s="339">
        <v>0</v>
      </c>
      <c r="U291" s="339">
        <v>0</v>
      </c>
      <c r="V291" s="339">
        <v>0</v>
      </c>
      <c r="W291" s="339">
        <v>0</v>
      </c>
      <c r="X291" s="339">
        <v>0</v>
      </c>
      <c r="Y291" s="339">
        <v>0</v>
      </c>
      <c r="Z291" s="339">
        <v>0</v>
      </c>
      <c r="AA291" s="339">
        <v>0</v>
      </c>
      <c r="AB291" s="339" t="e">
        <v>#DIV/0!</v>
      </c>
      <c r="AC291" s="342" t="e">
        <v>#DIV/0!</v>
      </c>
      <c r="AD291" s="342" t="e">
        <v>#DIV/0!</v>
      </c>
      <c r="AE291" s="342" t="e">
        <v>#DIV/0!</v>
      </c>
      <c r="AF291" s="342" t="e">
        <v>#DIV/0!</v>
      </c>
      <c r="AG291" s="332"/>
    </row>
    <row r="292" spans="1:33" s="333" customFormat="1" ht="18" customHeight="1">
      <c r="A292" s="337">
        <v>8</v>
      </c>
      <c r="B292" s="380" t="s">
        <v>1380</v>
      </c>
      <c r="C292" s="338"/>
      <c r="D292" s="338"/>
      <c r="E292" s="338">
        <v>3</v>
      </c>
      <c r="F292" s="338">
        <v>3</v>
      </c>
      <c r="G292" s="338">
        <v>5.5</v>
      </c>
      <c r="H292" s="338">
        <v>5.5</v>
      </c>
      <c r="I292" s="338">
        <v>0</v>
      </c>
      <c r="J292" s="337"/>
      <c r="K292" s="337">
        <v>0</v>
      </c>
      <c r="L292" s="337"/>
      <c r="M292" s="337">
        <v>0</v>
      </c>
      <c r="N292" s="337" t="s">
        <v>998</v>
      </c>
      <c r="O292" s="337">
        <v>4</v>
      </c>
      <c r="P292" s="337" t="s">
        <v>998</v>
      </c>
      <c r="Q292" s="337">
        <v>30</v>
      </c>
      <c r="R292" s="337">
        <v>0</v>
      </c>
      <c r="S292" s="339">
        <v>0</v>
      </c>
      <c r="T292" s="339">
        <v>0</v>
      </c>
      <c r="U292" s="339">
        <v>0</v>
      </c>
      <c r="V292" s="339">
        <v>0</v>
      </c>
      <c r="W292" s="339">
        <v>0</v>
      </c>
      <c r="X292" s="339">
        <v>0</v>
      </c>
      <c r="Y292" s="339">
        <v>0</v>
      </c>
      <c r="Z292" s="339">
        <v>0</v>
      </c>
      <c r="AA292" s="339">
        <v>0</v>
      </c>
      <c r="AB292" s="339" t="e">
        <v>#DIV/0!</v>
      </c>
      <c r="AC292" s="342" t="e">
        <v>#DIV/0!</v>
      </c>
      <c r="AD292" s="342" t="e">
        <v>#DIV/0!</v>
      </c>
      <c r="AE292" s="342" t="e">
        <v>#DIV/0!</v>
      </c>
      <c r="AF292" s="342" t="e">
        <v>#DIV/0!</v>
      </c>
      <c r="AG292" s="332"/>
    </row>
    <row r="293" spans="1:33" s="333" customFormat="1" ht="18" customHeight="1">
      <c r="A293" s="337">
        <v>9</v>
      </c>
      <c r="B293" s="380" t="s">
        <v>1000</v>
      </c>
      <c r="C293" s="338"/>
      <c r="D293" s="338"/>
      <c r="E293" s="338">
        <v>1</v>
      </c>
      <c r="F293" s="338">
        <v>1</v>
      </c>
      <c r="G293" s="338">
        <v>6.8</v>
      </c>
      <c r="H293" s="338">
        <v>6.8</v>
      </c>
      <c r="I293" s="338">
        <v>0</v>
      </c>
      <c r="J293" s="337"/>
      <c r="K293" s="337">
        <v>0</v>
      </c>
      <c r="L293" s="337"/>
      <c r="M293" s="337">
        <v>0</v>
      </c>
      <c r="N293" s="337" t="s">
        <v>998</v>
      </c>
      <c r="O293" s="337">
        <v>4</v>
      </c>
      <c r="P293" s="337" t="s">
        <v>998</v>
      </c>
      <c r="Q293" s="337">
        <v>30</v>
      </c>
      <c r="R293" s="337">
        <v>0</v>
      </c>
      <c r="S293" s="339">
        <v>0</v>
      </c>
      <c r="T293" s="339">
        <v>0</v>
      </c>
      <c r="U293" s="339">
        <v>0</v>
      </c>
      <c r="V293" s="339">
        <v>0</v>
      </c>
      <c r="W293" s="339">
        <v>0</v>
      </c>
      <c r="X293" s="339">
        <v>0</v>
      </c>
      <c r="Y293" s="339">
        <v>0</v>
      </c>
      <c r="Z293" s="339">
        <v>0</v>
      </c>
      <c r="AA293" s="339">
        <v>0</v>
      </c>
      <c r="AB293" s="339" t="e">
        <v>#DIV/0!</v>
      </c>
      <c r="AC293" s="342" t="e">
        <v>#DIV/0!</v>
      </c>
      <c r="AD293" s="342" t="e">
        <v>#DIV/0!</v>
      </c>
      <c r="AE293" s="342" t="e">
        <v>#DIV/0!</v>
      </c>
      <c r="AF293" s="342" t="e">
        <v>#DIV/0!</v>
      </c>
      <c r="AG293" s="332"/>
    </row>
    <row r="294" spans="1:33" s="333" customFormat="1" ht="18" customHeight="1">
      <c r="A294" s="337">
        <v>10</v>
      </c>
      <c r="B294" s="380" t="s">
        <v>1004</v>
      </c>
      <c r="C294" s="338"/>
      <c r="D294" s="338"/>
      <c r="E294" s="338">
        <v>1</v>
      </c>
      <c r="F294" s="338">
        <v>1</v>
      </c>
      <c r="G294" s="338">
        <v>36</v>
      </c>
      <c r="H294" s="338">
        <v>36</v>
      </c>
      <c r="I294" s="338">
        <v>0</v>
      </c>
      <c r="J294" s="337"/>
      <c r="K294" s="337">
        <v>0</v>
      </c>
      <c r="L294" s="337"/>
      <c r="M294" s="337">
        <v>0</v>
      </c>
      <c r="N294" s="337" t="s">
        <v>998</v>
      </c>
      <c r="O294" s="337">
        <v>4</v>
      </c>
      <c r="P294" s="337" t="s">
        <v>998</v>
      </c>
      <c r="Q294" s="337">
        <v>30</v>
      </c>
      <c r="R294" s="337">
        <v>0</v>
      </c>
      <c r="S294" s="339">
        <v>0</v>
      </c>
      <c r="T294" s="339">
        <v>0</v>
      </c>
      <c r="U294" s="339">
        <v>0</v>
      </c>
      <c r="V294" s="339">
        <v>0</v>
      </c>
      <c r="W294" s="339">
        <v>0</v>
      </c>
      <c r="X294" s="339">
        <v>0</v>
      </c>
      <c r="Y294" s="339">
        <v>0</v>
      </c>
      <c r="Z294" s="339">
        <v>0</v>
      </c>
      <c r="AA294" s="339">
        <v>0</v>
      </c>
      <c r="AB294" s="339" t="e">
        <v>#DIV/0!</v>
      </c>
      <c r="AC294" s="342" t="e">
        <v>#DIV/0!</v>
      </c>
      <c r="AD294" s="342" t="e">
        <v>#DIV/0!</v>
      </c>
      <c r="AE294" s="342" t="e">
        <v>#DIV/0!</v>
      </c>
      <c r="AF294" s="342" t="e">
        <v>#DIV/0!</v>
      </c>
      <c r="AG294" s="332"/>
    </row>
    <row r="295" spans="1:33" s="333" customFormat="1" ht="18" customHeight="1">
      <c r="A295" s="337">
        <v>11</v>
      </c>
      <c r="B295" s="380" t="s">
        <v>1006</v>
      </c>
      <c r="C295" s="338"/>
      <c r="D295" s="338"/>
      <c r="E295" s="338">
        <v>2</v>
      </c>
      <c r="F295" s="338">
        <v>2</v>
      </c>
      <c r="G295" s="338">
        <v>40</v>
      </c>
      <c r="H295" s="338">
        <v>40</v>
      </c>
      <c r="I295" s="338">
        <v>0</v>
      </c>
      <c r="J295" s="337"/>
      <c r="K295" s="337">
        <v>0</v>
      </c>
      <c r="L295" s="337"/>
      <c r="M295" s="337">
        <v>0</v>
      </c>
      <c r="N295" s="337" t="s">
        <v>998</v>
      </c>
      <c r="O295" s="337">
        <v>4</v>
      </c>
      <c r="P295" s="337" t="s">
        <v>998</v>
      </c>
      <c r="Q295" s="337">
        <v>30</v>
      </c>
      <c r="R295" s="337">
        <v>0</v>
      </c>
      <c r="S295" s="339">
        <v>0</v>
      </c>
      <c r="T295" s="339">
        <v>0</v>
      </c>
      <c r="U295" s="339">
        <v>0</v>
      </c>
      <c r="V295" s="339">
        <v>0</v>
      </c>
      <c r="W295" s="339">
        <v>0</v>
      </c>
      <c r="X295" s="339">
        <v>0</v>
      </c>
      <c r="Y295" s="339">
        <v>0</v>
      </c>
      <c r="Z295" s="339">
        <v>0</v>
      </c>
      <c r="AA295" s="339">
        <v>0</v>
      </c>
      <c r="AB295" s="339" t="e">
        <v>#DIV/0!</v>
      </c>
      <c r="AC295" s="342" t="e">
        <v>#DIV/0!</v>
      </c>
      <c r="AD295" s="342" t="e">
        <v>#DIV/0!</v>
      </c>
      <c r="AE295" s="342" t="e">
        <v>#DIV/0!</v>
      </c>
      <c r="AF295" s="342" t="e">
        <v>#DIV/0!</v>
      </c>
      <c r="AG295" s="332"/>
    </row>
    <row r="296" spans="1:33" s="333" customFormat="1" ht="18" customHeight="1">
      <c r="A296" s="337">
        <v>12</v>
      </c>
      <c r="B296" s="380" t="s">
        <v>1008</v>
      </c>
      <c r="C296" s="338"/>
      <c r="D296" s="338"/>
      <c r="E296" s="338">
        <v>1</v>
      </c>
      <c r="F296" s="338">
        <v>1</v>
      </c>
      <c r="G296" s="360">
        <v>12</v>
      </c>
      <c r="H296" s="360">
        <v>12</v>
      </c>
      <c r="I296" s="338">
        <v>0</v>
      </c>
      <c r="J296" s="337"/>
      <c r="K296" s="337">
        <v>0</v>
      </c>
      <c r="L296" s="337"/>
      <c r="M296" s="337">
        <v>0</v>
      </c>
      <c r="N296" s="337" t="s">
        <v>998</v>
      </c>
      <c r="O296" s="337">
        <v>4</v>
      </c>
      <c r="P296" s="337" t="s">
        <v>998</v>
      </c>
      <c r="Q296" s="337">
        <v>30</v>
      </c>
      <c r="R296" s="337">
        <v>0</v>
      </c>
      <c r="S296" s="339">
        <v>0</v>
      </c>
      <c r="T296" s="339">
        <v>0</v>
      </c>
      <c r="U296" s="339">
        <v>0</v>
      </c>
      <c r="V296" s="339">
        <v>0</v>
      </c>
      <c r="W296" s="339">
        <v>0</v>
      </c>
      <c r="X296" s="339">
        <v>0</v>
      </c>
      <c r="Y296" s="339">
        <v>0</v>
      </c>
      <c r="Z296" s="339">
        <v>0</v>
      </c>
      <c r="AA296" s="339">
        <v>0</v>
      </c>
      <c r="AB296" s="339" t="e">
        <v>#DIV/0!</v>
      </c>
      <c r="AC296" s="342" t="e">
        <v>#DIV/0!</v>
      </c>
      <c r="AD296" s="342" t="e">
        <v>#DIV/0!</v>
      </c>
      <c r="AE296" s="342" t="e">
        <v>#DIV/0!</v>
      </c>
      <c r="AF296" s="342" t="e">
        <v>#DIV/0!</v>
      </c>
      <c r="AG296" s="332"/>
    </row>
    <row r="297" spans="1:33" s="333" customFormat="1" ht="18" customHeight="1">
      <c r="A297" s="337">
        <v>13</v>
      </c>
      <c r="B297" s="380" t="s">
        <v>1001</v>
      </c>
      <c r="C297" s="338"/>
      <c r="D297" s="338"/>
      <c r="E297" s="338">
        <v>2</v>
      </c>
      <c r="F297" s="338">
        <v>2</v>
      </c>
      <c r="G297" s="338">
        <v>32</v>
      </c>
      <c r="H297" s="338">
        <v>32</v>
      </c>
      <c r="I297" s="338">
        <v>0</v>
      </c>
      <c r="J297" s="337"/>
      <c r="K297" s="337">
        <v>0</v>
      </c>
      <c r="L297" s="337"/>
      <c r="M297" s="337">
        <v>0</v>
      </c>
      <c r="N297" s="337" t="s">
        <v>998</v>
      </c>
      <c r="O297" s="337">
        <v>4</v>
      </c>
      <c r="P297" s="337" t="s">
        <v>998</v>
      </c>
      <c r="Q297" s="337">
        <v>30</v>
      </c>
      <c r="R297" s="337">
        <v>0</v>
      </c>
      <c r="S297" s="339">
        <v>0</v>
      </c>
      <c r="T297" s="339">
        <v>0</v>
      </c>
      <c r="U297" s="339">
        <v>0</v>
      </c>
      <c r="V297" s="339">
        <v>0</v>
      </c>
      <c r="W297" s="339">
        <v>0</v>
      </c>
      <c r="X297" s="339">
        <v>0</v>
      </c>
      <c r="Y297" s="339">
        <v>0</v>
      </c>
      <c r="Z297" s="339">
        <v>0</v>
      </c>
      <c r="AA297" s="339">
        <v>0</v>
      </c>
      <c r="AB297" s="339" t="e">
        <v>#DIV/0!</v>
      </c>
      <c r="AC297" s="342" t="e">
        <v>#DIV/0!</v>
      </c>
      <c r="AD297" s="342" t="e">
        <v>#DIV/0!</v>
      </c>
      <c r="AE297" s="342" t="e">
        <v>#DIV/0!</v>
      </c>
      <c r="AF297" s="342" t="e">
        <v>#DIV/0!</v>
      </c>
      <c r="AG297" s="332"/>
    </row>
    <row r="298" spans="1:33" s="333" customFormat="1" ht="18" customHeight="1">
      <c r="A298" s="337">
        <v>14</v>
      </c>
      <c r="B298" s="380" t="s">
        <v>1010</v>
      </c>
      <c r="C298" s="338"/>
      <c r="D298" s="338"/>
      <c r="E298" s="338">
        <v>3</v>
      </c>
      <c r="F298" s="338">
        <v>3</v>
      </c>
      <c r="G298" s="338">
        <v>0.1</v>
      </c>
      <c r="H298" s="338">
        <v>0.1</v>
      </c>
      <c r="I298" s="338">
        <v>0</v>
      </c>
      <c r="J298" s="337"/>
      <c r="K298" s="337">
        <v>0</v>
      </c>
      <c r="L298" s="337"/>
      <c r="M298" s="337">
        <v>0</v>
      </c>
      <c r="N298" s="337"/>
      <c r="O298" s="337">
        <v>24</v>
      </c>
      <c r="P298" s="337"/>
      <c r="Q298" s="337">
        <v>30</v>
      </c>
      <c r="R298" s="337">
        <v>0</v>
      </c>
      <c r="S298" s="339">
        <v>0</v>
      </c>
      <c r="T298" s="339">
        <v>0</v>
      </c>
      <c r="U298" s="339">
        <v>0</v>
      </c>
      <c r="V298" s="339">
        <v>0</v>
      </c>
      <c r="W298" s="339">
        <v>0</v>
      </c>
      <c r="X298" s="339">
        <v>0</v>
      </c>
      <c r="Y298" s="339">
        <v>0</v>
      </c>
      <c r="Z298" s="339">
        <v>0</v>
      </c>
      <c r="AA298" s="339">
        <v>0</v>
      </c>
      <c r="AB298" s="339" t="e">
        <v>#DIV/0!</v>
      </c>
      <c r="AC298" s="342" t="e">
        <v>#DIV/0!</v>
      </c>
      <c r="AD298" s="342" t="e">
        <v>#DIV/0!</v>
      </c>
      <c r="AE298" s="342" t="e">
        <v>#DIV/0!</v>
      </c>
      <c r="AF298" s="342" t="e">
        <v>#DIV/0!</v>
      </c>
      <c r="AG298" s="332"/>
    </row>
    <row r="299" spans="1:33" s="333" customFormat="1" ht="18" customHeight="1">
      <c r="A299" s="337">
        <v>15</v>
      </c>
      <c r="B299" s="380" t="s">
        <v>1009</v>
      </c>
      <c r="C299" s="338"/>
      <c r="D299" s="338"/>
      <c r="E299" s="338">
        <v>4</v>
      </c>
      <c r="F299" s="338">
        <v>4</v>
      </c>
      <c r="G299" s="338">
        <v>0.25</v>
      </c>
      <c r="H299" s="338">
        <v>0.25</v>
      </c>
      <c r="I299" s="338">
        <v>0</v>
      </c>
      <c r="J299" s="337"/>
      <c r="K299" s="337">
        <v>0</v>
      </c>
      <c r="L299" s="337"/>
      <c r="M299" s="337">
        <v>0</v>
      </c>
      <c r="N299" s="337" t="s">
        <v>998</v>
      </c>
      <c r="O299" s="337">
        <v>4</v>
      </c>
      <c r="P299" s="337" t="s">
        <v>998</v>
      </c>
      <c r="Q299" s="337">
        <v>30</v>
      </c>
      <c r="R299" s="337">
        <v>0</v>
      </c>
      <c r="S299" s="339">
        <v>0</v>
      </c>
      <c r="T299" s="339">
        <v>0</v>
      </c>
      <c r="U299" s="339">
        <v>0</v>
      </c>
      <c r="V299" s="339">
        <v>0</v>
      </c>
      <c r="W299" s="339">
        <v>0</v>
      </c>
      <c r="X299" s="339">
        <v>0</v>
      </c>
      <c r="Y299" s="339">
        <v>0</v>
      </c>
      <c r="Z299" s="339">
        <v>0</v>
      </c>
      <c r="AA299" s="339">
        <v>0</v>
      </c>
      <c r="AB299" s="339" t="e">
        <v>#DIV/0!</v>
      </c>
      <c r="AC299" s="342" t="e">
        <v>#DIV/0!</v>
      </c>
      <c r="AD299" s="342" t="e">
        <v>#DIV/0!</v>
      </c>
      <c r="AE299" s="342" t="e">
        <v>#DIV/0!</v>
      </c>
      <c r="AF299" s="342" t="e">
        <v>#DIV/0!</v>
      </c>
      <c r="AG299" s="332"/>
    </row>
    <row r="300" spans="1:33" s="333" customFormat="1" ht="18" customHeight="1">
      <c r="A300" s="337">
        <v>16</v>
      </c>
      <c r="B300" s="380" t="s">
        <v>1381</v>
      </c>
      <c r="C300" s="338"/>
      <c r="D300" s="338"/>
      <c r="E300" s="338">
        <v>6</v>
      </c>
      <c r="F300" s="338">
        <v>6</v>
      </c>
      <c r="G300" s="338">
        <v>1</v>
      </c>
      <c r="H300" s="338">
        <v>1</v>
      </c>
      <c r="I300" s="338">
        <v>0</v>
      </c>
      <c r="J300" s="337"/>
      <c r="K300" s="337">
        <v>0</v>
      </c>
      <c r="L300" s="337"/>
      <c r="M300" s="337">
        <v>0</v>
      </c>
      <c r="N300" s="337" t="s">
        <v>998</v>
      </c>
      <c r="O300" s="337">
        <v>4</v>
      </c>
      <c r="P300" s="337" t="s">
        <v>998</v>
      </c>
      <c r="Q300" s="337">
        <v>30</v>
      </c>
      <c r="R300" s="337">
        <v>0</v>
      </c>
      <c r="S300" s="339">
        <v>0</v>
      </c>
      <c r="T300" s="339">
        <v>0</v>
      </c>
      <c r="U300" s="339">
        <v>0</v>
      </c>
      <c r="V300" s="339">
        <v>0</v>
      </c>
      <c r="W300" s="339">
        <v>0</v>
      </c>
      <c r="X300" s="339">
        <v>0</v>
      </c>
      <c r="Y300" s="339">
        <v>0</v>
      </c>
      <c r="Z300" s="339">
        <v>0</v>
      </c>
      <c r="AA300" s="339">
        <v>0</v>
      </c>
      <c r="AB300" s="339" t="e">
        <v>#DIV/0!</v>
      </c>
      <c r="AC300" s="342" t="e">
        <v>#DIV/0!</v>
      </c>
      <c r="AD300" s="342" t="e">
        <v>#DIV/0!</v>
      </c>
      <c r="AE300" s="342" t="e">
        <v>#DIV/0!</v>
      </c>
      <c r="AF300" s="342" t="e">
        <v>#DIV/0!</v>
      </c>
      <c r="AG300" s="332"/>
    </row>
    <row r="301" spans="1:33" s="333" customFormat="1" ht="18" customHeight="1">
      <c r="A301" s="337">
        <v>17</v>
      </c>
      <c r="B301" s="380" t="s">
        <v>1011</v>
      </c>
      <c r="C301" s="338"/>
      <c r="D301" s="338"/>
      <c r="E301" s="338">
        <v>1</v>
      </c>
      <c r="F301" s="338">
        <v>1</v>
      </c>
      <c r="G301" s="338">
        <v>2.2000000000000002</v>
      </c>
      <c r="H301" s="338">
        <v>2.2000000000000002</v>
      </c>
      <c r="I301" s="338">
        <v>0</v>
      </c>
      <c r="J301" s="337"/>
      <c r="K301" s="337">
        <v>0</v>
      </c>
      <c r="L301" s="337"/>
      <c r="M301" s="337">
        <v>0</v>
      </c>
      <c r="N301" s="337" t="s">
        <v>996</v>
      </c>
      <c r="O301" s="337">
        <v>12</v>
      </c>
      <c r="P301" s="337" t="s">
        <v>996</v>
      </c>
      <c r="Q301" s="337">
        <v>30</v>
      </c>
      <c r="R301" s="337">
        <v>0</v>
      </c>
      <c r="S301" s="339">
        <v>0</v>
      </c>
      <c r="T301" s="339">
        <v>0</v>
      </c>
      <c r="U301" s="339">
        <v>0</v>
      </c>
      <c r="V301" s="339">
        <v>0</v>
      </c>
      <c r="W301" s="339">
        <v>0</v>
      </c>
      <c r="X301" s="339">
        <v>0</v>
      </c>
      <c r="Y301" s="339">
        <v>0</v>
      </c>
      <c r="Z301" s="339">
        <v>0</v>
      </c>
      <c r="AA301" s="339">
        <v>0</v>
      </c>
      <c r="AB301" s="339" t="e">
        <v>#DIV/0!</v>
      </c>
      <c r="AC301" s="342" t="e">
        <v>#DIV/0!</v>
      </c>
      <c r="AD301" s="342" t="e">
        <v>#DIV/0!</v>
      </c>
      <c r="AE301" s="342" t="e">
        <v>#DIV/0!</v>
      </c>
      <c r="AF301" s="342" t="e">
        <v>#DIV/0!</v>
      </c>
      <c r="AG301" s="332"/>
    </row>
    <row r="302" spans="1:33" s="333" customFormat="1" ht="18" customHeight="1">
      <c r="A302" s="337">
        <v>18</v>
      </c>
      <c r="B302" s="380" t="s">
        <v>1013</v>
      </c>
      <c r="C302" s="338"/>
      <c r="D302" s="338"/>
      <c r="E302" s="338">
        <v>1</v>
      </c>
      <c r="F302" s="338">
        <v>1</v>
      </c>
      <c r="G302" s="338">
        <v>2.2000000000000002</v>
      </c>
      <c r="H302" s="338">
        <v>2.2000000000000002</v>
      </c>
      <c r="I302" s="338">
        <v>0</v>
      </c>
      <c r="J302" s="337"/>
      <c r="K302" s="337">
        <v>0</v>
      </c>
      <c r="L302" s="337"/>
      <c r="M302" s="337">
        <v>0</v>
      </c>
      <c r="N302" s="337" t="s">
        <v>996</v>
      </c>
      <c r="O302" s="337">
        <v>24</v>
      </c>
      <c r="P302" s="337" t="s">
        <v>996</v>
      </c>
      <c r="Q302" s="337">
        <v>30</v>
      </c>
      <c r="R302" s="337">
        <v>0</v>
      </c>
      <c r="S302" s="339">
        <v>0</v>
      </c>
      <c r="T302" s="339">
        <v>0</v>
      </c>
      <c r="U302" s="339">
        <v>0</v>
      </c>
      <c r="V302" s="339">
        <v>0</v>
      </c>
      <c r="W302" s="339">
        <v>0</v>
      </c>
      <c r="X302" s="339">
        <v>0</v>
      </c>
      <c r="Y302" s="339">
        <v>0</v>
      </c>
      <c r="Z302" s="339">
        <v>0</v>
      </c>
      <c r="AA302" s="339">
        <v>0</v>
      </c>
      <c r="AB302" s="339" t="e">
        <v>#DIV/0!</v>
      </c>
      <c r="AC302" s="342" t="e">
        <v>#DIV/0!</v>
      </c>
      <c r="AD302" s="342" t="e">
        <v>#DIV/0!</v>
      </c>
      <c r="AE302" s="342" t="e">
        <v>#DIV/0!</v>
      </c>
      <c r="AF302" s="342" t="e">
        <v>#DIV/0!</v>
      </c>
      <c r="AG302" s="332"/>
    </row>
    <row r="303" spans="1:33" s="333" customFormat="1" ht="18" customHeight="1">
      <c r="A303" s="337">
        <v>19</v>
      </c>
      <c r="B303" s="380" t="s">
        <v>1382</v>
      </c>
      <c r="C303" s="338"/>
      <c r="D303" s="338"/>
      <c r="E303" s="338">
        <v>1</v>
      </c>
      <c r="F303" s="338">
        <v>1</v>
      </c>
      <c r="G303" s="338">
        <v>0.75</v>
      </c>
      <c r="H303" s="338">
        <v>0.75</v>
      </c>
      <c r="I303" s="338">
        <v>0</v>
      </c>
      <c r="J303" s="337"/>
      <c r="K303" s="337">
        <v>0</v>
      </c>
      <c r="L303" s="337"/>
      <c r="M303" s="337">
        <v>0</v>
      </c>
      <c r="N303" s="337" t="s">
        <v>996</v>
      </c>
      <c r="O303" s="337">
        <v>24</v>
      </c>
      <c r="P303" s="337" t="s">
        <v>996</v>
      </c>
      <c r="Q303" s="337">
        <v>30</v>
      </c>
      <c r="R303" s="337">
        <v>0</v>
      </c>
      <c r="S303" s="339">
        <v>0</v>
      </c>
      <c r="T303" s="339">
        <v>0</v>
      </c>
      <c r="U303" s="339">
        <v>0</v>
      </c>
      <c r="V303" s="339">
        <v>0</v>
      </c>
      <c r="W303" s="339">
        <v>0</v>
      </c>
      <c r="X303" s="339">
        <v>0</v>
      </c>
      <c r="Y303" s="339">
        <v>0</v>
      </c>
      <c r="Z303" s="339">
        <v>0</v>
      </c>
      <c r="AA303" s="339">
        <v>0</v>
      </c>
      <c r="AB303" s="339" t="e">
        <v>#DIV/0!</v>
      </c>
      <c r="AC303" s="342" t="e">
        <v>#DIV/0!</v>
      </c>
      <c r="AD303" s="342" t="e">
        <v>#DIV/0!</v>
      </c>
      <c r="AE303" s="342" t="e">
        <v>#DIV/0!</v>
      </c>
      <c r="AF303" s="342" t="e">
        <v>#DIV/0!</v>
      </c>
      <c r="AG303" s="332"/>
    </row>
    <row r="304" spans="1:33" s="333" customFormat="1" ht="18" customHeight="1">
      <c r="A304" s="337">
        <v>20</v>
      </c>
      <c r="B304" s="380" t="s">
        <v>1383</v>
      </c>
      <c r="C304" s="338"/>
      <c r="D304" s="338"/>
      <c r="E304" s="338">
        <v>1</v>
      </c>
      <c r="F304" s="338">
        <v>1</v>
      </c>
      <c r="G304" s="338">
        <v>0.75</v>
      </c>
      <c r="H304" s="338">
        <v>0.75</v>
      </c>
      <c r="I304" s="338">
        <v>0</v>
      </c>
      <c r="J304" s="337"/>
      <c r="K304" s="337">
        <v>0</v>
      </c>
      <c r="L304" s="337"/>
      <c r="M304" s="337">
        <v>0</v>
      </c>
      <c r="N304" s="337" t="s">
        <v>996</v>
      </c>
      <c r="O304" s="337">
        <v>24</v>
      </c>
      <c r="P304" s="337" t="s">
        <v>996</v>
      </c>
      <c r="Q304" s="337">
        <v>30</v>
      </c>
      <c r="R304" s="337">
        <v>0</v>
      </c>
      <c r="S304" s="339">
        <v>0</v>
      </c>
      <c r="T304" s="339">
        <v>0</v>
      </c>
      <c r="U304" s="339">
        <v>0</v>
      </c>
      <c r="V304" s="339">
        <v>0</v>
      </c>
      <c r="W304" s="339">
        <v>0</v>
      </c>
      <c r="X304" s="339">
        <v>0</v>
      </c>
      <c r="Y304" s="339">
        <v>0</v>
      </c>
      <c r="Z304" s="339">
        <v>0</v>
      </c>
      <c r="AA304" s="339">
        <v>0</v>
      </c>
      <c r="AB304" s="339" t="e">
        <v>#DIV/0!</v>
      </c>
      <c r="AC304" s="342" t="e">
        <v>#DIV/0!</v>
      </c>
      <c r="AD304" s="342" t="e">
        <v>#DIV/0!</v>
      </c>
      <c r="AE304" s="342" t="e">
        <v>#DIV/0!</v>
      </c>
      <c r="AF304" s="342" t="e">
        <v>#DIV/0!</v>
      </c>
      <c r="AG304" s="332"/>
    </row>
    <row r="305" spans="1:33" s="333" customFormat="1" ht="18" customHeight="1">
      <c r="A305" s="337">
        <v>21</v>
      </c>
      <c r="B305" s="380" t="s">
        <v>1016</v>
      </c>
      <c r="C305" s="338"/>
      <c r="D305" s="338"/>
      <c r="E305" s="338">
        <v>1</v>
      </c>
      <c r="F305" s="338">
        <v>1</v>
      </c>
      <c r="G305" s="338">
        <v>36</v>
      </c>
      <c r="H305" s="338">
        <v>36</v>
      </c>
      <c r="I305" s="338">
        <v>0</v>
      </c>
      <c r="J305" s="337"/>
      <c r="K305" s="337">
        <v>0</v>
      </c>
      <c r="L305" s="337"/>
      <c r="M305" s="337">
        <v>0</v>
      </c>
      <c r="N305" s="337"/>
      <c r="O305" s="337">
        <v>6</v>
      </c>
      <c r="P305" s="337"/>
      <c r="Q305" s="337">
        <v>30</v>
      </c>
      <c r="R305" s="337">
        <v>0</v>
      </c>
      <c r="S305" s="339">
        <v>0</v>
      </c>
      <c r="T305" s="339">
        <v>0</v>
      </c>
      <c r="U305" s="339">
        <v>0</v>
      </c>
      <c r="V305" s="339">
        <v>0</v>
      </c>
      <c r="W305" s="339">
        <v>0</v>
      </c>
      <c r="X305" s="339">
        <v>0</v>
      </c>
      <c r="Y305" s="339">
        <v>0</v>
      </c>
      <c r="Z305" s="339">
        <v>0</v>
      </c>
      <c r="AA305" s="339">
        <v>0</v>
      </c>
      <c r="AB305" s="339" t="e">
        <v>#DIV/0!</v>
      </c>
      <c r="AC305" s="342" t="e">
        <v>#DIV/0!</v>
      </c>
      <c r="AD305" s="342" t="e">
        <v>#DIV/0!</v>
      </c>
      <c r="AE305" s="342" t="e">
        <v>#DIV/0!</v>
      </c>
      <c r="AF305" s="342" t="e">
        <v>#DIV/0!</v>
      </c>
      <c r="AG305" s="332"/>
    </row>
    <row r="306" spans="1:33" s="333" customFormat="1" ht="18" customHeight="1">
      <c r="A306" s="337">
        <v>22</v>
      </c>
      <c r="B306" s="380" t="s">
        <v>1021</v>
      </c>
      <c r="C306" s="338"/>
      <c r="D306" s="338"/>
      <c r="E306" s="338">
        <v>18</v>
      </c>
      <c r="F306" s="338">
        <v>18</v>
      </c>
      <c r="G306" s="338">
        <v>0.5</v>
      </c>
      <c r="H306" s="338">
        <v>0.5</v>
      </c>
      <c r="I306" s="338">
        <v>0</v>
      </c>
      <c r="J306" s="337"/>
      <c r="K306" s="337">
        <v>0</v>
      </c>
      <c r="L306" s="337"/>
      <c r="M306" s="337">
        <v>0</v>
      </c>
      <c r="N306" s="337" t="s">
        <v>998</v>
      </c>
      <c r="O306" s="337">
        <v>4</v>
      </c>
      <c r="P306" s="337" t="s">
        <v>998</v>
      </c>
      <c r="Q306" s="337">
        <v>30</v>
      </c>
      <c r="R306" s="337">
        <v>0</v>
      </c>
      <c r="S306" s="339">
        <v>0</v>
      </c>
      <c r="T306" s="339">
        <v>0</v>
      </c>
      <c r="U306" s="339">
        <v>0</v>
      </c>
      <c r="V306" s="339">
        <v>0</v>
      </c>
      <c r="W306" s="339">
        <v>0</v>
      </c>
      <c r="X306" s="339">
        <v>0</v>
      </c>
      <c r="Y306" s="339">
        <v>0</v>
      </c>
      <c r="Z306" s="339">
        <v>0</v>
      </c>
      <c r="AA306" s="339">
        <v>0</v>
      </c>
      <c r="AB306" s="339" t="e">
        <v>#DIV/0!</v>
      </c>
      <c r="AC306" s="342" t="e">
        <v>#DIV/0!</v>
      </c>
      <c r="AD306" s="342" t="e">
        <v>#DIV/0!</v>
      </c>
      <c r="AE306" s="342" t="e">
        <v>#DIV/0!</v>
      </c>
      <c r="AF306" s="342" t="e">
        <v>#DIV/0!</v>
      </c>
      <c r="AG306" s="332"/>
    </row>
    <row r="307" spans="1:33" s="333" customFormat="1" ht="18" customHeight="1">
      <c r="A307" s="337">
        <v>23</v>
      </c>
      <c r="B307" s="380" t="s">
        <v>1017</v>
      </c>
      <c r="C307" s="338"/>
      <c r="D307" s="338"/>
      <c r="E307" s="338">
        <v>16</v>
      </c>
      <c r="F307" s="338">
        <v>16</v>
      </c>
      <c r="G307" s="338">
        <v>2.4</v>
      </c>
      <c r="H307" s="338">
        <v>2.4</v>
      </c>
      <c r="I307" s="338">
        <v>0</v>
      </c>
      <c r="J307" s="337"/>
      <c r="K307" s="337">
        <v>0</v>
      </c>
      <c r="L307" s="337"/>
      <c r="M307" s="337">
        <v>0</v>
      </c>
      <c r="N307" s="337" t="s">
        <v>998</v>
      </c>
      <c r="O307" s="337">
        <v>4</v>
      </c>
      <c r="P307" s="337" t="s">
        <v>998</v>
      </c>
      <c r="Q307" s="337">
        <v>30</v>
      </c>
      <c r="R307" s="337">
        <v>0</v>
      </c>
      <c r="S307" s="339">
        <v>0</v>
      </c>
      <c r="T307" s="339">
        <v>0</v>
      </c>
      <c r="U307" s="339">
        <v>0</v>
      </c>
      <c r="V307" s="339">
        <v>0</v>
      </c>
      <c r="W307" s="339">
        <v>0</v>
      </c>
      <c r="X307" s="339">
        <v>0</v>
      </c>
      <c r="Y307" s="339">
        <v>0</v>
      </c>
      <c r="Z307" s="339">
        <v>0</v>
      </c>
      <c r="AA307" s="339">
        <v>0</v>
      </c>
      <c r="AB307" s="339" t="e">
        <v>#DIV/0!</v>
      </c>
      <c r="AC307" s="342" t="e">
        <v>#DIV/0!</v>
      </c>
      <c r="AD307" s="342" t="e">
        <v>#DIV/0!</v>
      </c>
      <c r="AE307" s="342" t="e">
        <v>#DIV/0!</v>
      </c>
      <c r="AF307" s="342" t="e">
        <v>#DIV/0!</v>
      </c>
      <c r="AG307" s="332"/>
    </row>
    <row r="308" spans="1:33" s="333" customFormat="1" ht="18" customHeight="1">
      <c r="A308" s="337">
        <v>24</v>
      </c>
      <c r="B308" s="380" t="s">
        <v>1384</v>
      </c>
      <c r="C308" s="338"/>
      <c r="D308" s="338"/>
      <c r="E308" s="338">
        <v>1</v>
      </c>
      <c r="F308" s="338">
        <v>1</v>
      </c>
      <c r="G308" s="338">
        <v>1.2</v>
      </c>
      <c r="H308" s="338">
        <v>1.2</v>
      </c>
      <c r="I308" s="338">
        <v>0</v>
      </c>
      <c r="J308" s="337"/>
      <c r="K308" s="337">
        <v>0</v>
      </c>
      <c r="L308" s="337"/>
      <c r="M308" s="337">
        <v>0</v>
      </c>
      <c r="N308" s="337" t="s">
        <v>998</v>
      </c>
      <c r="O308" s="337">
        <v>4</v>
      </c>
      <c r="P308" s="337" t="s">
        <v>998</v>
      </c>
      <c r="Q308" s="337">
        <v>30</v>
      </c>
      <c r="R308" s="337">
        <v>0</v>
      </c>
      <c r="S308" s="339">
        <v>0</v>
      </c>
      <c r="T308" s="339">
        <v>0</v>
      </c>
      <c r="U308" s="339">
        <v>0</v>
      </c>
      <c r="V308" s="339">
        <v>0</v>
      </c>
      <c r="W308" s="339">
        <v>0</v>
      </c>
      <c r="X308" s="339">
        <v>0</v>
      </c>
      <c r="Y308" s="339">
        <v>0</v>
      </c>
      <c r="Z308" s="339">
        <v>0</v>
      </c>
      <c r="AA308" s="339">
        <v>0</v>
      </c>
      <c r="AB308" s="339" t="e">
        <v>#DIV/0!</v>
      </c>
      <c r="AC308" s="342" t="e">
        <v>#DIV/0!</v>
      </c>
      <c r="AD308" s="342" t="e">
        <v>#DIV/0!</v>
      </c>
      <c r="AE308" s="342" t="e">
        <v>#DIV/0!</v>
      </c>
      <c r="AF308" s="342" t="e">
        <v>#DIV/0!</v>
      </c>
      <c r="AG308" s="332"/>
    </row>
    <row r="309" spans="1:33" s="333" customFormat="1" ht="18" customHeight="1">
      <c r="A309" s="337">
        <v>25</v>
      </c>
      <c r="B309" s="380" t="s">
        <v>1385</v>
      </c>
      <c r="C309" s="338"/>
      <c r="D309" s="338"/>
      <c r="E309" s="338">
        <v>1</v>
      </c>
      <c r="F309" s="338">
        <v>1</v>
      </c>
      <c r="G309" s="338">
        <v>2</v>
      </c>
      <c r="H309" s="338">
        <v>2</v>
      </c>
      <c r="I309" s="338">
        <v>0</v>
      </c>
      <c r="J309" s="337"/>
      <c r="K309" s="337">
        <v>0</v>
      </c>
      <c r="L309" s="337"/>
      <c r="M309" s="337">
        <v>0</v>
      </c>
      <c r="N309" s="337" t="s">
        <v>998</v>
      </c>
      <c r="O309" s="337">
        <v>4</v>
      </c>
      <c r="P309" s="337" t="s">
        <v>998</v>
      </c>
      <c r="Q309" s="337">
        <v>30</v>
      </c>
      <c r="R309" s="337">
        <v>0</v>
      </c>
      <c r="S309" s="339">
        <v>0</v>
      </c>
      <c r="T309" s="339">
        <v>0</v>
      </c>
      <c r="U309" s="339">
        <v>0</v>
      </c>
      <c r="V309" s="339">
        <v>0</v>
      </c>
      <c r="W309" s="339">
        <v>0</v>
      </c>
      <c r="X309" s="339">
        <v>0</v>
      </c>
      <c r="Y309" s="339">
        <v>0</v>
      </c>
      <c r="Z309" s="339">
        <v>0</v>
      </c>
      <c r="AA309" s="339">
        <v>0</v>
      </c>
      <c r="AB309" s="339" t="e">
        <v>#DIV/0!</v>
      </c>
      <c r="AC309" s="342" t="e">
        <v>#DIV/0!</v>
      </c>
      <c r="AD309" s="342" t="e">
        <v>#DIV/0!</v>
      </c>
      <c r="AE309" s="342" t="e">
        <v>#DIV/0!</v>
      </c>
      <c r="AF309" s="342" t="e">
        <v>#DIV/0!</v>
      </c>
      <c r="AG309" s="332"/>
    </row>
    <row r="310" spans="1:33" s="333" customFormat="1" ht="18" customHeight="1">
      <c r="A310" s="337">
        <v>26</v>
      </c>
      <c r="B310" s="380" t="s">
        <v>1005</v>
      </c>
      <c r="C310" s="338"/>
      <c r="D310" s="338"/>
      <c r="E310" s="338">
        <v>1</v>
      </c>
      <c r="F310" s="338">
        <v>1</v>
      </c>
      <c r="G310" s="338">
        <v>2.2000000000000002</v>
      </c>
      <c r="H310" s="338">
        <v>2.2000000000000002</v>
      </c>
      <c r="I310" s="338">
        <v>0</v>
      </c>
      <c r="J310" s="337"/>
      <c r="K310" s="337">
        <v>0</v>
      </c>
      <c r="L310" s="337"/>
      <c r="M310" s="337">
        <v>0</v>
      </c>
      <c r="N310" s="337" t="s">
        <v>998</v>
      </c>
      <c r="O310" s="337">
        <v>4</v>
      </c>
      <c r="P310" s="337" t="s">
        <v>998</v>
      </c>
      <c r="Q310" s="337">
        <v>30</v>
      </c>
      <c r="R310" s="337">
        <v>0</v>
      </c>
      <c r="S310" s="339">
        <v>0</v>
      </c>
      <c r="T310" s="339">
        <v>0</v>
      </c>
      <c r="U310" s="339">
        <v>0</v>
      </c>
      <c r="V310" s="339">
        <v>0</v>
      </c>
      <c r="W310" s="339">
        <v>0</v>
      </c>
      <c r="X310" s="339">
        <v>0</v>
      </c>
      <c r="Y310" s="339">
        <v>0</v>
      </c>
      <c r="Z310" s="339">
        <v>0</v>
      </c>
      <c r="AA310" s="339">
        <v>0</v>
      </c>
      <c r="AB310" s="339" t="e">
        <v>#DIV/0!</v>
      </c>
      <c r="AC310" s="342" t="e">
        <v>#DIV/0!</v>
      </c>
      <c r="AD310" s="342" t="e">
        <v>#DIV/0!</v>
      </c>
      <c r="AE310" s="342" t="e">
        <v>#DIV/0!</v>
      </c>
      <c r="AF310" s="342" t="e">
        <v>#DIV/0!</v>
      </c>
      <c r="AG310" s="332"/>
    </row>
    <row r="311" spans="1:33" s="333" customFormat="1" ht="18" customHeight="1">
      <c r="A311" s="337">
        <v>27</v>
      </c>
      <c r="B311" s="380" t="s">
        <v>1386</v>
      </c>
      <c r="C311" s="338"/>
      <c r="D311" s="338"/>
      <c r="E311" s="338">
        <v>1</v>
      </c>
      <c r="F311" s="338">
        <v>1</v>
      </c>
      <c r="G311" s="338">
        <v>2.8</v>
      </c>
      <c r="H311" s="338">
        <v>2.8</v>
      </c>
      <c r="I311" s="338">
        <v>0</v>
      </c>
      <c r="J311" s="337"/>
      <c r="K311" s="337">
        <v>0</v>
      </c>
      <c r="L311" s="337"/>
      <c r="M311" s="337">
        <v>0</v>
      </c>
      <c r="N311" s="337" t="s">
        <v>998</v>
      </c>
      <c r="O311" s="337">
        <v>4</v>
      </c>
      <c r="P311" s="337" t="s">
        <v>998</v>
      </c>
      <c r="Q311" s="337">
        <v>30</v>
      </c>
      <c r="R311" s="337">
        <v>0</v>
      </c>
      <c r="S311" s="339">
        <v>0</v>
      </c>
      <c r="T311" s="339">
        <v>0</v>
      </c>
      <c r="U311" s="339">
        <v>0</v>
      </c>
      <c r="V311" s="339">
        <v>0</v>
      </c>
      <c r="W311" s="339">
        <v>0</v>
      </c>
      <c r="X311" s="339">
        <v>0</v>
      </c>
      <c r="Y311" s="339">
        <v>0</v>
      </c>
      <c r="Z311" s="339">
        <v>0</v>
      </c>
      <c r="AA311" s="339">
        <v>0</v>
      </c>
      <c r="AB311" s="339" t="e">
        <v>#DIV/0!</v>
      </c>
      <c r="AC311" s="342" t="e">
        <v>#DIV/0!</v>
      </c>
      <c r="AD311" s="342" t="e">
        <v>#DIV/0!</v>
      </c>
      <c r="AE311" s="342" t="e">
        <v>#DIV/0!</v>
      </c>
      <c r="AF311" s="342" t="e">
        <v>#DIV/0!</v>
      </c>
      <c r="AG311" s="332"/>
    </row>
    <row r="312" spans="1:33" s="333" customFormat="1" ht="18" customHeight="1">
      <c r="A312" s="337">
        <v>28</v>
      </c>
      <c r="B312" s="380" t="s">
        <v>1020</v>
      </c>
      <c r="C312" s="338"/>
      <c r="D312" s="338"/>
      <c r="E312" s="338">
        <v>1</v>
      </c>
      <c r="F312" s="338">
        <v>1</v>
      </c>
      <c r="G312" s="360">
        <v>2.2999999999999998</v>
      </c>
      <c r="H312" s="360">
        <v>2.2999999999999998</v>
      </c>
      <c r="I312" s="338">
        <v>0</v>
      </c>
      <c r="J312" s="337"/>
      <c r="K312" s="337">
        <v>0</v>
      </c>
      <c r="L312" s="337"/>
      <c r="M312" s="337">
        <v>0</v>
      </c>
      <c r="N312" s="337" t="s">
        <v>998</v>
      </c>
      <c r="O312" s="337">
        <v>4</v>
      </c>
      <c r="P312" s="337" t="s">
        <v>998</v>
      </c>
      <c r="Q312" s="337">
        <v>30</v>
      </c>
      <c r="R312" s="337">
        <v>0</v>
      </c>
      <c r="S312" s="339"/>
      <c r="T312" s="339"/>
      <c r="U312" s="339"/>
      <c r="V312" s="339"/>
      <c r="W312" s="339">
        <v>0</v>
      </c>
      <c r="X312" s="339"/>
      <c r="Y312" s="339"/>
      <c r="Z312" s="339"/>
      <c r="AA312" s="339"/>
      <c r="AB312" s="339" t="e">
        <v>#DIV/0!</v>
      </c>
      <c r="AC312" s="342" t="e">
        <v>#DIV/0!</v>
      </c>
      <c r="AD312" s="342" t="e">
        <v>#DIV/0!</v>
      </c>
      <c r="AE312" s="342" t="e">
        <v>#DIV/0!</v>
      </c>
      <c r="AF312" s="342" t="e">
        <v>#DIV/0!</v>
      </c>
      <c r="AG312" s="332"/>
    </row>
    <row r="313" spans="1:33" s="333" customFormat="1" ht="18" customHeight="1">
      <c r="A313" s="337">
        <v>29</v>
      </c>
      <c r="B313" s="380" t="s">
        <v>1018</v>
      </c>
      <c r="C313" s="338"/>
      <c r="D313" s="338"/>
      <c r="E313" s="338">
        <v>1</v>
      </c>
      <c r="F313" s="338">
        <v>1</v>
      </c>
      <c r="G313" s="338">
        <v>2.5</v>
      </c>
      <c r="H313" s="338">
        <v>2.5</v>
      </c>
      <c r="I313" s="338">
        <v>0</v>
      </c>
      <c r="J313" s="337"/>
      <c r="K313" s="337">
        <v>0</v>
      </c>
      <c r="L313" s="337"/>
      <c r="M313" s="337">
        <v>0</v>
      </c>
      <c r="N313" s="337" t="s">
        <v>998</v>
      </c>
      <c r="O313" s="337">
        <v>4</v>
      </c>
      <c r="P313" s="337" t="s">
        <v>998</v>
      </c>
      <c r="Q313" s="337">
        <v>30</v>
      </c>
      <c r="R313" s="337">
        <v>0</v>
      </c>
      <c r="S313" s="339">
        <v>0</v>
      </c>
      <c r="T313" s="339">
        <v>0</v>
      </c>
      <c r="U313" s="339">
        <v>0</v>
      </c>
      <c r="V313" s="339">
        <v>0</v>
      </c>
      <c r="W313" s="339">
        <v>0</v>
      </c>
      <c r="X313" s="339">
        <v>0</v>
      </c>
      <c r="Y313" s="339">
        <v>0</v>
      </c>
      <c r="Z313" s="339">
        <v>0</v>
      </c>
      <c r="AA313" s="339">
        <v>0</v>
      </c>
      <c r="AB313" s="339" t="e">
        <v>#DIV/0!</v>
      </c>
      <c r="AC313" s="342" t="e">
        <v>#DIV/0!</v>
      </c>
      <c r="AD313" s="342" t="e">
        <v>#DIV/0!</v>
      </c>
      <c r="AE313" s="342" t="e">
        <v>#DIV/0!</v>
      </c>
      <c r="AF313" s="342" t="e">
        <v>#DIV/0!</v>
      </c>
      <c r="AG313" s="332"/>
    </row>
    <row r="314" spans="1:33" s="333" customFormat="1" ht="18" customHeight="1">
      <c r="A314" s="337">
        <v>30</v>
      </c>
      <c r="B314" s="380" t="s">
        <v>1387</v>
      </c>
      <c r="C314" s="338"/>
      <c r="D314" s="338"/>
      <c r="E314" s="338">
        <v>4</v>
      </c>
      <c r="F314" s="338">
        <v>4</v>
      </c>
      <c r="G314" s="338">
        <v>2.2000000000000002</v>
      </c>
      <c r="H314" s="338">
        <v>2.2000000000000002</v>
      </c>
      <c r="I314" s="338">
        <v>0</v>
      </c>
      <c r="J314" s="337"/>
      <c r="K314" s="337">
        <v>0</v>
      </c>
      <c r="L314" s="337"/>
      <c r="M314" s="337">
        <v>0</v>
      </c>
      <c r="N314" s="337" t="s">
        <v>998</v>
      </c>
      <c r="O314" s="337">
        <v>4</v>
      </c>
      <c r="P314" s="337" t="s">
        <v>998</v>
      </c>
      <c r="Q314" s="337">
        <v>30</v>
      </c>
      <c r="R314" s="337">
        <v>0</v>
      </c>
      <c r="S314" s="339">
        <v>0</v>
      </c>
      <c r="T314" s="339">
        <v>0</v>
      </c>
      <c r="U314" s="339">
        <v>0</v>
      </c>
      <c r="V314" s="339">
        <v>0</v>
      </c>
      <c r="W314" s="339">
        <v>0</v>
      </c>
      <c r="X314" s="339">
        <v>0</v>
      </c>
      <c r="Y314" s="339">
        <v>0</v>
      </c>
      <c r="Z314" s="339">
        <v>0</v>
      </c>
      <c r="AA314" s="339">
        <v>0</v>
      </c>
      <c r="AB314" s="339" t="e">
        <v>#DIV/0!</v>
      </c>
      <c r="AC314" s="342" t="e">
        <v>#DIV/0!</v>
      </c>
      <c r="AD314" s="342" t="e">
        <v>#DIV/0!</v>
      </c>
      <c r="AE314" s="342" t="e">
        <v>#DIV/0!</v>
      </c>
      <c r="AF314" s="342" t="e">
        <v>#DIV/0!</v>
      </c>
      <c r="AG314" s="332"/>
    </row>
    <row r="315" spans="1:33" s="333" customFormat="1" ht="18" customHeight="1">
      <c r="A315" s="337">
        <v>31</v>
      </c>
      <c r="B315" s="380" t="s">
        <v>1372</v>
      </c>
      <c r="C315" s="338"/>
      <c r="D315" s="338"/>
      <c r="E315" s="338">
        <v>5</v>
      </c>
      <c r="F315" s="338">
        <v>5</v>
      </c>
      <c r="G315" s="338">
        <v>0.08</v>
      </c>
      <c r="H315" s="338">
        <v>0.08</v>
      </c>
      <c r="I315" s="338">
        <v>0</v>
      </c>
      <c r="J315" s="337"/>
      <c r="K315" s="337">
        <v>0</v>
      </c>
      <c r="L315" s="337"/>
      <c r="M315" s="337">
        <v>0</v>
      </c>
      <c r="N315" s="337" t="s">
        <v>1023</v>
      </c>
      <c r="O315" s="337">
        <v>8</v>
      </c>
      <c r="P315" s="337" t="s">
        <v>1023</v>
      </c>
      <c r="Q315" s="337">
        <v>30</v>
      </c>
      <c r="R315" s="337">
        <v>0</v>
      </c>
      <c r="S315" s="339">
        <v>0</v>
      </c>
      <c r="T315" s="339">
        <v>0</v>
      </c>
      <c r="U315" s="339">
        <v>0</v>
      </c>
      <c r="V315" s="339">
        <v>0</v>
      </c>
      <c r="W315" s="339">
        <v>0</v>
      </c>
      <c r="X315" s="339">
        <v>0</v>
      </c>
      <c r="Y315" s="339">
        <v>0</v>
      </c>
      <c r="Z315" s="339">
        <v>0</v>
      </c>
      <c r="AA315" s="339">
        <v>0</v>
      </c>
      <c r="AB315" s="339" t="e">
        <v>#DIV/0!</v>
      </c>
      <c r="AC315" s="342" t="e">
        <v>#DIV/0!</v>
      </c>
      <c r="AD315" s="342" t="e">
        <v>#DIV/0!</v>
      </c>
      <c r="AE315" s="342" t="e">
        <v>#DIV/0!</v>
      </c>
      <c r="AF315" s="342" t="e">
        <v>#DIV/0!</v>
      </c>
      <c r="AG315" s="332"/>
    </row>
    <row r="316" spans="1:33" s="333" customFormat="1" ht="18" customHeight="1">
      <c r="A316" s="337">
        <v>32</v>
      </c>
      <c r="B316" s="380" t="s">
        <v>1388</v>
      </c>
      <c r="C316" s="338"/>
      <c r="D316" s="338"/>
      <c r="E316" s="338">
        <v>33</v>
      </c>
      <c r="F316" s="338">
        <v>33</v>
      </c>
      <c r="G316" s="338">
        <v>0.16</v>
      </c>
      <c r="H316" s="338">
        <v>0.16</v>
      </c>
      <c r="I316" s="338">
        <v>0</v>
      </c>
      <c r="J316" s="337"/>
      <c r="K316" s="337">
        <v>0</v>
      </c>
      <c r="L316" s="337"/>
      <c r="M316" s="337">
        <v>0</v>
      </c>
      <c r="N316" s="337" t="s">
        <v>1023</v>
      </c>
      <c r="O316" s="337">
        <v>8</v>
      </c>
      <c r="P316" s="337" t="s">
        <v>1023</v>
      </c>
      <c r="Q316" s="337">
        <v>30</v>
      </c>
      <c r="R316" s="337">
        <v>0</v>
      </c>
      <c r="S316" s="339">
        <v>0</v>
      </c>
      <c r="T316" s="339">
        <v>0</v>
      </c>
      <c r="U316" s="339">
        <v>0</v>
      </c>
      <c r="V316" s="339">
        <v>0</v>
      </c>
      <c r="W316" s="339">
        <v>0</v>
      </c>
      <c r="X316" s="339">
        <v>0</v>
      </c>
      <c r="Y316" s="339">
        <v>0</v>
      </c>
      <c r="Z316" s="339">
        <v>0</v>
      </c>
      <c r="AA316" s="339">
        <v>0</v>
      </c>
      <c r="AB316" s="339" t="e">
        <v>#DIV/0!</v>
      </c>
      <c r="AC316" s="342" t="e">
        <v>#DIV/0!</v>
      </c>
      <c r="AD316" s="342" t="e">
        <v>#DIV/0!</v>
      </c>
      <c r="AE316" s="342" t="e">
        <v>#DIV/0!</v>
      </c>
      <c r="AF316" s="342" t="e">
        <v>#DIV/0!</v>
      </c>
      <c r="AG316" s="332"/>
    </row>
    <row r="317" spans="1:33" s="333" customFormat="1" ht="18" customHeight="1">
      <c r="A317" s="337">
        <v>33</v>
      </c>
      <c r="B317" s="380" t="s">
        <v>1022</v>
      </c>
      <c r="C317" s="338"/>
      <c r="D317" s="338"/>
      <c r="E317" s="338">
        <v>14</v>
      </c>
      <c r="F317" s="338">
        <v>14</v>
      </c>
      <c r="G317" s="338">
        <v>0.02</v>
      </c>
      <c r="H317" s="338">
        <v>0.02</v>
      </c>
      <c r="I317" s="338">
        <v>0</v>
      </c>
      <c r="J317" s="337"/>
      <c r="K317" s="337">
        <v>0</v>
      </c>
      <c r="L317" s="337"/>
      <c r="M317" s="337">
        <v>0</v>
      </c>
      <c r="N317" s="337" t="s">
        <v>1023</v>
      </c>
      <c r="O317" s="337">
        <v>8</v>
      </c>
      <c r="P317" s="337" t="s">
        <v>1023</v>
      </c>
      <c r="Q317" s="337">
        <v>30</v>
      </c>
      <c r="R317" s="337">
        <v>0</v>
      </c>
      <c r="S317" s="339">
        <v>0</v>
      </c>
      <c r="T317" s="339">
        <v>0</v>
      </c>
      <c r="U317" s="339">
        <v>0</v>
      </c>
      <c r="V317" s="339">
        <v>0</v>
      </c>
      <c r="W317" s="339">
        <v>0</v>
      </c>
      <c r="X317" s="339">
        <v>0</v>
      </c>
      <c r="Y317" s="339">
        <v>0</v>
      </c>
      <c r="Z317" s="339">
        <v>0</v>
      </c>
      <c r="AA317" s="339">
        <v>0</v>
      </c>
      <c r="AB317" s="339" t="e">
        <v>#DIV/0!</v>
      </c>
      <c r="AC317" s="342" t="e">
        <v>#DIV/0!</v>
      </c>
      <c r="AD317" s="342" t="e">
        <v>#DIV/0!</v>
      </c>
      <c r="AE317" s="342" t="e">
        <v>#DIV/0!</v>
      </c>
      <c r="AF317" s="342" t="e">
        <v>#DIV/0!</v>
      </c>
      <c r="AG317" s="332"/>
    </row>
    <row r="318" spans="1:33" s="332" customFormat="1" ht="18" customHeight="1">
      <c r="A318" s="350" t="s">
        <v>1389</v>
      </c>
      <c r="B318" s="376" t="s">
        <v>1390</v>
      </c>
      <c r="C318" s="364"/>
      <c r="D318" s="364"/>
      <c r="E318" s="364"/>
      <c r="F318" s="364"/>
      <c r="G318" s="364"/>
      <c r="H318" s="364"/>
      <c r="I318" s="364"/>
      <c r="J318" s="350"/>
      <c r="K318" s="350"/>
      <c r="L318" s="350"/>
      <c r="M318" s="350"/>
      <c r="N318" s="350"/>
      <c r="O318" s="350"/>
      <c r="P318" s="350"/>
      <c r="Q318" s="350"/>
      <c r="R318" s="350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  <c r="AC318" s="352"/>
      <c r="AD318" s="352"/>
      <c r="AE318" s="352"/>
      <c r="AF318" s="352"/>
    </row>
    <row r="319" spans="1:33" s="333" customFormat="1" ht="18" customHeight="1">
      <c r="A319" s="337">
        <v>1</v>
      </c>
      <c r="B319" s="380" t="s">
        <v>994</v>
      </c>
      <c r="C319" s="338"/>
      <c r="D319" s="337"/>
      <c r="E319" s="337"/>
      <c r="F319" s="337"/>
      <c r="G319" s="338">
        <v>26</v>
      </c>
      <c r="H319" s="338">
        <v>26</v>
      </c>
      <c r="I319" s="337">
        <v>0</v>
      </c>
      <c r="J319" s="337"/>
      <c r="K319" s="337">
        <v>0</v>
      </c>
      <c r="L319" s="337"/>
      <c r="M319" s="337">
        <v>0</v>
      </c>
      <c r="N319" s="337"/>
      <c r="O319" s="337">
        <v>0</v>
      </c>
      <c r="P319" s="337"/>
      <c r="Q319" s="337">
        <v>30</v>
      </c>
      <c r="R319" s="337">
        <v>0</v>
      </c>
      <c r="S319" s="339">
        <v>0</v>
      </c>
      <c r="T319" s="339">
        <v>0</v>
      </c>
      <c r="U319" s="339">
        <v>0</v>
      </c>
      <c r="V319" s="339">
        <v>0</v>
      </c>
      <c r="W319" s="339">
        <v>0</v>
      </c>
      <c r="X319" s="339">
        <v>0</v>
      </c>
      <c r="Y319" s="339">
        <v>0</v>
      </c>
      <c r="Z319" s="339">
        <v>0</v>
      </c>
      <c r="AA319" s="339">
        <v>0</v>
      </c>
      <c r="AB319" s="339" t="e">
        <v>#DIV/0!</v>
      </c>
      <c r="AC319" s="342" t="e">
        <v>#DIV/0!</v>
      </c>
      <c r="AD319" s="342" t="e">
        <v>#DIV/0!</v>
      </c>
      <c r="AE319" s="342" t="e">
        <v>#DIV/0!</v>
      </c>
      <c r="AF319" s="342" t="e">
        <v>#DIV/0!</v>
      </c>
      <c r="AG319" s="332"/>
    </row>
    <row r="320" spans="1:33" s="333" customFormat="1" ht="18" customHeight="1">
      <c r="A320" s="337">
        <v>2</v>
      </c>
      <c r="B320" s="380" t="s">
        <v>995</v>
      </c>
      <c r="C320" s="338"/>
      <c r="D320" s="338">
        <v>1</v>
      </c>
      <c r="E320" s="338">
        <v>1</v>
      </c>
      <c r="F320" s="338">
        <v>1</v>
      </c>
      <c r="G320" s="338">
        <v>2.2000000000000002</v>
      </c>
      <c r="H320" s="338">
        <v>2.2000000000000002</v>
      </c>
      <c r="I320" s="337">
        <v>24</v>
      </c>
      <c r="J320" s="224" t="s">
        <v>996</v>
      </c>
      <c r="K320" s="337">
        <v>24</v>
      </c>
      <c r="L320" s="224" t="s">
        <v>996</v>
      </c>
      <c r="M320" s="337">
        <v>24</v>
      </c>
      <c r="N320" s="224" t="s">
        <v>996</v>
      </c>
      <c r="O320" s="337">
        <v>24</v>
      </c>
      <c r="P320" s="224" t="s">
        <v>996</v>
      </c>
      <c r="Q320" s="337">
        <v>30</v>
      </c>
      <c r="R320" s="337">
        <v>0</v>
      </c>
      <c r="S320" s="339">
        <v>0</v>
      </c>
      <c r="T320" s="339">
        <v>0</v>
      </c>
      <c r="U320" s="339">
        <v>0</v>
      </c>
      <c r="V320" s="339">
        <v>0</v>
      </c>
      <c r="W320" s="339">
        <v>0</v>
      </c>
      <c r="X320" s="339">
        <v>0</v>
      </c>
      <c r="Y320" s="339">
        <v>0</v>
      </c>
      <c r="Z320" s="339">
        <v>0</v>
      </c>
      <c r="AA320" s="339">
        <v>0</v>
      </c>
      <c r="AB320" s="339" t="e">
        <v>#DIV/0!</v>
      </c>
      <c r="AC320" s="342" t="e">
        <v>#DIV/0!</v>
      </c>
      <c r="AD320" s="342" t="e">
        <v>#DIV/0!</v>
      </c>
      <c r="AE320" s="342" t="e">
        <v>#DIV/0!</v>
      </c>
      <c r="AF320" s="342" t="e">
        <v>#DIV/0!</v>
      </c>
      <c r="AG320" s="332"/>
    </row>
    <row r="321" spans="1:33" s="333" customFormat="1" ht="18" customHeight="1">
      <c r="A321" s="337">
        <v>3</v>
      </c>
      <c r="B321" s="380" t="s">
        <v>997</v>
      </c>
      <c r="C321" s="338"/>
      <c r="D321" s="338">
        <v>1</v>
      </c>
      <c r="E321" s="338">
        <v>1</v>
      </c>
      <c r="F321" s="338">
        <v>1</v>
      </c>
      <c r="G321" s="338">
        <v>0.5</v>
      </c>
      <c r="H321" s="338">
        <v>0.5</v>
      </c>
      <c r="I321" s="337">
        <v>4</v>
      </c>
      <c r="J321" s="337" t="s">
        <v>998</v>
      </c>
      <c r="K321" s="337">
        <v>4</v>
      </c>
      <c r="L321" s="337" t="s">
        <v>998</v>
      </c>
      <c r="M321" s="337">
        <v>4</v>
      </c>
      <c r="N321" s="337" t="s">
        <v>998</v>
      </c>
      <c r="O321" s="337">
        <v>4</v>
      </c>
      <c r="P321" s="337" t="s">
        <v>998</v>
      </c>
      <c r="Q321" s="337">
        <v>30</v>
      </c>
      <c r="R321" s="337">
        <v>0</v>
      </c>
      <c r="S321" s="339">
        <v>0</v>
      </c>
      <c r="T321" s="339">
        <v>0</v>
      </c>
      <c r="U321" s="339">
        <v>0</v>
      </c>
      <c r="V321" s="339">
        <v>0</v>
      </c>
      <c r="W321" s="339">
        <v>0</v>
      </c>
      <c r="X321" s="339">
        <v>0</v>
      </c>
      <c r="Y321" s="339">
        <v>0</v>
      </c>
      <c r="Z321" s="339">
        <v>0</v>
      </c>
      <c r="AA321" s="339">
        <v>0</v>
      </c>
      <c r="AB321" s="339" t="e">
        <v>#DIV/0!</v>
      </c>
      <c r="AC321" s="342" t="e">
        <v>#DIV/0!</v>
      </c>
      <c r="AD321" s="342" t="e">
        <v>#DIV/0!</v>
      </c>
      <c r="AE321" s="342" t="e">
        <v>#DIV/0!</v>
      </c>
      <c r="AF321" s="342" t="e">
        <v>#DIV/0!</v>
      </c>
      <c r="AG321" s="332"/>
    </row>
    <row r="322" spans="1:33" s="333" customFormat="1" ht="18" customHeight="1">
      <c r="A322" s="337">
        <v>4</v>
      </c>
      <c r="B322" s="380" t="s">
        <v>999</v>
      </c>
      <c r="C322" s="338"/>
      <c r="D322" s="338">
        <v>1</v>
      </c>
      <c r="E322" s="338">
        <v>1</v>
      </c>
      <c r="F322" s="338">
        <v>1</v>
      </c>
      <c r="G322" s="338">
        <v>2.2000000000000002</v>
      </c>
      <c r="H322" s="338">
        <v>2.2000000000000002</v>
      </c>
      <c r="I322" s="337">
        <v>24</v>
      </c>
      <c r="J322" s="224" t="s">
        <v>996</v>
      </c>
      <c r="K322" s="337">
        <v>24</v>
      </c>
      <c r="L322" s="224" t="s">
        <v>996</v>
      </c>
      <c r="M322" s="337">
        <v>24</v>
      </c>
      <c r="N322" s="224" t="s">
        <v>996</v>
      </c>
      <c r="O322" s="337">
        <v>24</v>
      </c>
      <c r="P322" s="224" t="s">
        <v>996</v>
      </c>
      <c r="Q322" s="337">
        <v>30</v>
      </c>
      <c r="R322" s="337">
        <v>0</v>
      </c>
      <c r="S322" s="339">
        <v>0</v>
      </c>
      <c r="T322" s="339">
        <v>0</v>
      </c>
      <c r="U322" s="339">
        <v>0</v>
      </c>
      <c r="V322" s="339">
        <v>0</v>
      </c>
      <c r="W322" s="339">
        <v>0</v>
      </c>
      <c r="X322" s="339">
        <v>0</v>
      </c>
      <c r="Y322" s="339">
        <v>0</v>
      </c>
      <c r="Z322" s="339">
        <v>0</v>
      </c>
      <c r="AA322" s="339">
        <v>0</v>
      </c>
      <c r="AB322" s="339" t="e">
        <v>#DIV/0!</v>
      </c>
      <c r="AC322" s="342" t="e">
        <v>#DIV/0!</v>
      </c>
      <c r="AD322" s="342" t="e">
        <v>#DIV/0!</v>
      </c>
      <c r="AE322" s="342" t="e">
        <v>#DIV/0!</v>
      </c>
      <c r="AF322" s="342" t="e">
        <v>#DIV/0!</v>
      </c>
      <c r="AG322" s="332"/>
    </row>
    <row r="323" spans="1:33" s="333" customFormat="1" ht="18" customHeight="1">
      <c r="A323" s="337">
        <v>5</v>
      </c>
      <c r="B323" s="380" t="s">
        <v>1000</v>
      </c>
      <c r="C323" s="338"/>
      <c r="D323" s="338">
        <v>2</v>
      </c>
      <c r="E323" s="338">
        <v>2</v>
      </c>
      <c r="F323" s="338">
        <v>2</v>
      </c>
      <c r="G323" s="338">
        <v>8.4</v>
      </c>
      <c r="H323" s="338">
        <v>8.4</v>
      </c>
      <c r="I323" s="337">
        <v>4</v>
      </c>
      <c r="J323" s="337" t="s">
        <v>998</v>
      </c>
      <c r="K323" s="337">
        <v>4</v>
      </c>
      <c r="L323" s="337" t="s">
        <v>998</v>
      </c>
      <c r="M323" s="337">
        <v>4</v>
      </c>
      <c r="N323" s="337" t="s">
        <v>998</v>
      </c>
      <c r="O323" s="337">
        <v>4</v>
      </c>
      <c r="P323" s="337" t="s">
        <v>998</v>
      </c>
      <c r="Q323" s="337">
        <v>30</v>
      </c>
      <c r="R323" s="337">
        <v>0</v>
      </c>
      <c r="S323" s="339">
        <v>0</v>
      </c>
      <c r="T323" s="339">
        <v>0</v>
      </c>
      <c r="U323" s="339">
        <v>0</v>
      </c>
      <c r="V323" s="339">
        <v>0</v>
      </c>
      <c r="W323" s="339">
        <v>0</v>
      </c>
      <c r="X323" s="339">
        <v>0</v>
      </c>
      <c r="Y323" s="339">
        <v>0</v>
      </c>
      <c r="Z323" s="339">
        <v>0</v>
      </c>
      <c r="AA323" s="339">
        <v>0</v>
      </c>
      <c r="AB323" s="339" t="e">
        <v>#DIV/0!</v>
      </c>
      <c r="AC323" s="342" t="e">
        <v>#DIV/0!</v>
      </c>
      <c r="AD323" s="342" t="e">
        <v>#DIV/0!</v>
      </c>
      <c r="AE323" s="342" t="e">
        <v>#DIV/0!</v>
      </c>
      <c r="AF323" s="342" t="e">
        <v>#DIV/0!</v>
      </c>
      <c r="AG323" s="332"/>
    </row>
    <row r="324" spans="1:33" s="333" customFormat="1" ht="18" customHeight="1">
      <c r="A324" s="337">
        <v>6</v>
      </c>
      <c r="B324" s="380" t="s">
        <v>1001</v>
      </c>
      <c r="C324" s="338"/>
      <c r="D324" s="338">
        <v>4</v>
      </c>
      <c r="E324" s="338">
        <v>4</v>
      </c>
      <c r="F324" s="338">
        <v>4</v>
      </c>
      <c r="G324" s="338">
        <v>18</v>
      </c>
      <c r="H324" s="338">
        <v>18</v>
      </c>
      <c r="I324" s="337">
        <v>4</v>
      </c>
      <c r="J324" s="337" t="s">
        <v>998</v>
      </c>
      <c r="K324" s="337">
        <v>4</v>
      </c>
      <c r="L324" s="337" t="s">
        <v>998</v>
      </c>
      <c r="M324" s="337">
        <v>4</v>
      </c>
      <c r="N324" s="337" t="s">
        <v>998</v>
      </c>
      <c r="O324" s="337">
        <v>4</v>
      </c>
      <c r="P324" s="337" t="s">
        <v>998</v>
      </c>
      <c r="Q324" s="337">
        <v>30</v>
      </c>
      <c r="R324" s="337">
        <v>0</v>
      </c>
      <c r="S324" s="339">
        <v>0</v>
      </c>
      <c r="T324" s="339">
        <v>0</v>
      </c>
      <c r="U324" s="339">
        <v>0</v>
      </c>
      <c r="V324" s="339">
        <v>0</v>
      </c>
      <c r="W324" s="339">
        <v>0</v>
      </c>
      <c r="X324" s="339">
        <v>0</v>
      </c>
      <c r="Y324" s="339">
        <v>0</v>
      </c>
      <c r="Z324" s="339">
        <v>0</v>
      </c>
      <c r="AA324" s="339">
        <v>0</v>
      </c>
      <c r="AB324" s="339" t="e">
        <v>#DIV/0!</v>
      </c>
      <c r="AC324" s="342" t="e">
        <v>#DIV/0!</v>
      </c>
      <c r="AD324" s="342" t="e">
        <v>#DIV/0!</v>
      </c>
      <c r="AE324" s="342" t="e">
        <v>#DIV/0!</v>
      </c>
      <c r="AF324" s="342" t="e">
        <v>#DIV/0!</v>
      </c>
      <c r="AG324" s="332"/>
    </row>
    <row r="325" spans="1:33" s="333" customFormat="1" ht="18" customHeight="1">
      <c r="A325" s="337">
        <v>7</v>
      </c>
      <c r="B325" s="380" t="s">
        <v>1002</v>
      </c>
      <c r="C325" s="338"/>
      <c r="D325" s="338">
        <v>14</v>
      </c>
      <c r="E325" s="338">
        <v>14</v>
      </c>
      <c r="F325" s="338">
        <v>14</v>
      </c>
      <c r="G325" s="338">
        <v>0.8</v>
      </c>
      <c r="H325" s="338">
        <v>0.8</v>
      </c>
      <c r="I325" s="337">
        <v>24</v>
      </c>
      <c r="J325" s="224" t="s">
        <v>996</v>
      </c>
      <c r="K325" s="337">
        <v>24</v>
      </c>
      <c r="L325" s="224" t="s">
        <v>996</v>
      </c>
      <c r="M325" s="337">
        <v>24</v>
      </c>
      <c r="N325" s="224" t="s">
        <v>996</v>
      </c>
      <c r="O325" s="337">
        <v>24</v>
      </c>
      <c r="P325" s="224" t="s">
        <v>996</v>
      </c>
      <c r="Q325" s="337">
        <v>30</v>
      </c>
      <c r="R325" s="337">
        <v>0</v>
      </c>
      <c r="S325" s="339">
        <v>0</v>
      </c>
      <c r="T325" s="339">
        <v>0</v>
      </c>
      <c r="U325" s="339">
        <v>0</v>
      </c>
      <c r="V325" s="339">
        <v>0</v>
      </c>
      <c r="W325" s="339">
        <v>0</v>
      </c>
      <c r="X325" s="339">
        <v>0</v>
      </c>
      <c r="Y325" s="339">
        <v>0</v>
      </c>
      <c r="Z325" s="339">
        <v>0</v>
      </c>
      <c r="AA325" s="339">
        <v>0</v>
      </c>
      <c r="AB325" s="339" t="e">
        <v>#DIV/0!</v>
      </c>
      <c r="AC325" s="342" t="e">
        <v>#DIV/0!</v>
      </c>
      <c r="AD325" s="342" t="e">
        <v>#DIV/0!</v>
      </c>
      <c r="AE325" s="342" t="e">
        <v>#DIV/0!</v>
      </c>
      <c r="AF325" s="342" t="e">
        <v>#DIV/0!</v>
      </c>
      <c r="AG325" s="332"/>
    </row>
    <row r="326" spans="1:33" s="333" customFormat="1" ht="18" customHeight="1">
      <c r="A326" s="337">
        <v>8</v>
      </c>
      <c r="B326" s="380" t="s">
        <v>1003</v>
      </c>
      <c r="C326" s="338"/>
      <c r="D326" s="338">
        <v>9</v>
      </c>
      <c r="E326" s="338">
        <v>9</v>
      </c>
      <c r="F326" s="338">
        <v>9</v>
      </c>
      <c r="G326" s="338">
        <v>15</v>
      </c>
      <c r="H326" s="338">
        <v>15</v>
      </c>
      <c r="I326" s="337">
        <v>4</v>
      </c>
      <c r="J326" s="337" t="s">
        <v>998</v>
      </c>
      <c r="K326" s="337">
        <v>4</v>
      </c>
      <c r="L326" s="337" t="s">
        <v>998</v>
      </c>
      <c r="M326" s="337">
        <v>4</v>
      </c>
      <c r="N326" s="337" t="s">
        <v>998</v>
      </c>
      <c r="O326" s="337">
        <v>4</v>
      </c>
      <c r="P326" s="337" t="s">
        <v>998</v>
      </c>
      <c r="Q326" s="337">
        <v>30</v>
      </c>
      <c r="R326" s="337">
        <v>0</v>
      </c>
      <c r="S326" s="339">
        <v>0</v>
      </c>
      <c r="T326" s="339">
        <v>0</v>
      </c>
      <c r="U326" s="339">
        <v>0</v>
      </c>
      <c r="V326" s="339">
        <v>0</v>
      </c>
      <c r="W326" s="339">
        <v>0</v>
      </c>
      <c r="X326" s="339">
        <v>0</v>
      </c>
      <c r="Y326" s="339">
        <v>0</v>
      </c>
      <c r="Z326" s="339">
        <v>0</v>
      </c>
      <c r="AA326" s="339">
        <v>0</v>
      </c>
      <c r="AB326" s="339" t="e">
        <v>#DIV/0!</v>
      </c>
      <c r="AC326" s="342" t="e">
        <v>#DIV/0!</v>
      </c>
      <c r="AD326" s="342" t="e">
        <v>#DIV/0!</v>
      </c>
      <c r="AE326" s="342" t="e">
        <v>#DIV/0!</v>
      </c>
      <c r="AF326" s="342" t="e">
        <v>#DIV/0!</v>
      </c>
      <c r="AG326" s="332"/>
    </row>
    <row r="327" spans="1:33" s="333" customFormat="1" ht="18" customHeight="1">
      <c r="A327" s="337">
        <v>9</v>
      </c>
      <c r="B327" s="380" t="s">
        <v>1391</v>
      </c>
      <c r="C327" s="338"/>
      <c r="D327" s="338">
        <v>2</v>
      </c>
      <c r="E327" s="338">
        <v>2</v>
      </c>
      <c r="F327" s="338">
        <v>2</v>
      </c>
      <c r="G327" s="338">
        <v>24</v>
      </c>
      <c r="H327" s="338">
        <v>24</v>
      </c>
      <c r="I327" s="337">
        <v>4</v>
      </c>
      <c r="J327" s="337" t="s">
        <v>998</v>
      </c>
      <c r="K327" s="337">
        <v>4</v>
      </c>
      <c r="L327" s="337" t="s">
        <v>998</v>
      </c>
      <c r="M327" s="337">
        <v>4</v>
      </c>
      <c r="N327" s="337" t="s">
        <v>998</v>
      </c>
      <c r="O327" s="337">
        <v>4</v>
      </c>
      <c r="P327" s="337" t="s">
        <v>998</v>
      </c>
      <c r="Q327" s="337">
        <v>30</v>
      </c>
      <c r="R327" s="337">
        <v>0</v>
      </c>
      <c r="S327" s="339">
        <v>0</v>
      </c>
      <c r="T327" s="339">
        <v>0</v>
      </c>
      <c r="U327" s="339">
        <v>0</v>
      </c>
      <c r="V327" s="339">
        <v>0</v>
      </c>
      <c r="W327" s="339">
        <v>0</v>
      </c>
      <c r="X327" s="339">
        <v>0</v>
      </c>
      <c r="Y327" s="339">
        <v>0</v>
      </c>
      <c r="Z327" s="339">
        <v>0</v>
      </c>
      <c r="AA327" s="339">
        <v>0</v>
      </c>
      <c r="AB327" s="339" t="e">
        <v>#DIV/0!</v>
      </c>
      <c r="AC327" s="342" t="e">
        <v>#DIV/0!</v>
      </c>
      <c r="AD327" s="342" t="e">
        <v>#DIV/0!</v>
      </c>
      <c r="AE327" s="342" t="e">
        <v>#DIV/0!</v>
      </c>
      <c r="AF327" s="342" t="e">
        <v>#DIV/0!</v>
      </c>
      <c r="AG327" s="332"/>
    </row>
    <row r="328" spans="1:33" s="333" customFormat="1" ht="18" customHeight="1">
      <c r="A328" s="337">
        <v>10</v>
      </c>
      <c r="B328" s="380" t="s">
        <v>1380</v>
      </c>
      <c r="C328" s="338"/>
      <c r="D328" s="338">
        <v>3</v>
      </c>
      <c r="E328" s="338">
        <v>3</v>
      </c>
      <c r="F328" s="338">
        <v>3</v>
      </c>
      <c r="G328" s="360">
        <v>15</v>
      </c>
      <c r="H328" s="360">
        <v>15</v>
      </c>
      <c r="I328" s="337">
        <v>4</v>
      </c>
      <c r="J328" s="337" t="s">
        <v>998</v>
      </c>
      <c r="K328" s="337">
        <v>4</v>
      </c>
      <c r="L328" s="337" t="s">
        <v>998</v>
      </c>
      <c r="M328" s="337">
        <v>4</v>
      </c>
      <c r="N328" s="337" t="s">
        <v>998</v>
      </c>
      <c r="O328" s="337">
        <v>4</v>
      </c>
      <c r="P328" s="337" t="s">
        <v>998</v>
      </c>
      <c r="Q328" s="337">
        <v>30</v>
      </c>
      <c r="R328" s="337">
        <v>0</v>
      </c>
      <c r="S328" s="339">
        <v>0</v>
      </c>
      <c r="T328" s="339">
        <v>0</v>
      </c>
      <c r="U328" s="339">
        <v>0</v>
      </c>
      <c r="V328" s="339">
        <v>0</v>
      </c>
      <c r="W328" s="339">
        <v>0</v>
      </c>
      <c r="X328" s="339">
        <v>0</v>
      </c>
      <c r="Y328" s="339">
        <v>0</v>
      </c>
      <c r="Z328" s="339">
        <v>0</v>
      </c>
      <c r="AA328" s="339">
        <v>0</v>
      </c>
      <c r="AB328" s="339" t="e">
        <v>#DIV/0!</v>
      </c>
      <c r="AC328" s="342" t="e">
        <v>#DIV/0!</v>
      </c>
      <c r="AD328" s="342" t="e">
        <v>#DIV/0!</v>
      </c>
      <c r="AE328" s="342" t="e">
        <v>#DIV/0!</v>
      </c>
      <c r="AF328" s="342" t="e">
        <v>#DIV/0!</v>
      </c>
      <c r="AG328" s="332"/>
    </row>
    <row r="329" spans="1:33" s="333" customFormat="1" ht="18" customHeight="1">
      <c r="A329" s="337">
        <v>11</v>
      </c>
      <c r="B329" s="380" t="s">
        <v>1271</v>
      </c>
      <c r="C329" s="338"/>
      <c r="D329" s="338">
        <v>2</v>
      </c>
      <c r="E329" s="338">
        <v>2</v>
      </c>
      <c r="F329" s="338">
        <v>2</v>
      </c>
      <c r="G329" s="338">
        <v>12</v>
      </c>
      <c r="H329" s="338">
        <v>12</v>
      </c>
      <c r="I329" s="337">
        <v>4</v>
      </c>
      <c r="J329" s="337" t="s">
        <v>998</v>
      </c>
      <c r="K329" s="337">
        <v>4</v>
      </c>
      <c r="L329" s="337" t="s">
        <v>998</v>
      </c>
      <c r="M329" s="337">
        <v>4</v>
      </c>
      <c r="N329" s="337" t="s">
        <v>998</v>
      </c>
      <c r="O329" s="337">
        <v>4</v>
      </c>
      <c r="P329" s="337" t="s">
        <v>998</v>
      </c>
      <c r="Q329" s="337">
        <v>30</v>
      </c>
      <c r="R329" s="337">
        <v>0</v>
      </c>
      <c r="S329" s="339">
        <v>0</v>
      </c>
      <c r="T329" s="339">
        <v>0</v>
      </c>
      <c r="U329" s="339">
        <v>0</v>
      </c>
      <c r="V329" s="339">
        <v>0</v>
      </c>
      <c r="W329" s="339">
        <v>0</v>
      </c>
      <c r="X329" s="339">
        <v>0</v>
      </c>
      <c r="Y329" s="339">
        <v>0</v>
      </c>
      <c r="Z329" s="339">
        <v>0</v>
      </c>
      <c r="AA329" s="339">
        <v>0</v>
      </c>
      <c r="AB329" s="339" t="e">
        <v>#DIV/0!</v>
      </c>
      <c r="AC329" s="342" t="e">
        <v>#DIV/0!</v>
      </c>
      <c r="AD329" s="342" t="e">
        <v>#DIV/0!</v>
      </c>
      <c r="AE329" s="342" t="e">
        <v>#DIV/0!</v>
      </c>
      <c r="AF329" s="342" t="e">
        <v>#DIV/0!</v>
      </c>
      <c r="AG329" s="332"/>
    </row>
    <row r="330" spans="1:33" s="333" customFormat="1" ht="18" customHeight="1">
      <c r="A330" s="337">
        <v>12</v>
      </c>
      <c r="B330" s="380" t="s">
        <v>1004</v>
      </c>
      <c r="C330" s="338"/>
      <c r="D330" s="338">
        <v>1</v>
      </c>
      <c r="E330" s="338">
        <v>1</v>
      </c>
      <c r="F330" s="338">
        <v>1</v>
      </c>
      <c r="G330" s="338">
        <v>36</v>
      </c>
      <c r="H330" s="338">
        <v>36</v>
      </c>
      <c r="I330" s="337">
        <v>4</v>
      </c>
      <c r="J330" s="337" t="s">
        <v>998</v>
      </c>
      <c r="K330" s="337">
        <v>4</v>
      </c>
      <c r="L330" s="337" t="s">
        <v>998</v>
      </c>
      <c r="M330" s="337">
        <v>4</v>
      </c>
      <c r="N330" s="337" t="s">
        <v>998</v>
      </c>
      <c r="O330" s="337">
        <v>4</v>
      </c>
      <c r="P330" s="337" t="s">
        <v>998</v>
      </c>
      <c r="Q330" s="337">
        <v>30</v>
      </c>
      <c r="R330" s="337">
        <v>0</v>
      </c>
      <c r="S330" s="339">
        <v>0</v>
      </c>
      <c r="T330" s="339">
        <v>0</v>
      </c>
      <c r="U330" s="339">
        <v>0</v>
      </c>
      <c r="V330" s="339">
        <v>0</v>
      </c>
      <c r="W330" s="339">
        <v>0</v>
      </c>
      <c r="X330" s="339">
        <v>0</v>
      </c>
      <c r="Y330" s="339">
        <v>0</v>
      </c>
      <c r="Z330" s="339">
        <v>0</v>
      </c>
      <c r="AA330" s="339">
        <v>0</v>
      </c>
      <c r="AB330" s="339" t="e">
        <v>#DIV/0!</v>
      </c>
      <c r="AC330" s="342" t="e">
        <v>#DIV/0!</v>
      </c>
      <c r="AD330" s="342" t="e">
        <v>#DIV/0!</v>
      </c>
      <c r="AE330" s="342" t="e">
        <v>#DIV/0!</v>
      </c>
      <c r="AF330" s="342" t="e">
        <v>#DIV/0!</v>
      </c>
      <c r="AG330" s="332"/>
    </row>
    <row r="331" spans="1:33" s="333" customFormat="1" ht="18" customHeight="1">
      <c r="A331" s="337">
        <v>13</v>
      </c>
      <c r="B331" s="380" t="s">
        <v>1005</v>
      </c>
      <c r="C331" s="338"/>
      <c r="D331" s="338">
        <v>2</v>
      </c>
      <c r="E331" s="338">
        <v>2</v>
      </c>
      <c r="F331" s="338">
        <v>2</v>
      </c>
      <c r="G331" s="338">
        <v>12</v>
      </c>
      <c r="H331" s="338">
        <v>12</v>
      </c>
      <c r="I331" s="337">
        <v>4</v>
      </c>
      <c r="J331" s="337" t="s">
        <v>998</v>
      </c>
      <c r="K331" s="337">
        <v>4</v>
      </c>
      <c r="L331" s="337" t="s">
        <v>998</v>
      </c>
      <c r="M331" s="337">
        <v>4</v>
      </c>
      <c r="N331" s="337" t="s">
        <v>998</v>
      </c>
      <c r="O331" s="337">
        <v>4</v>
      </c>
      <c r="P331" s="337" t="s">
        <v>998</v>
      </c>
      <c r="Q331" s="337">
        <v>30</v>
      </c>
      <c r="R331" s="337">
        <v>0</v>
      </c>
      <c r="S331" s="339">
        <v>0</v>
      </c>
      <c r="T331" s="339">
        <v>0</v>
      </c>
      <c r="U331" s="339">
        <v>0</v>
      </c>
      <c r="V331" s="339">
        <v>0</v>
      </c>
      <c r="W331" s="339">
        <v>0</v>
      </c>
      <c r="X331" s="339">
        <v>0</v>
      </c>
      <c r="Y331" s="339">
        <v>0</v>
      </c>
      <c r="Z331" s="339">
        <v>0</v>
      </c>
      <c r="AA331" s="339">
        <v>0</v>
      </c>
      <c r="AB331" s="339" t="e">
        <v>#DIV/0!</v>
      </c>
      <c r="AC331" s="342" t="e">
        <v>#DIV/0!</v>
      </c>
      <c r="AD331" s="342" t="e">
        <v>#DIV/0!</v>
      </c>
      <c r="AE331" s="342" t="e">
        <v>#DIV/0!</v>
      </c>
      <c r="AF331" s="342" t="e">
        <v>#DIV/0!</v>
      </c>
      <c r="AG331" s="332"/>
    </row>
    <row r="332" spans="1:33" s="333" customFormat="1" ht="18" customHeight="1">
      <c r="A332" s="337">
        <v>14</v>
      </c>
      <c r="B332" s="380" t="s">
        <v>1006</v>
      </c>
      <c r="C332" s="338"/>
      <c r="D332" s="338">
        <v>3</v>
      </c>
      <c r="E332" s="338">
        <v>3</v>
      </c>
      <c r="F332" s="338">
        <v>3</v>
      </c>
      <c r="G332" s="338">
        <v>36</v>
      </c>
      <c r="H332" s="338">
        <v>36</v>
      </c>
      <c r="I332" s="337">
        <v>4</v>
      </c>
      <c r="J332" s="337" t="s">
        <v>998</v>
      </c>
      <c r="K332" s="337">
        <v>4</v>
      </c>
      <c r="L332" s="337" t="s">
        <v>998</v>
      </c>
      <c r="M332" s="337">
        <v>4</v>
      </c>
      <c r="N332" s="337" t="s">
        <v>998</v>
      </c>
      <c r="O332" s="337">
        <v>4</v>
      </c>
      <c r="P332" s="337" t="s">
        <v>998</v>
      </c>
      <c r="Q332" s="337">
        <v>30</v>
      </c>
      <c r="R332" s="337">
        <v>0</v>
      </c>
      <c r="S332" s="339">
        <v>0</v>
      </c>
      <c r="T332" s="339">
        <v>0</v>
      </c>
      <c r="U332" s="339">
        <v>0</v>
      </c>
      <c r="V332" s="339">
        <v>0</v>
      </c>
      <c r="W332" s="339">
        <v>0</v>
      </c>
      <c r="X332" s="339">
        <v>0</v>
      </c>
      <c r="Y332" s="339">
        <v>0</v>
      </c>
      <c r="Z332" s="339">
        <v>0</v>
      </c>
      <c r="AA332" s="339">
        <v>0</v>
      </c>
      <c r="AB332" s="339" t="e">
        <v>#DIV/0!</v>
      </c>
      <c r="AC332" s="342" t="e">
        <v>#DIV/0!</v>
      </c>
      <c r="AD332" s="342" t="e">
        <v>#DIV/0!</v>
      </c>
      <c r="AE332" s="342" t="e">
        <v>#DIV/0!</v>
      </c>
      <c r="AF332" s="342" t="e">
        <v>#DIV/0!</v>
      </c>
      <c r="AG332" s="332"/>
    </row>
    <row r="333" spans="1:33" s="333" customFormat="1" ht="18" customHeight="1">
      <c r="A333" s="337">
        <v>15</v>
      </c>
      <c r="B333" s="380" t="s">
        <v>1008</v>
      </c>
      <c r="C333" s="338"/>
      <c r="D333" s="338">
        <v>4</v>
      </c>
      <c r="E333" s="338">
        <v>4</v>
      </c>
      <c r="F333" s="338">
        <v>4</v>
      </c>
      <c r="G333" s="360">
        <v>36</v>
      </c>
      <c r="H333" s="360">
        <v>36</v>
      </c>
      <c r="I333" s="337">
        <v>4</v>
      </c>
      <c r="J333" s="337" t="s">
        <v>998</v>
      </c>
      <c r="K333" s="337">
        <v>4</v>
      </c>
      <c r="L333" s="337" t="s">
        <v>998</v>
      </c>
      <c r="M333" s="337">
        <v>4</v>
      </c>
      <c r="N333" s="337" t="s">
        <v>998</v>
      </c>
      <c r="O333" s="337">
        <v>4</v>
      </c>
      <c r="P333" s="337" t="s">
        <v>998</v>
      </c>
      <c r="Q333" s="337">
        <v>30</v>
      </c>
      <c r="R333" s="337">
        <v>0</v>
      </c>
      <c r="S333" s="339">
        <v>0</v>
      </c>
      <c r="T333" s="339">
        <v>0</v>
      </c>
      <c r="U333" s="339">
        <v>0</v>
      </c>
      <c r="V333" s="339">
        <v>0</v>
      </c>
      <c r="W333" s="339">
        <v>0</v>
      </c>
      <c r="X333" s="339">
        <v>0</v>
      </c>
      <c r="Y333" s="339">
        <v>0</v>
      </c>
      <c r="Z333" s="339">
        <v>0</v>
      </c>
      <c r="AA333" s="339">
        <v>0</v>
      </c>
      <c r="AB333" s="339" t="e">
        <v>#DIV/0!</v>
      </c>
      <c r="AC333" s="342" t="e">
        <v>#DIV/0!</v>
      </c>
      <c r="AD333" s="342" t="e">
        <v>#DIV/0!</v>
      </c>
      <c r="AE333" s="342" t="e">
        <v>#DIV/0!</v>
      </c>
      <c r="AF333" s="342" t="e">
        <v>#DIV/0!</v>
      </c>
      <c r="AG333" s="332"/>
    </row>
    <row r="334" spans="1:33" s="333" customFormat="1" ht="18" customHeight="1">
      <c r="A334" s="337">
        <v>16</v>
      </c>
      <c r="B334" s="380" t="s">
        <v>1381</v>
      </c>
      <c r="C334" s="338"/>
      <c r="D334" s="338">
        <v>6</v>
      </c>
      <c r="E334" s="338">
        <v>6</v>
      </c>
      <c r="F334" s="338">
        <v>6</v>
      </c>
      <c r="G334" s="338">
        <v>1.2</v>
      </c>
      <c r="H334" s="338">
        <v>1.2</v>
      </c>
      <c r="I334" s="337">
        <v>4</v>
      </c>
      <c r="J334" s="337" t="s">
        <v>998</v>
      </c>
      <c r="K334" s="337">
        <v>4</v>
      </c>
      <c r="L334" s="337" t="s">
        <v>998</v>
      </c>
      <c r="M334" s="337">
        <v>4</v>
      </c>
      <c r="N334" s="337" t="s">
        <v>998</v>
      </c>
      <c r="O334" s="337">
        <v>4</v>
      </c>
      <c r="P334" s="337" t="s">
        <v>998</v>
      </c>
      <c r="Q334" s="337">
        <v>30</v>
      </c>
      <c r="R334" s="337">
        <v>0</v>
      </c>
      <c r="S334" s="339">
        <v>0</v>
      </c>
      <c r="T334" s="339">
        <v>0</v>
      </c>
      <c r="U334" s="339">
        <v>0</v>
      </c>
      <c r="V334" s="339">
        <v>0</v>
      </c>
      <c r="W334" s="339">
        <v>0</v>
      </c>
      <c r="X334" s="339">
        <v>0</v>
      </c>
      <c r="Y334" s="339">
        <v>0</v>
      </c>
      <c r="Z334" s="339">
        <v>0</v>
      </c>
      <c r="AA334" s="339">
        <v>0</v>
      </c>
      <c r="AB334" s="339" t="e">
        <v>#DIV/0!</v>
      </c>
      <c r="AC334" s="342" t="e">
        <v>#DIV/0!</v>
      </c>
      <c r="AD334" s="342" t="e">
        <v>#DIV/0!</v>
      </c>
      <c r="AE334" s="342" t="e">
        <v>#DIV/0!</v>
      </c>
      <c r="AF334" s="342" t="e">
        <v>#DIV/0!</v>
      </c>
      <c r="AG334" s="332"/>
    </row>
    <row r="335" spans="1:33" s="333" customFormat="1" ht="18" customHeight="1">
      <c r="A335" s="337">
        <v>17</v>
      </c>
      <c r="B335" s="380" t="s">
        <v>1009</v>
      </c>
      <c r="C335" s="338"/>
      <c r="D335" s="338">
        <v>4</v>
      </c>
      <c r="E335" s="338">
        <v>4</v>
      </c>
      <c r="F335" s="338">
        <v>4</v>
      </c>
      <c r="G335" s="338">
        <v>0.25</v>
      </c>
      <c r="H335" s="338">
        <v>0.25</v>
      </c>
      <c r="I335" s="337">
        <v>4</v>
      </c>
      <c r="J335" s="337" t="s">
        <v>998</v>
      </c>
      <c r="K335" s="337">
        <v>4</v>
      </c>
      <c r="L335" s="337" t="s">
        <v>998</v>
      </c>
      <c r="M335" s="337">
        <v>4</v>
      </c>
      <c r="N335" s="337" t="s">
        <v>998</v>
      </c>
      <c r="O335" s="337">
        <v>4</v>
      </c>
      <c r="P335" s="337" t="s">
        <v>998</v>
      </c>
      <c r="Q335" s="337">
        <v>30</v>
      </c>
      <c r="R335" s="337">
        <v>0</v>
      </c>
      <c r="S335" s="339">
        <v>0</v>
      </c>
      <c r="T335" s="339">
        <v>0</v>
      </c>
      <c r="U335" s="339">
        <v>0</v>
      </c>
      <c r="V335" s="339">
        <v>0</v>
      </c>
      <c r="W335" s="339">
        <v>0</v>
      </c>
      <c r="X335" s="339">
        <v>0</v>
      </c>
      <c r="Y335" s="339">
        <v>0</v>
      </c>
      <c r="Z335" s="339">
        <v>0</v>
      </c>
      <c r="AA335" s="339">
        <v>0</v>
      </c>
      <c r="AB335" s="339" t="e">
        <v>#DIV/0!</v>
      </c>
      <c r="AC335" s="342" t="e">
        <v>#DIV/0!</v>
      </c>
      <c r="AD335" s="342" t="e">
        <v>#DIV/0!</v>
      </c>
      <c r="AE335" s="342" t="e">
        <v>#DIV/0!</v>
      </c>
      <c r="AF335" s="342" t="e">
        <v>#DIV/0!</v>
      </c>
      <c r="AG335" s="332"/>
    </row>
    <row r="336" spans="1:33" s="333" customFormat="1" ht="18" customHeight="1">
      <c r="A336" s="337">
        <v>18</v>
      </c>
      <c r="B336" s="380" t="s">
        <v>1010</v>
      </c>
      <c r="C336" s="338"/>
      <c r="D336" s="338">
        <v>3</v>
      </c>
      <c r="E336" s="338">
        <v>3</v>
      </c>
      <c r="F336" s="338">
        <v>3</v>
      </c>
      <c r="G336" s="338">
        <v>0.1</v>
      </c>
      <c r="H336" s="338">
        <v>0.1</v>
      </c>
      <c r="I336" s="337">
        <v>24</v>
      </c>
      <c r="J336" s="337" t="s">
        <v>996</v>
      </c>
      <c r="K336" s="337">
        <v>24</v>
      </c>
      <c r="L336" s="337"/>
      <c r="M336" s="337">
        <v>24</v>
      </c>
      <c r="N336" s="337"/>
      <c r="O336" s="337">
        <v>24</v>
      </c>
      <c r="P336" s="337"/>
      <c r="Q336" s="337">
        <v>30</v>
      </c>
      <c r="R336" s="337">
        <v>0</v>
      </c>
      <c r="S336" s="339">
        <v>0</v>
      </c>
      <c r="T336" s="339">
        <v>0</v>
      </c>
      <c r="U336" s="339">
        <v>0</v>
      </c>
      <c r="V336" s="339">
        <v>0</v>
      </c>
      <c r="W336" s="339">
        <v>0</v>
      </c>
      <c r="X336" s="339">
        <v>0</v>
      </c>
      <c r="Y336" s="339">
        <v>0</v>
      </c>
      <c r="Z336" s="339">
        <v>0</v>
      </c>
      <c r="AA336" s="339">
        <v>0</v>
      </c>
      <c r="AB336" s="339" t="e">
        <v>#DIV/0!</v>
      </c>
      <c r="AC336" s="342" t="e">
        <v>#DIV/0!</v>
      </c>
      <c r="AD336" s="342" t="e">
        <v>#DIV/0!</v>
      </c>
      <c r="AE336" s="342" t="e">
        <v>#DIV/0!</v>
      </c>
      <c r="AF336" s="342" t="e">
        <v>#DIV/0!</v>
      </c>
      <c r="AG336" s="332"/>
    </row>
    <row r="337" spans="1:33" s="333" customFormat="1" ht="18" customHeight="1">
      <c r="A337" s="337">
        <v>19</v>
      </c>
      <c r="B337" s="380" t="s">
        <v>1392</v>
      </c>
      <c r="C337" s="338"/>
      <c r="D337" s="338">
        <v>2</v>
      </c>
      <c r="E337" s="338">
        <v>2</v>
      </c>
      <c r="F337" s="338">
        <v>2</v>
      </c>
      <c r="G337" s="338">
        <v>0.5</v>
      </c>
      <c r="H337" s="338">
        <v>0.5</v>
      </c>
      <c r="I337" s="337">
        <v>4</v>
      </c>
      <c r="J337" s="337" t="s">
        <v>998</v>
      </c>
      <c r="K337" s="337">
        <v>4</v>
      </c>
      <c r="L337" s="337" t="s">
        <v>998</v>
      </c>
      <c r="M337" s="337">
        <v>4</v>
      </c>
      <c r="N337" s="337" t="s">
        <v>998</v>
      </c>
      <c r="O337" s="337">
        <v>4</v>
      </c>
      <c r="P337" s="337" t="s">
        <v>998</v>
      </c>
      <c r="Q337" s="337">
        <v>30</v>
      </c>
      <c r="R337" s="337">
        <v>0</v>
      </c>
      <c r="S337" s="339">
        <v>0</v>
      </c>
      <c r="T337" s="339">
        <v>0</v>
      </c>
      <c r="U337" s="339">
        <v>0</v>
      </c>
      <c r="V337" s="339">
        <v>0</v>
      </c>
      <c r="W337" s="339">
        <v>0</v>
      </c>
      <c r="X337" s="339">
        <v>0</v>
      </c>
      <c r="Y337" s="339">
        <v>0</v>
      </c>
      <c r="Z337" s="339">
        <v>0</v>
      </c>
      <c r="AA337" s="339">
        <v>0</v>
      </c>
      <c r="AB337" s="339" t="e">
        <v>#DIV/0!</v>
      </c>
      <c r="AC337" s="342" t="e">
        <v>#DIV/0!</v>
      </c>
      <c r="AD337" s="342" t="e">
        <v>#DIV/0!</v>
      </c>
      <c r="AE337" s="342" t="e">
        <v>#DIV/0!</v>
      </c>
      <c r="AF337" s="342" t="e">
        <v>#DIV/0!</v>
      </c>
      <c r="AG337" s="332"/>
    </row>
    <row r="338" spans="1:33" s="333" customFormat="1" ht="18" customHeight="1">
      <c r="A338" s="337">
        <v>20</v>
      </c>
      <c r="B338" s="380" t="s">
        <v>1393</v>
      </c>
      <c r="C338" s="338"/>
      <c r="D338" s="338">
        <v>9</v>
      </c>
      <c r="E338" s="338">
        <v>9</v>
      </c>
      <c r="F338" s="338">
        <v>9</v>
      </c>
      <c r="G338" s="338">
        <v>4</v>
      </c>
      <c r="H338" s="338">
        <v>4</v>
      </c>
      <c r="I338" s="337">
        <v>4</v>
      </c>
      <c r="J338" s="337" t="s">
        <v>998</v>
      </c>
      <c r="K338" s="337">
        <v>4</v>
      </c>
      <c r="L338" s="337" t="s">
        <v>998</v>
      </c>
      <c r="M338" s="337">
        <v>4</v>
      </c>
      <c r="N338" s="337" t="s">
        <v>998</v>
      </c>
      <c r="O338" s="337">
        <v>4</v>
      </c>
      <c r="P338" s="337" t="s">
        <v>998</v>
      </c>
      <c r="Q338" s="337">
        <v>30</v>
      </c>
      <c r="R338" s="337">
        <v>0</v>
      </c>
      <c r="S338" s="339">
        <v>0</v>
      </c>
      <c r="T338" s="339">
        <v>0</v>
      </c>
      <c r="U338" s="339">
        <v>0</v>
      </c>
      <c r="V338" s="339">
        <v>0</v>
      </c>
      <c r="W338" s="339">
        <v>0</v>
      </c>
      <c r="X338" s="339">
        <v>0</v>
      </c>
      <c r="Y338" s="339">
        <v>0</v>
      </c>
      <c r="Z338" s="339">
        <v>0</v>
      </c>
      <c r="AA338" s="339">
        <v>0</v>
      </c>
      <c r="AB338" s="339" t="e">
        <v>#DIV/0!</v>
      </c>
      <c r="AC338" s="342" t="e">
        <v>#DIV/0!</v>
      </c>
      <c r="AD338" s="342" t="e">
        <v>#DIV/0!</v>
      </c>
      <c r="AE338" s="342" t="e">
        <v>#DIV/0!</v>
      </c>
      <c r="AF338" s="342" t="e">
        <v>#DIV/0!</v>
      </c>
      <c r="AG338" s="332"/>
    </row>
    <row r="339" spans="1:33" s="333" customFormat="1" ht="18" customHeight="1">
      <c r="A339" s="337">
        <v>21</v>
      </c>
      <c r="B339" s="380" t="s">
        <v>1394</v>
      </c>
      <c r="C339" s="338"/>
      <c r="D339" s="338">
        <v>5</v>
      </c>
      <c r="E339" s="338">
        <v>5</v>
      </c>
      <c r="F339" s="338">
        <v>5</v>
      </c>
      <c r="G339" s="338">
        <v>2.2000000000000002</v>
      </c>
      <c r="H339" s="338">
        <v>2.2000000000000002</v>
      </c>
      <c r="I339" s="337">
        <v>4</v>
      </c>
      <c r="J339" s="337" t="s">
        <v>998</v>
      </c>
      <c r="K339" s="337">
        <v>4</v>
      </c>
      <c r="L339" s="337" t="s">
        <v>998</v>
      </c>
      <c r="M339" s="337">
        <v>4</v>
      </c>
      <c r="N339" s="337" t="s">
        <v>998</v>
      </c>
      <c r="O339" s="337">
        <v>4</v>
      </c>
      <c r="P339" s="337" t="s">
        <v>998</v>
      </c>
      <c r="Q339" s="337">
        <v>30</v>
      </c>
      <c r="R339" s="337">
        <v>0</v>
      </c>
      <c r="S339" s="339">
        <v>0</v>
      </c>
      <c r="T339" s="339">
        <v>0</v>
      </c>
      <c r="U339" s="339">
        <v>0</v>
      </c>
      <c r="V339" s="339">
        <v>0</v>
      </c>
      <c r="W339" s="339">
        <v>0</v>
      </c>
      <c r="X339" s="339">
        <v>0</v>
      </c>
      <c r="Y339" s="339">
        <v>0</v>
      </c>
      <c r="Z339" s="339">
        <v>0</v>
      </c>
      <c r="AA339" s="339">
        <v>0</v>
      </c>
      <c r="AB339" s="339" t="e">
        <v>#DIV/0!</v>
      </c>
      <c r="AC339" s="342" t="e">
        <v>#DIV/0!</v>
      </c>
      <c r="AD339" s="342" t="e">
        <v>#DIV/0!</v>
      </c>
      <c r="AE339" s="342" t="e">
        <v>#DIV/0!</v>
      </c>
      <c r="AF339" s="342" t="e">
        <v>#DIV/0!</v>
      </c>
      <c r="AG339" s="332"/>
    </row>
    <row r="340" spans="1:33" s="333" customFormat="1" ht="18" customHeight="1">
      <c r="A340" s="337">
        <v>22</v>
      </c>
      <c r="B340" s="380" t="s">
        <v>1011</v>
      </c>
      <c r="C340" s="338"/>
      <c r="D340" s="338">
        <v>1</v>
      </c>
      <c r="E340" s="338">
        <v>1</v>
      </c>
      <c r="F340" s="338">
        <v>1</v>
      </c>
      <c r="G340" s="338">
        <v>2.2000000000000002</v>
      </c>
      <c r="H340" s="338">
        <v>2.2000000000000002</v>
      </c>
      <c r="I340" s="337">
        <v>12</v>
      </c>
      <c r="J340" s="337" t="s">
        <v>998</v>
      </c>
      <c r="K340" s="337">
        <v>12</v>
      </c>
      <c r="L340" s="337" t="s">
        <v>998</v>
      </c>
      <c r="M340" s="337">
        <v>12</v>
      </c>
      <c r="N340" s="337" t="s">
        <v>998</v>
      </c>
      <c r="O340" s="337">
        <v>12</v>
      </c>
      <c r="P340" s="337" t="s">
        <v>998</v>
      </c>
      <c r="Q340" s="337">
        <v>30</v>
      </c>
      <c r="R340" s="337">
        <v>0</v>
      </c>
      <c r="S340" s="339">
        <v>0</v>
      </c>
      <c r="T340" s="339">
        <v>0</v>
      </c>
      <c r="U340" s="339">
        <v>0</v>
      </c>
      <c r="V340" s="339">
        <v>0</v>
      </c>
      <c r="W340" s="339">
        <v>0</v>
      </c>
      <c r="X340" s="339">
        <v>0</v>
      </c>
      <c r="Y340" s="339">
        <v>0</v>
      </c>
      <c r="Z340" s="339">
        <v>0</v>
      </c>
      <c r="AA340" s="339">
        <v>0</v>
      </c>
      <c r="AB340" s="339" t="e">
        <v>#DIV/0!</v>
      </c>
      <c r="AC340" s="342" t="e">
        <v>#DIV/0!</v>
      </c>
      <c r="AD340" s="342" t="e">
        <v>#DIV/0!</v>
      </c>
      <c r="AE340" s="342" t="e">
        <v>#DIV/0!</v>
      </c>
      <c r="AF340" s="342" t="e">
        <v>#DIV/0!</v>
      </c>
      <c r="AG340" s="332"/>
    </row>
    <row r="341" spans="1:33" s="333" customFormat="1" ht="18" customHeight="1">
      <c r="A341" s="337">
        <v>23</v>
      </c>
      <c r="B341" s="380" t="s">
        <v>1013</v>
      </c>
      <c r="C341" s="338"/>
      <c r="D341" s="338">
        <v>1</v>
      </c>
      <c r="E341" s="338">
        <v>1</v>
      </c>
      <c r="F341" s="338">
        <v>1</v>
      </c>
      <c r="G341" s="338">
        <v>2.2000000000000002</v>
      </c>
      <c r="H341" s="338">
        <v>2.2000000000000002</v>
      </c>
      <c r="I341" s="337">
        <v>12</v>
      </c>
      <c r="J341" s="337" t="s">
        <v>998</v>
      </c>
      <c r="K341" s="337">
        <v>12</v>
      </c>
      <c r="L341" s="337" t="s">
        <v>998</v>
      </c>
      <c r="M341" s="337">
        <v>12</v>
      </c>
      <c r="N341" s="337" t="s">
        <v>998</v>
      </c>
      <c r="O341" s="337">
        <v>12</v>
      </c>
      <c r="P341" s="337" t="s">
        <v>998</v>
      </c>
      <c r="Q341" s="337">
        <v>30</v>
      </c>
      <c r="R341" s="337">
        <v>0</v>
      </c>
      <c r="S341" s="339">
        <v>0</v>
      </c>
      <c r="T341" s="339">
        <v>0</v>
      </c>
      <c r="U341" s="339">
        <v>0</v>
      </c>
      <c r="V341" s="339">
        <v>0</v>
      </c>
      <c r="W341" s="339">
        <v>0</v>
      </c>
      <c r="X341" s="339">
        <v>0</v>
      </c>
      <c r="Y341" s="339">
        <v>0</v>
      </c>
      <c r="Z341" s="339">
        <v>0</v>
      </c>
      <c r="AA341" s="339">
        <v>0</v>
      </c>
      <c r="AB341" s="339" t="e">
        <v>#DIV/0!</v>
      </c>
      <c r="AC341" s="342" t="e">
        <v>#DIV/0!</v>
      </c>
      <c r="AD341" s="342" t="e">
        <v>#DIV/0!</v>
      </c>
      <c r="AE341" s="342" t="e">
        <v>#DIV/0!</v>
      </c>
      <c r="AF341" s="342" t="e">
        <v>#DIV/0!</v>
      </c>
      <c r="AG341" s="332"/>
    </row>
    <row r="342" spans="1:33" s="333" customFormat="1" ht="18" customHeight="1">
      <c r="A342" s="337">
        <v>24</v>
      </c>
      <c r="B342" s="380" t="s">
        <v>1395</v>
      </c>
      <c r="C342" s="338"/>
      <c r="D342" s="338">
        <v>1</v>
      </c>
      <c r="E342" s="338">
        <v>1</v>
      </c>
      <c r="F342" s="338">
        <v>1</v>
      </c>
      <c r="G342" s="360">
        <v>2.2000000000000002</v>
      </c>
      <c r="H342" s="360">
        <v>2.2000000000000002</v>
      </c>
      <c r="I342" s="337">
        <v>4</v>
      </c>
      <c r="J342" s="337" t="s">
        <v>998</v>
      </c>
      <c r="K342" s="337">
        <v>4</v>
      </c>
      <c r="L342" s="337" t="s">
        <v>998</v>
      </c>
      <c r="M342" s="337">
        <v>4</v>
      </c>
      <c r="N342" s="337" t="s">
        <v>998</v>
      </c>
      <c r="O342" s="337">
        <v>4</v>
      </c>
      <c r="P342" s="337" t="s">
        <v>998</v>
      </c>
      <c r="Q342" s="337">
        <v>30</v>
      </c>
      <c r="R342" s="337">
        <v>0</v>
      </c>
      <c r="S342" s="339">
        <v>0</v>
      </c>
      <c r="T342" s="339">
        <v>0</v>
      </c>
      <c r="U342" s="339">
        <v>0</v>
      </c>
      <c r="V342" s="339">
        <v>0</v>
      </c>
      <c r="W342" s="339">
        <v>0</v>
      </c>
      <c r="X342" s="339">
        <v>0</v>
      </c>
      <c r="Y342" s="339">
        <v>0</v>
      </c>
      <c r="Z342" s="339">
        <v>0</v>
      </c>
      <c r="AA342" s="339">
        <v>0</v>
      </c>
      <c r="AB342" s="339" t="e">
        <v>#DIV/0!</v>
      </c>
      <c r="AC342" s="342" t="e">
        <v>#DIV/0!</v>
      </c>
      <c r="AD342" s="342" t="e">
        <v>#DIV/0!</v>
      </c>
      <c r="AE342" s="342" t="e">
        <v>#DIV/0!</v>
      </c>
      <c r="AF342" s="342" t="e">
        <v>#DIV/0!</v>
      </c>
      <c r="AG342" s="332"/>
    </row>
    <row r="343" spans="1:33" s="333" customFormat="1" ht="18" customHeight="1">
      <c r="A343" s="337">
        <v>25</v>
      </c>
      <c r="B343" s="380" t="s">
        <v>1396</v>
      </c>
      <c r="C343" s="338"/>
      <c r="D343" s="338">
        <v>2</v>
      </c>
      <c r="E343" s="338">
        <v>2</v>
      </c>
      <c r="F343" s="338">
        <v>2</v>
      </c>
      <c r="G343" s="360">
        <v>2.2000000000000002</v>
      </c>
      <c r="H343" s="360">
        <v>2.2000000000000002</v>
      </c>
      <c r="I343" s="337">
        <v>4</v>
      </c>
      <c r="J343" s="337" t="s">
        <v>998</v>
      </c>
      <c r="K343" s="337">
        <v>4</v>
      </c>
      <c r="L343" s="337" t="s">
        <v>998</v>
      </c>
      <c r="M343" s="337">
        <v>4</v>
      </c>
      <c r="N343" s="337" t="s">
        <v>998</v>
      </c>
      <c r="O343" s="337">
        <v>4</v>
      </c>
      <c r="P343" s="337" t="s">
        <v>998</v>
      </c>
      <c r="Q343" s="337">
        <v>30</v>
      </c>
      <c r="R343" s="337">
        <v>0</v>
      </c>
      <c r="S343" s="339">
        <v>0</v>
      </c>
      <c r="T343" s="339">
        <v>0</v>
      </c>
      <c r="U343" s="339">
        <v>0</v>
      </c>
      <c r="V343" s="339">
        <v>0</v>
      </c>
      <c r="W343" s="339">
        <v>0</v>
      </c>
      <c r="X343" s="339">
        <v>0</v>
      </c>
      <c r="Y343" s="339">
        <v>0</v>
      </c>
      <c r="Z343" s="339">
        <v>0</v>
      </c>
      <c r="AA343" s="339">
        <v>0</v>
      </c>
      <c r="AB343" s="339" t="e">
        <v>#DIV/0!</v>
      </c>
      <c r="AC343" s="342" t="e">
        <v>#DIV/0!</v>
      </c>
      <c r="AD343" s="342" t="e">
        <v>#DIV/0!</v>
      </c>
      <c r="AE343" s="342" t="e">
        <v>#DIV/0!</v>
      </c>
      <c r="AF343" s="342" t="e">
        <v>#DIV/0!</v>
      </c>
      <c r="AG343" s="332"/>
    </row>
    <row r="344" spans="1:33" s="333" customFormat="1" ht="18" customHeight="1">
      <c r="A344" s="337">
        <v>26</v>
      </c>
      <c r="B344" s="380" t="s">
        <v>1383</v>
      </c>
      <c r="C344" s="338"/>
      <c r="D344" s="338">
        <v>1</v>
      </c>
      <c r="E344" s="338">
        <v>1</v>
      </c>
      <c r="F344" s="338">
        <v>1</v>
      </c>
      <c r="G344" s="234">
        <v>3.3</v>
      </c>
      <c r="H344" s="234">
        <v>3.3</v>
      </c>
      <c r="I344" s="337">
        <v>12</v>
      </c>
      <c r="J344" s="337" t="s">
        <v>996</v>
      </c>
      <c r="K344" s="337">
        <v>12</v>
      </c>
      <c r="L344" s="337" t="s">
        <v>996</v>
      </c>
      <c r="M344" s="337">
        <v>12</v>
      </c>
      <c r="N344" s="337" t="s">
        <v>996</v>
      </c>
      <c r="O344" s="337">
        <v>12</v>
      </c>
      <c r="P344" s="337" t="s">
        <v>996</v>
      </c>
      <c r="Q344" s="337">
        <v>30</v>
      </c>
      <c r="R344" s="337">
        <v>0</v>
      </c>
      <c r="S344" s="339">
        <v>0</v>
      </c>
      <c r="T344" s="339">
        <v>0</v>
      </c>
      <c r="U344" s="339">
        <v>0</v>
      </c>
      <c r="V344" s="339">
        <v>0</v>
      </c>
      <c r="W344" s="339">
        <v>0</v>
      </c>
      <c r="X344" s="339">
        <v>0</v>
      </c>
      <c r="Y344" s="339">
        <v>0</v>
      </c>
      <c r="Z344" s="339">
        <v>0</v>
      </c>
      <c r="AA344" s="339">
        <v>0</v>
      </c>
      <c r="AB344" s="339" t="e">
        <v>#DIV/0!</v>
      </c>
      <c r="AC344" s="342" t="e">
        <v>#DIV/0!</v>
      </c>
      <c r="AD344" s="342" t="e">
        <v>#DIV/0!</v>
      </c>
      <c r="AE344" s="342" t="e">
        <v>#DIV/0!</v>
      </c>
      <c r="AF344" s="342" t="e">
        <v>#DIV/0!</v>
      </c>
      <c r="AG344" s="332"/>
    </row>
    <row r="345" spans="1:33" s="333" customFormat="1" ht="18" customHeight="1">
      <c r="A345" s="337">
        <v>27</v>
      </c>
      <c r="B345" s="380" t="s">
        <v>1014</v>
      </c>
      <c r="C345" s="338"/>
      <c r="D345" s="338">
        <v>1</v>
      </c>
      <c r="E345" s="338">
        <v>1</v>
      </c>
      <c r="F345" s="338">
        <v>1</v>
      </c>
      <c r="G345" s="234">
        <v>3.3</v>
      </c>
      <c r="H345" s="234">
        <v>3.3</v>
      </c>
      <c r="I345" s="337">
        <v>12</v>
      </c>
      <c r="J345" s="337" t="s">
        <v>996</v>
      </c>
      <c r="K345" s="337">
        <v>12</v>
      </c>
      <c r="L345" s="337" t="s">
        <v>996</v>
      </c>
      <c r="M345" s="337">
        <v>12</v>
      </c>
      <c r="N345" s="337" t="s">
        <v>996</v>
      </c>
      <c r="O345" s="337">
        <v>12</v>
      </c>
      <c r="P345" s="337" t="s">
        <v>996</v>
      </c>
      <c r="Q345" s="337">
        <v>30</v>
      </c>
      <c r="R345" s="337">
        <v>0</v>
      </c>
      <c r="S345" s="339">
        <v>0</v>
      </c>
      <c r="T345" s="339">
        <v>0</v>
      </c>
      <c r="U345" s="339">
        <v>0</v>
      </c>
      <c r="V345" s="339">
        <v>0</v>
      </c>
      <c r="W345" s="339">
        <v>0</v>
      </c>
      <c r="X345" s="339">
        <v>0</v>
      </c>
      <c r="Y345" s="339">
        <v>0</v>
      </c>
      <c r="Z345" s="339">
        <v>0</v>
      </c>
      <c r="AA345" s="339">
        <v>0</v>
      </c>
      <c r="AB345" s="339" t="e">
        <v>#DIV/0!</v>
      </c>
      <c r="AC345" s="342" t="e">
        <v>#DIV/0!</v>
      </c>
      <c r="AD345" s="342" t="e">
        <v>#DIV/0!</v>
      </c>
      <c r="AE345" s="342" t="e">
        <v>#DIV/0!</v>
      </c>
      <c r="AF345" s="342" t="e">
        <v>#DIV/0!</v>
      </c>
      <c r="AG345" s="332"/>
    </row>
    <row r="346" spans="1:33" s="333" customFormat="1" ht="18" customHeight="1">
      <c r="A346" s="337">
        <v>28</v>
      </c>
      <c r="B346" s="380" t="s">
        <v>1015</v>
      </c>
      <c r="C346" s="338"/>
      <c r="D346" s="338">
        <v>1</v>
      </c>
      <c r="E346" s="338">
        <v>1</v>
      </c>
      <c r="F346" s="338">
        <v>1</v>
      </c>
      <c r="G346" s="338">
        <v>4</v>
      </c>
      <c r="H346" s="338">
        <v>4</v>
      </c>
      <c r="I346" s="337">
        <v>12</v>
      </c>
      <c r="J346" s="337" t="s">
        <v>996</v>
      </c>
      <c r="K346" s="337">
        <v>12</v>
      </c>
      <c r="L346" s="337" t="s">
        <v>996</v>
      </c>
      <c r="M346" s="337">
        <v>12</v>
      </c>
      <c r="N346" s="337" t="s">
        <v>996</v>
      </c>
      <c r="O346" s="337">
        <v>12</v>
      </c>
      <c r="P346" s="337" t="s">
        <v>996</v>
      </c>
      <c r="Q346" s="337">
        <v>30</v>
      </c>
      <c r="R346" s="337">
        <v>0</v>
      </c>
      <c r="S346" s="339">
        <v>0</v>
      </c>
      <c r="T346" s="339">
        <v>0</v>
      </c>
      <c r="U346" s="339">
        <v>0</v>
      </c>
      <c r="V346" s="339">
        <v>0</v>
      </c>
      <c r="W346" s="339">
        <v>0</v>
      </c>
      <c r="X346" s="339">
        <v>0</v>
      </c>
      <c r="Y346" s="339">
        <v>0</v>
      </c>
      <c r="Z346" s="339">
        <v>0</v>
      </c>
      <c r="AA346" s="339">
        <v>0</v>
      </c>
      <c r="AB346" s="339" t="e">
        <v>#DIV/0!</v>
      </c>
      <c r="AC346" s="342" t="e">
        <v>#DIV/0!</v>
      </c>
      <c r="AD346" s="342" t="e">
        <v>#DIV/0!</v>
      </c>
      <c r="AE346" s="342" t="e">
        <v>#DIV/0!</v>
      </c>
      <c r="AF346" s="342" t="e">
        <v>#DIV/0!</v>
      </c>
      <c r="AG346" s="332"/>
    </row>
    <row r="347" spans="1:33" s="333" customFormat="1" ht="18" customHeight="1">
      <c r="A347" s="337">
        <v>29</v>
      </c>
      <c r="B347" s="380" t="s">
        <v>1016</v>
      </c>
      <c r="C347" s="338"/>
      <c r="D347" s="338">
        <v>1</v>
      </c>
      <c r="E347" s="338">
        <v>1</v>
      </c>
      <c r="F347" s="338">
        <v>1</v>
      </c>
      <c r="G347" s="338">
        <v>36</v>
      </c>
      <c r="H347" s="338">
        <v>36</v>
      </c>
      <c r="I347" s="337">
        <v>4</v>
      </c>
      <c r="J347" s="337" t="s">
        <v>998</v>
      </c>
      <c r="K347" s="337">
        <v>4</v>
      </c>
      <c r="L347" s="337" t="s">
        <v>998</v>
      </c>
      <c r="M347" s="337">
        <v>4</v>
      </c>
      <c r="N347" s="337" t="s">
        <v>998</v>
      </c>
      <c r="O347" s="337">
        <v>4</v>
      </c>
      <c r="P347" s="337" t="s">
        <v>998</v>
      </c>
      <c r="Q347" s="337">
        <v>30</v>
      </c>
      <c r="R347" s="337">
        <v>0</v>
      </c>
      <c r="S347" s="339">
        <v>0</v>
      </c>
      <c r="T347" s="339">
        <v>0</v>
      </c>
      <c r="U347" s="339">
        <v>0</v>
      </c>
      <c r="V347" s="339">
        <v>0</v>
      </c>
      <c r="W347" s="339">
        <v>0</v>
      </c>
      <c r="X347" s="339">
        <v>0</v>
      </c>
      <c r="Y347" s="339">
        <v>0</v>
      </c>
      <c r="Z347" s="339">
        <v>0</v>
      </c>
      <c r="AA347" s="339">
        <v>0</v>
      </c>
      <c r="AB347" s="339" t="e">
        <v>#DIV/0!</v>
      </c>
      <c r="AC347" s="342" t="e">
        <v>#DIV/0!</v>
      </c>
      <c r="AD347" s="342" t="e">
        <v>#DIV/0!</v>
      </c>
      <c r="AE347" s="342" t="e">
        <v>#DIV/0!</v>
      </c>
      <c r="AF347" s="342" t="e">
        <v>#DIV/0!</v>
      </c>
      <c r="AG347" s="332"/>
    </row>
    <row r="348" spans="1:33" s="333" customFormat="1" ht="18" customHeight="1">
      <c r="A348" s="337">
        <v>30</v>
      </c>
      <c r="B348" s="380" t="s">
        <v>1021</v>
      </c>
      <c r="C348" s="338"/>
      <c r="D348" s="338">
        <v>14</v>
      </c>
      <c r="E348" s="338">
        <v>14</v>
      </c>
      <c r="F348" s="338">
        <v>14</v>
      </c>
      <c r="G348" s="338">
        <v>0.25</v>
      </c>
      <c r="H348" s="338">
        <v>0.25</v>
      </c>
      <c r="I348" s="337">
        <v>4</v>
      </c>
      <c r="J348" s="337" t="s">
        <v>998</v>
      </c>
      <c r="K348" s="337">
        <v>4</v>
      </c>
      <c r="L348" s="337" t="s">
        <v>998</v>
      </c>
      <c r="M348" s="337">
        <v>4</v>
      </c>
      <c r="N348" s="337" t="s">
        <v>998</v>
      </c>
      <c r="O348" s="337">
        <v>4</v>
      </c>
      <c r="P348" s="337" t="s">
        <v>998</v>
      </c>
      <c r="Q348" s="337">
        <v>30</v>
      </c>
      <c r="R348" s="337">
        <v>0</v>
      </c>
      <c r="S348" s="339">
        <v>0</v>
      </c>
      <c r="T348" s="339">
        <v>0</v>
      </c>
      <c r="U348" s="339">
        <v>0</v>
      </c>
      <c r="V348" s="339">
        <v>0</v>
      </c>
      <c r="W348" s="339">
        <v>0</v>
      </c>
      <c r="X348" s="339">
        <v>0</v>
      </c>
      <c r="Y348" s="339">
        <v>0</v>
      </c>
      <c r="Z348" s="339">
        <v>0</v>
      </c>
      <c r="AA348" s="339">
        <v>0</v>
      </c>
      <c r="AB348" s="339" t="e">
        <v>#DIV/0!</v>
      </c>
      <c r="AC348" s="342" t="e">
        <v>#DIV/0!</v>
      </c>
      <c r="AD348" s="342" t="e">
        <v>#DIV/0!</v>
      </c>
      <c r="AE348" s="342" t="e">
        <v>#DIV/0!</v>
      </c>
      <c r="AF348" s="342" t="e">
        <v>#DIV/0!</v>
      </c>
      <c r="AG348" s="332"/>
    </row>
    <row r="349" spans="1:33" s="333" customFormat="1" ht="18" customHeight="1">
      <c r="A349" s="337">
        <v>31</v>
      </c>
      <c r="B349" s="380" t="s">
        <v>1384</v>
      </c>
      <c r="C349" s="338"/>
      <c r="D349" s="338">
        <v>1</v>
      </c>
      <c r="E349" s="338">
        <v>1</v>
      </c>
      <c r="F349" s="338">
        <v>1</v>
      </c>
      <c r="G349" s="338">
        <v>2.8</v>
      </c>
      <c r="H349" s="338">
        <v>2.8</v>
      </c>
      <c r="I349" s="337">
        <v>4</v>
      </c>
      <c r="J349" s="337" t="s">
        <v>998</v>
      </c>
      <c r="K349" s="337">
        <v>4</v>
      </c>
      <c r="L349" s="337" t="s">
        <v>998</v>
      </c>
      <c r="M349" s="337">
        <v>4</v>
      </c>
      <c r="N349" s="337" t="s">
        <v>998</v>
      </c>
      <c r="O349" s="337">
        <v>4</v>
      </c>
      <c r="P349" s="337" t="s">
        <v>998</v>
      </c>
      <c r="Q349" s="337">
        <v>30</v>
      </c>
      <c r="R349" s="337">
        <v>0</v>
      </c>
      <c r="S349" s="339">
        <v>0</v>
      </c>
      <c r="T349" s="339">
        <v>0</v>
      </c>
      <c r="U349" s="339">
        <v>0</v>
      </c>
      <c r="V349" s="339">
        <v>0</v>
      </c>
      <c r="W349" s="339">
        <v>0</v>
      </c>
      <c r="X349" s="339">
        <v>0</v>
      </c>
      <c r="Y349" s="339">
        <v>0</v>
      </c>
      <c r="Z349" s="339">
        <v>0</v>
      </c>
      <c r="AA349" s="339">
        <v>0</v>
      </c>
      <c r="AB349" s="339" t="e">
        <v>#DIV/0!</v>
      </c>
      <c r="AC349" s="342" t="e">
        <v>#DIV/0!</v>
      </c>
      <c r="AD349" s="342" t="e">
        <v>#DIV/0!</v>
      </c>
      <c r="AE349" s="342" t="e">
        <v>#DIV/0!</v>
      </c>
      <c r="AF349" s="342" t="e">
        <v>#DIV/0!</v>
      </c>
      <c r="AG349" s="332"/>
    </row>
    <row r="350" spans="1:33" s="333" customFormat="1" ht="18" customHeight="1">
      <c r="A350" s="337">
        <v>32</v>
      </c>
      <c r="B350" s="380" t="s">
        <v>1017</v>
      </c>
      <c r="C350" s="338"/>
      <c r="D350" s="338">
        <v>30</v>
      </c>
      <c r="E350" s="338">
        <v>30</v>
      </c>
      <c r="F350" s="338">
        <v>30</v>
      </c>
      <c r="G350" s="338">
        <v>2.4</v>
      </c>
      <c r="H350" s="338">
        <v>2.4</v>
      </c>
      <c r="I350" s="337">
        <v>4</v>
      </c>
      <c r="J350" s="337" t="s">
        <v>998</v>
      </c>
      <c r="K350" s="337">
        <v>4</v>
      </c>
      <c r="L350" s="337" t="s">
        <v>998</v>
      </c>
      <c r="M350" s="337">
        <v>4</v>
      </c>
      <c r="N350" s="337" t="s">
        <v>998</v>
      </c>
      <c r="O350" s="337">
        <v>4</v>
      </c>
      <c r="P350" s="337" t="s">
        <v>998</v>
      </c>
      <c r="Q350" s="337">
        <v>30</v>
      </c>
      <c r="R350" s="337">
        <v>0</v>
      </c>
      <c r="S350" s="339">
        <v>0</v>
      </c>
      <c r="T350" s="339">
        <v>0</v>
      </c>
      <c r="U350" s="339">
        <v>0</v>
      </c>
      <c r="V350" s="339">
        <v>0</v>
      </c>
      <c r="W350" s="339">
        <v>0</v>
      </c>
      <c r="X350" s="339">
        <v>0</v>
      </c>
      <c r="Y350" s="339">
        <v>0</v>
      </c>
      <c r="Z350" s="339">
        <v>0</v>
      </c>
      <c r="AA350" s="339">
        <v>0</v>
      </c>
      <c r="AB350" s="339" t="e">
        <v>#DIV/0!</v>
      </c>
      <c r="AC350" s="342" t="e">
        <v>#DIV/0!</v>
      </c>
      <c r="AD350" s="342" t="e">
        <v>#DIV/0!</v>
      </c>
      <c r="AE350" s="342" t="e">
        <v>#DIV/0!</v>
      </c>
      <c r="AF350" s="342" t="e">
        <v>#DIV/0!</v>
      </c>
      <c r="AG350" s="332"/>
    </row>
    <row r="351" spans="1:33" s="333" customFormat="1" ht="18" customHeight="1">
      <c r="A351" s="337">
        <v>33</v>
      </c>
      <c r="B351" s="380" t="s">
        <v>1386</v>
      </c>
      <c r="C351" s="338"/>
      <c r="D351" s="338">
        <v>1</v>
      </c>
      <c r="E351" s="338">
        <v>1</v>
      </c>
      <c r="F351" s="338">
        <v>1</v>
      </c>
      <c r="G351" s="360">
        <v>12</v>
      </c>
      <c r="H351" s="360">
        <v>12</v>
      </c>
      <c r="I351" s="337">
        <v>4</v>
      </c>
      <c r="J351" s="337" t="s">
        <v>998</v>
      </c>
      <c r="K351" s="337">
        <v>4</v>
      </c>
      <c r="L351" s="337" t="s">
        <v>998</v>
      </c>
      <c r="M351" s="337">
        <v>4</v>
      </c>
      <c r="N351" s="337" t="s">
        <v>998</v>
      </c>
      <c r="O351" s="337">
        <v>4</v>
      </c>
      <c r="P351" s="337" t="s">
        <v>998</v>
      </c>
      <c r="Q351" s="337">
        <v>30</v>
      </c>
      <c r="R351" s="337">
        <v>0</v>
      </c>
      <c r="S351" s="339">
        <v>0</v>
      </c>
      <c r="T351" s="339">
        <v>0</v>
      </c>
      <c r="U351" s="339">
        <v>0</v>
      </c>
      <c r="V351" s="339">
        <v>0</v>
      </c>
      <c r="W351" s="339">
        <v>0</v>
      </c>
      <c r="X351" s="339">
        <v>0</v>
      </c>
      <c r="Y351" s="339">
        <v>0</v>
      </c>
      <c r="Z351" s="339">
        <v>0</v>
      </c>
      <c r="AA351" s="339">
        <v>0</v>
      </c>
      <c r="AB351" s="339" t="e">
        <v>#DIV/0!</v>
      </c>
      <c r="AC351" s="342" t="e">
        <v>#DIV/0!</v>
      </c>
      <c r="AD351" s="342" t="e">
        <v>#DIV/0!</v>
      </c>
      <c r="AE351" s="342" t="e">
        <v>#DIV/0!</v>
      </c>
      <c r="AF351" s="342" t="e">
        <v>#DIV/0!</v>
      </c>
      <c r="AG351" s="332"/>
    </row>
    <row r="352" spans="1:33" s="333" customFormat="1" ht="18" customHeight="1">
      <c r="A352" s="337">
        <v>34</v>
      </c>
      <c r="B352" s="380" t="s">
        <v>1018</v>
      </c>
      <c r="C352" s="338"/>
      <c r="D352" s="338">
        <v>1</v>
      </c>
      <c r="E352" s="338">
        <v>1</v>
      </c>
      <c r="F352" s="338">
        <v>1</v>
      </c>
      <c r="G352" s="338">
        <v>2.5</v>
      </c>
      <c r="H352" s="338">
        <v>2.5</v>
      </c>
      <c r="I352" s="337">
        <v>4</v>
      </c>
      <c r="J352" s="337" t="s">
        <v>998</v>
      </c>
      <c r="K352" s="337">
        <v>4</v>
      </c>
      <c r="L352" s="337" t="s">
        <v>998</v>
      </c>
      <c r="M352" s="337">
        <v>4</v>
      </c>
      <c r="N352" s="337" t="s">
        <v>998</v>
      </c>
      <c r="O352" s="337">
        <v>4</v>
      </c>
      <c r="P352" s="337" t="s">
        <v>998</v>
      </c>
      <c r="Q352" s="337">
        <v>30</v>
      </c>
      <c r="R352" s="337">
        <v>0</v>
      </c>
      <c r="S352" s="339">
        <v>0</v>
      </c>
      <c r="T352" s="339">
        <v>0</v>
      </c>
      <c r="U352" s="339">
        <v>0</v>
      </c>
      <c r="V352" s="339">
        <v>0</v>
      </c>
      <c r="W352" s="339">
        <v>0</v>
      </c>
      <c r="X352" s="339">
        <v>0</v>
      </c>
      <c r="Y352" s="339">
        <v>0</v>
      </c>
      <c r="Z352" s="339">
        <v>0</v>
      </c>
      <c r="AA352" s="339">
        <v>0</v>
      </c>
      <c r="AB352" s="339" t="e">
        <v>#DIV/0!</v>
      </c>
      <c r="AC352" s="342" t="e">
        <v>#DIV/0!</v>
      </c>
      <c r="AD352" s="342" t="e">
        <v>#DIV/0!</v>
      </c>
      <c r="AE352" s="342" t="e">
        <v>#DIV/0!</v>
      </c>
      <c r="AF352" s="342" t="e">
        <v>#DIV/0!</v>
      </c>
      <c r="AG352" s="332"/>
    </row>
    <row r="353" spans="1:33" s="333" customFormat="1" ht="18" customHeight="1">
      <c r="A353" s="337">
        <v>35</v>
      </c>
      <c r="B353" s="380" t="s">
        <v>1397</v>
      </c>
      <c r="C353" s="338"/>
      <c r="D353" s="338">
        <v>1</v>
      </c>
      <c r="E353" s="338">
        <v>1</v>
      </c>
      <c r="F353" s="338">
        <v>1</v>
      </c>
      <c r="G353" s="338">
        <v>1.2</v>
      </c>
      <c r="H353" s="338">
        <v>1.2</v>
      </c>
      <c r="I353" s="337">
        <v>4</v>
      </c>
      <c r="J353" s="337" t="s">
        <v>998</v>
      </c>
      <c r="K353" s="337">
        <v>4</v>
      </c>
      <c r="L353" s="337" t="s">
        <v>998</v>
      </c>
      <c r="M353" s="337">
        <v>4</v>
      </c>
      <c r="N353" s="337" t="s">
        <v>998</v>
      </c>
      <c r="O353" s="337">
        <v>4</v>
      </c>
      <c r="P353" s="337" t="s">
        <v>998</v>
      </c>
      <c r="Q353" s="337">
        <v>30</v>
      </c>
      <c r="R353" s="337">
        <v>0</v>
      </c>
      <c r="S353" s="339">
        <v>0</v>
      </c>
      <c r="T353" s="339">
        <v>0</v>
      </c>
      <c r="U353" s="339">
        <v>0</v>
      </c>
      <c r="V353" s="339">
        <v>0</v>
      </c>
      <c r="W353" s="339">
        <v>0</v>
      </c>
      <c r="X353" s="339">
        <v>0</v>
      </c>
      <c r="Y353" s="339">
        <v>0</v>
      </c>
      <c r="Z353" s="339">
        <v>0</v>
      </c>
      <c r="AA353" s="339">
        <v>0</v>
      </c>
      <c r="AB353" s="339" t="e">
        <v>#DIV/0!</v>
      </c>
      <c r="AC353" s="342" t="e">
        <v>#DIV/0!</v>
      </c>
      <c r="AD353" s="342" t="e">
        <v>#DIV/0!</v>
      </c>
      <c r="AE353" s="342" t="e">
        <v>#DIV/0!</v>
      </c>
      <c r="AF353" s="342" t="e">
        <v>#DIV/0!</v>
      </c>
      <c r="AG353" s="332"/>
    </row>
    <row r="354" spans="1:33" s="333" customFormat="1" ht="18" customHeight="1">
      <c r="A354" s="337">
        <v>36</v>
      </c>
      <c r="B354" s="380" t="s">
        <v>1387</v>
      </c>
      <c r="C354" s="338"/>
      <c r="D354" s="338">
        <v>4</v>
      </c>
      <c r="E354" s="338">
        <v>4</v>
      </c>
      <c r="F354" s="338">
        <v>4</v>
      </c>
      <c r="G354" s="338">
        <v>1.2</v>
      </c>
      <c r="H354" s="338">
        <v>1.2</v>
      </c>
      <c r="I354" s="337">
        <v>4</v>
      </c>
      <c r="J354" s="337" t="s">
        <v>998</v>
      </c>
      <c r="K354" s="337">
        <v>4</v>
      </c>
      <c r="L354" s="337" t="s">
        <v>998</v>
      </c>
      <c r="M354" s="337">
        <v>4</v>
      </c>
      <c r="N354" s="337" t="s">
        <v>998</v>
      </c>
      <c r="O354" s="337">
        <v>4</v>
      </c>
      <c r="P354" s="337" t="s">
        <v>998</v>
      </c>
      <c r="Q354" s="337">
        <v>30</v>
      </c>
      <c r="R354" s="337">
        <v>0</v>
      </c>
      <c r="S354" s="339">
        <v>0</v>
      </c>
      <c r="T354" s="339">
        <v>0</v>
      </c>
      <c r="U354" s="339">
        <v>0</v>
      </c>
      <c r="V354" s="339">
        <v>0</v>
      </c>
      <c r="W354" s="339">
        <v>0</v>
      </c>
      <c r="X354" s="339">
        <v>0</v>
      </c>
      <c r="Y354" s="339">
        <v>0</v>
      </c>
      <c r="Z354" s="339">
        <v>0</v>
      </c>
      <c r="AA354" s="339">
        <v>0</v>
      </c>
      <c r="AB354" s="339" t="e">
        <v>#DIV/0!</v>
      </c>
      <c r="AC354" s="342" t="e">
        <v>#DIV/0!</v>
      </c>
      <c r="AD354" s="342" t="e">
        <v>#DIV/0!</v>
      </c>
      <c r="AE354" s="342" t="e">
        <v>#DIV/0!</v>
      </c>
      <c r="AF354" s="342" t="e">
        <v>#DIV/0!</v>
      </c>
      <c r="AG354" s="332"/>
    </row>
    <row r="355" spans="1:33" s="333" customFormat="1" ht="18" customHeight="1">
      <c r="A355" s="337">
        <v>37</v>
      </c>
      <c r="B355" s="380" t="s">
        <v>1020</v>
      </c>
      <c r="C355" s="338"/>
      <c r="D355" s="338">
        <v>1</v>
      </c>
      <c r="E355" s="338">
        <v>1</v>
      </c>
      <c r="F355" s="338">
        <v>1</v>
      </c>
      <c r="G355" s="360">
        <v>2.2999999999999998</v>
      </c>
      <c r="H355" s="360">
        <v>2.2999999999999998</v>
      </c>
      <c r="I355" s="337">
        <v>4</v>
      </c>
      <c r="J355" s="337" t="s">
        <v>998</v>
      </c>
      <c r="K355" s="337">
        <v>4</v>
      </c>
      <c r="L355" s="337" t="s">
        <v>998</v>
      </c>
      <c r="M355" s="337">
        <v>4</v>
      </c>
      <c r="N355" s="337" t="s">
        <v>998</v>
      </c>
      <c r="O355" s="337">
        <v>4</v>
      </c>
      <c r="P355" s="337" t="s">
        <v>998</v>
      </c>
      <c r="Q355" s="337">
        <v>30</v>
      </c>
      <c r="R355" s="337">
        <v>0</v>
      </c>
      <c r="S355" s="339">
        <v>0</v>
      </c>
      <c r="T355" s="339">
        <v>0</v>
      </c>
      <c r="U355" s="339">
        <v>0</v>
      </c>
      <c r="V355" s="339">
        <v>0</v>
      </c>
      <c r="W355" s="339">
        <v>0</v>
      </c>
      <c r="X355" s="339">
        <v>0</v>
      </c>
      <c r="Y355" s="339">
        <v>0</v>
      </c>
      <c r="Z355" s="339">
        <v>0</v>
      </c>
      <c r="AA355" s="339">
        <v>0</v>
      </c>
      <c r="AB355" s="339" t="e">
        <v>#DIV/0!</v>
      </c>
      <c r="AC355" s="342" t="e">
        <v>#DIV/0!</v>
      </c>
      <c r="AD355" s="342" t="e">
        <v>#DIV/0!</v>
      </c>
      <c r="AE355" s="342" t="e">
        <v>#DIV/0!</v>
      </c>
      <c r="AF355" s="342" t="e">
        <v>#DIV/0!</v>
      </c>
      <c r="AG355" s="332"/>
    </row>
    <row r="356" spans="1:33" s="333" customFormat="1" ht="18" customHeight="1">
      <c r="A356" s="337">
        <v>38</v>
      </c>
      <c r="B356" s="380" t="s">
        <v>1021</v>
      </c>
      <c r="C356" s="338"/>
      <c r="D356" s="338">
        <v>30</v>
      </c>
      <c r="E356" s="338">
        <v>30</v>
      </c>
      <c r="F356" s="338">
        <v>30</v>
      </c>
      <c r="G356" s="338">
        <v>0.25</v>
      </c>
      <c r="H356" s="338">
        <v>0.25</v>
      </c>
      <c r="I356" s="337">
        <v>4</v>
      </c>
      <c r="J356" s="337" t="s">
        <v>998</v>
      </c>
      <c r="K356" s="337">
        <v>4</v>
      </c>
      <c r="L356" s="337" t="s">
        <v>998</v>
      </c>
      <c r="M356" s="337">
        <v>4</v>
      </c>
      <c r="N356" s="337" t="s">
        <v>998</v>
      </c>
      <c r="O356" s="337">
        <v>4</v>
      </c>
      <c r="P356" s="337" t="s">
        <v>998</v>
      </c>
      <c r="Q356" s="337">
        <v>30</v>
      </c>
      <c r="R356" s="337">
        <v>0</v>
      </c>
      <c r="S356" s="339">
        <v>0</v>
      </c>
      <c r="T356" s="339">
        <v>0</v>
      </c>
      <c r="U356" s="339">
        <v>0</v>
      </c>
      <c r="V356" s="339">
        <v>0</v>
      </c>
      <c r="W356" s="339">
        <v>0</v>
      </c>
      <c r="X356" s="339">
        <v>0</v>
      </c>
      <c r="Y356" s="339">
        <v>0</v>
      </c>
      <c r="Z356" s="339">
        <v>0</v>
      </c>
      <c r="AA356" s="339">
        <v>0</v>
      </c>
      <c r="AB356" s="339" t="e">
        <v>#DIV/0!</v>
      </c>
      <c r="AC356" s="342" t="e">
        <v>#DIV/0!</v>
      </c>
      <c r="AD356" s="342" t="e">
        <v>#DIV/0!</v>
      </c>
      <c r="AE356" s="342" t="e">
        <v>#DIV/0!</v>
      </c>
      <c r="AF356" s="342" t="e">
        <v>#DIV/0!</v>
      </c>
      <c r="AG356" s="332"/>
    </row>
    <row r="357" spans="1:33" s="333" customFormat="1" ht="18" customHeight="1">
      <c r="A357" s="337">
        <v>39</v>
      </c>
      <c r="B357" s="380" t="s">
        <v>1372</v>
      </c>
      <c r="C357" s="338"/>
      <c r="D357" s="338">
        <v>7</v>
      </c>
      <c r="E357" s="338">
        <v>7</v>
      </c>
      <c r="F357" s="338">
        <v>7</v>
      </c>
      <c r="G357" s="338">
        <v>0.08</v>
      </c>
      <c r="H357" s="338">
        <v>0.08</v>
      </c>
      <c r="I357" s="337">
        <v>8</v>
      </c>
      <c r="J357" s="224" t="s">
        <v>1398</v>
      </c>
      <c r="K357" s="337">
        <v>8</v>
      </c>
      <c r="L357" s="337" t="s">
        <v>1023</v>
      </c>
      <c r="M357" s="337">
        <v>8</v>
      </c>
      <c r="N357" s="337" t="s">
        <v>1023</v>
      </c>
      <c r="O357" s="337">
        <v>8</v>
      </c>
      <c r="P357" s="337" t="s">
        <v>1023</v>
      </c>
      <c r="Q357" s="337">
        <v>30</v>
      </c>
      <c r="R357" s="337">
        <v>0</v>
      </c>
      <c r="S357" s="339">
        <v>0</v>
      </c>
      <c r="T357" s="339">
        <v>0</v>
      </c>
      <c r="U357" s="339">
        <v>0</v>
      </c>
      <c r="V357" s="339">
        <v>0</v>
      </c>
      <c r="W357" s="339">
        <v>0</v>
      </c>
      <c r="X357" s="339">
        <v>0</v>
      </c>
      <c r="Y357" s="339">
        <v>0</v>
      </c>
      <c r="Z357" s="339">
        <v>0</v>
      </c>
      <c r="AA357" s="339">
        <v>0</v>
      </c>
      <c r="AB357" s="339" t="e">
        <v>#DIV/0!</v>
      </c>
      <c r="AC357" s="342" t="e">
        <v>#DIV/0!</v>
      </c>
      <c r="AD357" s="342" t="e">
        <v>#DIV/0!</v>
      </c>
      <c r="AE357" s="342" t="e">
        <v>#DIV/0!</v>
      </c>
      <c r="AF357" s="342" t="e">
        <v>#DIV/0!</v>
      </c>
      <c r="AG357" s="332"/>
    </row>
    <row r="358" spans="1:33" s="333" customFormat="1" ht="18" customHeight="1">
      <c r="A358" s="337">
        <v>40</v>
      </c>
      <c r="B358" s="380" t="s">
        <v>1388</v>
      </c>
      <c r="C358" s="338"/>
      <c r="D358" s="338">
        <v>39</v>
      </c>
      <c r="E358" s="338">
        <v>39</v>
      </c>
      <c r="F358" s="338">
        <v>39</v>
      </c>
      <c r="G358" s="338">
        <v>0.16</v>
      </c>
      <c r="H358" s="338">
        <v>0.16</v>
      </c>
      <c r="I358" s="337">
        <v>8</v>
      </c>
      <c r="J358" s="224" t="s">
        <v>1398</v>
      </c>
      <c r="K358" s="337">
        <v>8</v>
      </c>
      <c r="L358" s="337" t="s">
        <v>1023</v>
      </c>
      <c r="M358" s="337">
        <v>8</v>
      </c>
      <c r="N358" s="337" t="s">
        <v>1023</v>
      </c>
      <c r="O358" s="337">
        <v>8</v>
      </c>
      <c r="P358" s="337" t="s">
        <v>1023</v>
      </c>
      <c r="Q358" s="337">
        <v>30</v>
      </c>
      <c r="R358" s="337">
        <v>0</v>
      </c>
      <c r="S358" s="339">
        <v>0</v>
      </c>
      <c r="T358" s="339">
        <v>0</v>
      </c>
      <c r="U358" s="339">
        <v>0</v>
      </c>
      <c r="V358" s="339">
        <v>0</v>
      </c>
      <c r="W358" s="339">
        <v>0</v>
      </c>
      <c r="X358" s="339">
        <v>0</v>
      </c>
      <c r="Y358" s="339">
        <v>0</v>
      </c>
      <c r="Z358" s="339">
        <v>0</v>
      </c>
      <c r="AA358" s="339">
        <v>0</v>
      </c>
      <c r="AB358" s="339" t="e">
        <v>#DIV/0!</v>
      </c>
      <c r="AC358" s="342" t="e">
        <v>#DIV/0!</v>
      </c>
      <c r="AD358" s="342" t="e">
        <v>#DIV/0!</v>
      </c>
      <c r="AE358" s="342" t="e">
        <v>#DIV/0!</v>
      </c>
      <c r="AF358" s="342" t="e">
        <v>#DIV/0!</v>
      </c>
      <c r="AG358" s="332"/>
    </row>
    <row r="359" spans="1:33" s="333" customFormat="1" ht="18" customHeight="1">
      <c r="A359" s="337">
        <v>41</v>
      </c>
      <c r="B359" s="380" t="s">
        <v>1022</v>
      </c>
      <c r="C359" s="338"/>
      <c r="D359" s="338">
        <v>40</v>
      </c>
      <c r="E359" s="338">
        <v>40</v>
      </c>
      <c r="F359" s="338">
        <v>40</v>
      </c>
      <c r="G359" s="338">
        <v>0.02</v>
      </c>
      <c r="H359" s="338">
        <v>0.02</v>
      </c>
      <c r="I359" s="337">
        <v>8</v>
      </c>
      <c r="J359" s="224" t="s">
        <v>1398</v>
      </c>
      <c r="K359" s="337">
        <v>8</v>
      </c>
      <c r="L359" s="337" t="s">
        <v>1023</v>
      </c>
      <c r="M359" s="337">
        <v>8</v>
      </c>
      <c r="N359" s="337" t="s">
        <v>1023</v>
      </c>
      <c r="O359" s="337">
        <v>8</v>
      </c>
      <c r="P359" s="337" t="s">
        <v>1023</v>
      </c>
      <c r="Q359" s="337">
        <v>30</v>
      </c>
      <c r="R359" s="337">
        <v>0</v>
      </c>
      <c r="S359" s="339">
        <v>0</v>
      </c>
      <c r="T359" s="339">
        <v>0</v>
      </c>
      <c r="U359" s="339">
        <v>0</v>
      </c>
      <c r="V359" s="339">
        <v>0</v>
      </c>
      <c r="W359" s="339">
        <v>0</v>
      </c>
      <c r="X359" s="339">
        <v>0</v>
      </c>
      <c r="Y359" s="339">
        <v>0</v>
      </c>
      <c r="Z359" s="339">
        <v>0</v>
      </c>
      <c r="AA359" s="339">
        <v>0</v>
      </c>
      <c r="AB359" s="339" t="e">
        <v>#DIV/0!</v>
      </c>
      <c r="AC359" s="342" t="e">
        <v>#DIV/0!</v>
      </c>
      <c r="AD359" s="342" t="e">
        <v>#DIV/0!</v>
      </c>
      <c r="AE359" s="342" t="e">
        <v>#DIV/0!</v>
      </c>
      <c r="AF359" s="342" t="e">
        <v>#DIV/0!</v>
      </c>
      <c r="AG359" s="332"/>
    </row>
    <row r="360" spans="1:33" s="333" customFormat="1" ht="18" customHeight="1">
      <c r="A360" s="337">
        <v>42</v>
      </c>
      <c r="B360" s="380" t="s">
        <v>1024</v>
      </c>
      <c r="C360" s="338"/>
      <c r="D360" s="338">
        <v>2</v>
      </c>
      <c r="E360" s="338">
        <v>2</v>
      </c>
      <c r="F360" s="338">
        <v>2</v>
      </c>
      <c r="G360" s="338">
        <v>0.3</v>
      </c>
      <c r="H360" s="338">
        <v>0.3</v>
      </c>
      <c r="I360" s="337">
        <v>4</v>
      </c>
      <c r="J360" s="337" t="s">
        <v>998</v>
      </c>
      <c r="K360" s="337">
        <v>4</v>
      </c>
      <c r="L360" s="337" t="s">
        <v>998</v>
      </c>
      <c r="M360" s="337">
        <v>4</v>
      </c>
      <c r="N360" s="337" t="s">
        <v>998</v>
      </c>
      <c r="O360" s="337">
        <v>4</v>
      </c>
      <c r="P360" s="337" t="s">
        <v>998</v>
      </c>
      <c r="Q360" s="337">
        <v>30</v>
      </c>
      <c r="R360" s="337">
        <v>0</v>
      </c>
      <c r="S360" s="339">
        <v>0</v>
      </c>
      <c r="T360" s="339">
        <v>0</v>
      </c>
      <c r="U360" s="339">
        <v>0</v>
      </c>
      <c r="V360" s="339">
        <v>0</v>
      </c>
      <c r="W360" s="339">
        <v>0</v>
      </c>
      <c r="X360" s="339">
        <v>0</v>
      </c>
      <c r="Y360" s="339">
        <v>0</v>
      </c>
      <c r="Z360" s="339">
        <v>0</v>
      </c>
      <c r="AA360" s="339">
        <v>0</v>
      </c>
      <c r="AB360" s="339" t="e">
        <v>#DIV/0!</v>
      </c>
      <c r="AC360" s="342" t="e">
        <v>#DIV/0!</v>
      </c>
      <c r="AD360" s="342" t="e">
        <v>#DIV/0!</v>
      </c>
      <c r="AE360" s="342" t="e">
        <v>#DIV/0!</v>
      </c>
      <c r="AF360" s="342" t="e">
        <v>#DIV/0!</v>
      </c>
      <c r="AG360" s="332"/>
    </row>
    <row r="361" spans="1:33" s="333" customFormat="1" ht="18" customHeight="1">
      <c r="A361" s="337">
        <v>43</v>
      </c>
      <c r="B361" s="380" t="s">
        <v>1399</v>
      </c>
      <c r="C361" s="338"/>
      <c r="D361" s="338">
        <v>1</v>
      </c>
      <c r="E361" s="338">
        <v>1</v>
      </c>
      <c r="F361" s="338">
        <v>1</v>
      </c>
      <c r="G361" s="338">
        <v>0.45</v>
      </c>
      <c r="H361" s="338">
        <v>0.45</v>
      </c>
      <c r="I361" s="337">
        <v>4</v>
      </c>
      <c r="J361" s="337" t="s">
        <v>998</v>
      </c>
      <c r="K361" s="337">
        <v>4</v>
      </c>
      <c r="L361" s="337" t="s">
        <v>998</v>
      </c>
      <c r="M361" s="337">
        <v>4</v>
      </c>
      <c r="N361" s="337" t="s">
        <v>998</v>
      </c>
      <c r="O361" s="337">
        <v>4</v>
      </c>
      <c r="P361" s="337" t="s">
        <v>998</v>
      </c>
      <c r="Q361" s="337">
        <v>30</v>
      </c>
      <c r="R361" s="337">
        <v>0</v>
      </c>
      <c r="S361" s="339">
        <v>0</v>
      </c>
      <c r="T361" s="339">
        <v>0</v>
      </c>
      <c r="U361" s="339">
        <v>0</v>
      </c>
      <c r="V361" s="339">
        <v>0</v>
      </c>
      <c r="W361" s="339">
        <v>0</v>
      </c>
      <c r="X361" s="339">
        <v>0</v>
      </c>
      <c r="Y361" s="339">
        <v>0</v>
      </c>
      <c r="Z361" s="339">
        <v>0</v>
      </c>
      <c r="AA361" s="339">
        <v>0</v>
      </c>
      <c r="AB361" s="339" t="e">
        <v>#DIV/0!</v>
      </c>
      <c r="AC361" s="342" t="e">
        <v>#DIV/0!</v>
      </c>
      <c r="AD361" s="342" t="e">
        <v>#DIV/0!</v>
      </c>
      <c r="AE361" s="342" t="e">
        <v>#DIV/0!</v>
      </c>
      <c r="AF361" s="342" t="e">
        <v>#DIV/0!</v>
      </c>
      <c r="AG361" s="332"/>
    </row>
    <row r="362" spans="1:33" s="333" customFormat="1" ht="18" customHeight="1">
      <c r="A362" s="337">
        <v>44</v>
      </c>
      <c r="B362" s="380" t="s">
        <v>1400</v>
      </c>
      <c r="C362" s="338"/>
      <c r="D362" s="338">
        <v>1</v>
      </c>
      <c r="E362" s="338">
        <v>1</v>
      </c>
      <c r="F362" s="338">
        <v>1</v>
      </c>
      <c r="G362" s="338">
        <v>0.5</v>
      </c>
      <c r="H362" s="338">
        <v>0.5</v>
      </c>
      <c r="I362" s="337">
        <v>4</v>
      </c>
      <c r="J362" s="337" t="s">
        <v>998</v>
      </c>
      <c r="K362" s="337">
        <v>4</v>
      </c>
      <c r="L362" s="337" t="s">
        <v>998</v>
      </c>
      <c r="M362" s="337">
        <v>4</v>
      </c>
      <c r="N362" s="337" t="s">
        <v>998</v>
      </c>
      <c r="O362" s="337">
        <v>4</v>
      </c>
      <c r="P362" s="337" t="s">
        <v>998</v>
      </c>
      <c r="Q362" s="337">
        <v>30</v>
      </c>
      <c r="R362" s="337">
        <v>0</v>
      </c>
      <c r="S362" s="339">
        <v>0</v>
      </c>
      <c r="T362" s="339">
        <v>0</v>
      </c>
      <c r="U362" s="339">
        <v>0</v>
      </c>
      <c r="V362" s="339">
        <v>0</v>
      </c>
      <c r="W362" s="339">
        <v>0</v>
      </c>
      <c r="X362" s="339">
        <v>0</v>
      </c>
      <c r="Y362" s="339">
        <v>0</v>
      </c>
      <c r="Z362" s="339">
        <v>0</v>
      </c>
      <c r="AA362" s="339">
        <v>0</v>
      </c>
      <c r="AB362" s="339" t="e">
        <v>#DIV/0!</v>
      </c>
      <c r="AC362" s="342" t="e">
        <v>#DIV/0!</v>
      </c>
      <c r="AD362" s="342" t="e">
        <v>#DIV/0!</v>
      </c>
      <c r="AE362" s="342" t="e">
        <v>#DIV/0!</v>
      </c>
      <c r="AF362" s="342" t="e">
        <v>#DIV/0!</v>
      </c>
      <c r="AG362" s="332"/>
    </row>
    <row r="363" spans="1:33" s="333" customFormat="1" ht="18" customHeight="1">
      <c r="A363" s="337">
        <v>45</v>
      </c>
      <c r="B363" s="380" t="s">
        <v>1401</v>
      </c>
      <c r="C363" s="338"/>
      <c r="D363" s="338">
        <v>1</v>
      </c>
      <c r="E363" s="338">
        <v>1</v>
      </c>
      <c r="F363" s="338">
        <v>1</v>
      </c>
      <c r="G363" s="338">
        <v>0.52</v>
      </c>
      <c r="H363" s="338">
        <v>0.52</v>
      </c>
      <c r="I363" s="337">
        <v>4</v>
      </c>
      <c r="J363" s="337" t="s">
        <v>998</v>
      </c>
      <c r="K363" s="337">
        <v>4</v>
      </c>
      <c r="L363" s="337" t="s">
        <v>998</v>
      </c>
      <c r="M363" s="337">
        <v>4</v>
      </c>
      <c r="N363" s="337" t="s">
        <v>998</v>
      </c>
      <c r="O363" s="337">
        <v>4</v>
      </c>
      <c r="P363" s="337" t="s">
        <v>998</v>
      </c>
      <c r="Q363" s="337">
        <v>30</v>
      </c>
      <c r="R363" s="337">
        <v>0</v>
      </c>
      <c r="S363" s="339">
        <v>0</v>
      </c>
      <c r="T363" s="339">
        <v>0</v>
      </c>
      <c r="U363" s="339">
        <v>0</v>
      </c>
      <c r="V363" s="339">
        <v>0</v>
      </c>
      <c r="W363" s="339">
        <v>0</v>
      </c>
      <c r="X363" s="339">
        <v>0</v>
      </c>
      <c r="Y363" s="339">
        <v>0</v>
      </c>
      <c r="Z363" s="339">
        <v>0</v>
      </c>
      <c r="AA363" s="339">
        <v>0</v>
      </c>
      <c r="AB363" s="339" t="e">
        <v>#DIV/0!</v>
      </c>
      <c r="AC363" s="342" t="e">
        <v>#DIV/0!</v>
      </c>
      <c r="AD363" s="342" t="e">
        <v>#DIV/0!</v>
      </c>
      <c r="AE363" s="342" t="e">
        <v>#DIV/0!</v>
      </c>
      <c r="AF363" s="342" t="e">
        <v>#DIV/0!</v>
      </c>
      <c r="AG363" s="332"/>
    </row>
    <row r="364" spans="1:33" s="333" customFormat="1" ht="18" customHeight="1">
      <c r="A364" s="337">
        <v>46</v>
      </c>
      <c r="B364" s="380" t="s">
        <v>1402</v>
      </c>
      <c r="C364" s="338"/>
      <c r="D364" s="338">
        <v>1</v>
      </c>
      <c r="E364" s="338">
        <v>1</v>
      </c>
      <c r="F364" s="338">
        <v>1</v>
      </c>
      <c r="G364" s="338">
        <v>0.12</v>
      </c>
      <c r="H364" s="338">
        <v>0.12</v>
      </c>
      <c r="I364" s="337">
        <v>4</v>
      </c>
      <c r="J364" s="337" t="s">
        <v>998</v>
      </c>
      <c r="K364" s="337">
        <v>4</v>
      </c>
      <c r="L364" s="337" t="s">
        <v>998</v>
      </c>
      <c r="M364" s="337">
        <v>4</v>
      </c>
      <c r="N364" s="337" t="s">
        <v>998</v>
      </c>
      <c r="O364" s="337">
        <v>4</v>
      </c>
      <c r="P364" s="337" t="s">
        <v>998</v>
      </c>
      <c r="Q364" s="337">
        <v>30</v>
      </c>
      <c r="R364" s="337">
        <v>0</v>
      </c>
      <c r="S364" s="339">
        <v>0</v>
      </c>
      <c r="T364" s="339">
        <v>0</v>
      </c>
      <c r="U364" s="339">
        <v>0</v>
      </c>
      <c r="V364" s="339">
        <v>0</v>
      </c>
      <c r="W364" s="339">
        <v>0</v>
      </c>
      <c r="X364" s="339">
        <v>0</v>
      </c>
      <c r="Y364" s="339">
        <v>0</v>
      </c>
      <c r="Z364" s="339">
        <v>0</v>
      </c>
      <c r="AA364" s="339">
        <v>0</v>
      </c>
      <c r="AB364" s="339" t="e">
        <v>#DIV/0!</v>
      </c>
      <c r="AC364" s="342" t="e">
        <v>#DIV/0!</v>
      </c>
      <c r="AD364" s="342" t="e">
        <v>#DIV/0!</v>
      </c>
      <c r="AE364" s="342" t="e">
        <v>#DIV/0!</v>
      </c>
      <c r="AF364" s="342" t="e">
        <v>#DIV/0!</v>
      </c>
      <c r="AG364" s="332"/>
    </row>
    <row r="365" spans="1:33" s="332" customFormat="1" ht="18" customHeight="1">
      <c r="A365" s="350" t="s">
        <v>30</v>
      </c>
      <c r="B365" s="376" t="s">
        <v>1403</v>
      </c>
      <c r="C365" s="364"/>
      <c r="D365" s="350"/>
      <c r="E365" s="350"/>
      <c r="F365" s="350"/>
      <c r="G365" s="364"/>
      <c r="H365" s="364"/>
      <c r="I365" s="364"/>
      <c r="J365" s="350"/>
      <c r="K365" s="350"/>
      <c r="L365" s="350"/>
      <c r="M365" s="350"/>
      <c r="N365" s="350"/>
      <c r="O365" s="350"/>
      <c r="P365" s="350"/>
      <c r="Q365" s="350"/>
      <c r="R365" s="350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  <c r="AC365" s="352"/>
      <c r="AD365" s="352"/>
      <c r="AE365" s="352"/>
      <c r="AF365" s="352"/>
    </row>
    <row r="366" spans="1:33" s="333" customFormat="1" ht="18" customHeight="1">
      <c r="A366" s="337">
        <v>1</v>
      </c>
      <c r="B366" s="380" t="s">
        <v>1404</v>
      </c>
      <c r="C366" s="338"/>
      <c r="D366" s="337"/>
      <c r="E366" s="338">
        <v>2</v>
      </c>
      <c r="F366" s="338">
        <v>2</v>
      </c>
      <c r="G366" s="360">
        <v>2.2000000000000002</v>
      </c>
      <c r="H366" s="360">
        <v>2.2000000000000002</v>
      </c>
      <c r="I366" s="338">
        <v>0</v>
      </c>
      <c r="J366" s="337"/>
      <c r="K366" s="337">
        <v>4</v>
      </c>
      <c r="L366" s="337" t="s">
        <v>998</v>
      </c>
      <c r="M366" s="337">
        <v>4</v>
      </c>
      <c r="N366" s="337" t="s">
        <v>998</v>
      </c>
      <c r="O366" s="337">
        <v>4</v>
      </c>
      <c r="P366" s="337" t="s">
        <v>998</v>
      </c>
      <c r="Q366" s="337">
        <v>30</v>
      </c>
      <c r="R366" s="337">
        <v>0</v>
      </c>
      <c r="S366" s="339">
        <v>0</v>
      </c>
      <c r="T366" s="339">
        <v>0</v>
      </c>
      <c r="U366" s="339">
        <v>0</v>
      </c>
      <c r="V366" s="339">
        <v>0</v>
      </c>
      <c r="W366" s="339">
        <v>0</v>
      </c>
      <c r="X366" s="339">
        <v>0</v>
      </c>
      <c r="Y366" s="339">
        <v>0</v>
      </c>
      <c r="Z366" s="339">
        <v>0</v>
      </c>
      <c r="AA366" s="339">
        <v>0</v>
      </c>
      <c r="AB366" s="339" t="e">
        <v>#DIV/0!</v>
      </c>
      <c r="AC366" s="342" t="e">
        <v>#DIV/0!</v>
      </c>
      <c r="AD366" s="342" t="e">
        <v>#DIV/0!</v>
      </c>
      <c r="AE366" s="342" t="e">
        <v>#DIV/0!</v>
      </c>
      <c r="AF366" s="342" t="e">
        <v>#DIV/0!</v>
      </c>
      <c r="AG366" s="332"/>
    </row>
    <row r="367" spans="1:33" s="333" customFormat="1" ht="18" customHeight="1">
      <c r="A367" s="337">
        <v>2</v>
      </c>
      <c r="B367" s="380" t="s">
        <v>1010</v>
      </c>
      <c r="C367" s="338"/>
      <c r="D367" s="337"/>
      <c r="E367" s="338">
        <v>3</v>
      </c>
      <c r="F367" s="338">
        <v>3</v>
      </c>
      <c r="G367" s="338">
        <v>0.1</v>
      </c>
      <c r="H367" s="338">
        <v>0.1</v>
      </c>
      <c r="I367" s="338">
        <v>0</v>
      </c>
      <c r="J367" s="337"/>
      <c r="K367" s="337">
        <v>24</v>
      </c>
      <c r="L367" s="337"/>
      <c r="M367" s="337">
        <v>24</v>
      </c>
      <c r="N367" s="337"/>
      <c r="O367" s="337">
        <v>24</v>
      </c>
      <c r="P367" s="337" t="s">
        <v>996</v>
      </c>
      <c r="Q367" s="337">
        <v>30</v>
      </c>
      <c r="R367" s="337">
        <v>0</v>
      </c>
      <c r="S367" s="339">
        <v>0</v>
      </c>
      <c r="T367" s="339">
        <v>0</v>
      </c>
      <c r="U367" s="339">
        <v>0</v>
      </c>
      <c r="V367" s="339">
        <v>0</v>
      </c>
      <c r="W367" s="339">
        <v>0</v>
      </c>
      <c r="X367" s="339">
        <v>0</v>
      </c>
      <c r="Y367" s="339">
        <v>0</v>
      </c>
      <c r="Z367" s="339">
        <v>0</v>
      </c>
      <c r="AA367" s="339">
        <v>0</v>
      </c>
      <c r="AB367" s="339" t="e">
        <v>#DIV/0!</v>
      </c>
      <c r="AC367" s="342" t="e">
        <v>#DIV/0!</v>
      </c>
      <c r="AD367" s="342" t="e">
        <v>#DIV/0!</v>
      </c>
      <c r="AE367" s="342" t="e">
        <v>#DIV/0!</v>
      </c>
      <c r="AF367" s="342" t="e">
        <v>#DIV/0!</v>
      </c>
      <c r="AG367" s="332"/>
    </row>
    <row r="368" spans="1:33" s="333" customFormat="1" ht="18" customHeight="1">
      <c r="A368" s="337">
        <v>3</v>
      </c>
      <c r="B368" s="380" t="s">
        <v>1381</v>
      </c>
      <c r="C368" s="338"/>
      <c r="D368" s="337"/>
      <c r="E368" s="338">
        <v>4</v>
      </c>
      <c r="F368" s="338">
        <v>4</v>
      </c>
      <c r="G368" s="338">
        <v>1.2</v>
      </c>
      <c r="H368" s="338">
        <v>1.2</v>
      </c>
      <c r="I368" s="338">
        <v>0</v>
      </c>
      <c r="J368" s="337"/>
      <c r="K368" s="337">
        <v>4</v>
      </c>
      <c r="L368" s="337" t="s">
        <v>998</v>
      </c>
      <c r="M368" s="337">
        <v>4</v>
      </c>
      <c r="N368" s="337" t="s">
        <v>998</v>
      </c>
      <c r="O368" s="337">
        <v>4</v>
      </c>
      <c r="P368" s="337" t="s">
        <v>998</v>
      </c>
      <c r="Q368" s="337">
        <v>30</v>
      </c>
      <c r="R368" s="337">
        <v>0</v>
      </c>
      <c r="S368" s="339">
        <v>0</v>
      </c>
      <c r="T368" s="339">
        <v>0</v>
      </c>
      <c r="U368" s="339">
        <v>0</v>
      </c>
      <c r="V368" s="339">
        <v>0</v>
      </c>
      <c r="W368" s="339">
        <v>0</v>
      </c>
      <c r="X368" s="339">
        <v>0</v>
      </c>
      <c r="Y368" s="339">
        <v>0</v>
      </c>
      <c r="Z368" s="339">
        <v>0</v>
      </c>
      <c r="AA368" s="339">
        <v>0</v>
      </c>
      <c r="AB368" s="339" t="e">
        <v>#DIV/0!</v>
      </c>
      <c r="AC368" s="342" t="e">
        <v>#DIV/0!</v>
      </c>
      <c r="AD368" s="342" t="e">
        <v>#DIV/0!</v>
      </c>
      <c r="AE368" s="342" t="e">
        <v>#DIV/0!</v>
      </c>
      <c r="AF368" s="342" t="e">
        <v>#DIV/0!</v>
      </c>
      <c r="AG368" s="332"/>
    </row>
    <row r="369" spans="1:33" s="333" customFormat="1" ht="18" customHeight="1">
      <c r="A369" s="337">
        <v>4</v>
      </c>
      <c r="B369" s="380" t="s">
        <v>1002</v>
      </c>
      <c r="C369" s="338"/>
      <c r="D369" s="337"/>
      <c r="E369" s="338">
        <v>4</v>
      </c>
      <c r="F369" s="338">
        <v>4</v>
      </c>
      <c r="G369" s="338">
        <v>0.75</v>
      </c>
      <c r="H369" s="338">
        <v>0.75</v>
      </c>
      <c r="I369" s="338">
        <v>0</v>
      </c>
      <c r="J369" s="337"/>
      <c r="K369" s="337">
        <v>12</v>
      </c>
      <c r="L369" s="337" t="s">
        <v>996</v>
      </c>
      <c r="M369" s="337">
        <v>12</v>
      </c>
      <c r="N369" s="337" t="s">
        <v>996</v>
      </c>
      <c r="O369" s="337">
        <v>12</v>
      </c>
      <c r="P369" s="337" t="s">
        <v>996</v>
      </c>
      <c r="Q369" s="337">
        <v>30</v>
      </c>
      <c r="R369" s="337">
        <v>0</v>
      </c>
      <c r="S369" s="339">
        <v>0</v>
      </c>
      <c r="T369" s="339">
        <v>0</v>
      </c>
      <c r="U369" s="339">
        <v>0</v>
      </c>
      <c r="V369" s="339">
        <v>0</v>
      </c>
      <c r="W369" s="339">
        <v>0</v>
      </c>
      <c r="X369" s="339">
        <v>0</v>
      </c>
      <c r="Y369" s="339">
        <v>0</v>
      </c>
      <c r="Z369" s="339">
        <v>0</v>
      </c>
      <c r="AA369" s="339">
        <v>0</v>
      </c>
      <c r="AB369" s="339" t="e">
        <v>#DIV/0!</v>
      </c>
      <c r="AC369" s="342" t="e">
        <v>#DIV/0!</v>
      </c>
      <c r="AD369" s="342" t="e">
        <v>#DIV/0!</v>
      </c>
      <c r="AE369" s="342" t="e">
        <v>#DIV/0!</v>
      </c>
      <c r="AF369" s="342" t="e">
        <v>#DIV/0!</v>
      </c>
      <c r="AG369" s="332"/>
    </row>
    <row r="370" spans="1:33" s="333" customFormat="1" ht="18" customHeight="1">
      <c r="A370" s="337">
        <v>5</v>
      </c>
      <c r="B370" s="380" t="s">
        <v>1405</v>
      </c>
      <c r="C370" s="338"/>
      <c r="D370" s="337"/>
      <c r="E370" s="338">
        <v>1</v>
      </c>
      <c r="F370" s="338">
        <v>1</v>
      </c>
      <c r="G370" s="338">
        <v>2.4</v>
      </c>
      <c r="H370" s="338">
        <v>2.4</v>
      </c>
      <c r="I370" s="338">
        <v>0</v>
      </c>
      <c r="J370" s="337"/>
      <c r="K370" s="337">
        <v>12</v>
      </c>
      <c r="L370" s="337" t="s">
        <v>996</v>
      </c>
      <c r="M370" s="337">
        <v>12</v>
      </c>
      <c r="N370" s="337" t="s">
        <v>996</v>
      </c>
      <c r="O370" s="337">
        <v>12</v>
      </c>
      <c r="P370" s="337" t="s">
        <v>996</v>
      </c>
      <c r="Q370" s="337">
        <v>30</v>
      </c>
      <c r="R370" s="337">
        <v>0</v>
      </c>
      <c r="S370" s="339">
        <v>0</v>
      </c>
      <c r="T370" s="339">
        <v>0</v>
      </c>
      <c r="U370" s="339">
        <v>0</v>
      </c>
      <c r="V370" s="339">
        <v>0</v>
      </c>
      <c r="W370" s="339">
        <v>0</v>
      </c>
      <c r="X370" s="339">
        <v>0</v>
      </c>
      <c r="Y370" s="339">
        <v>0</v>
      </c>
      <c r="Z370" s="339">
        <v>0</v>
      </c>
      <c r="AA370" s="339">
        <v>0</v>
      </c>
      <c r="AB370" s="339" t="e">
        <v>#DIV/0!</v>
      </c>
      <c r="AC370" s="342" t="e">
        <v>#DIV/0!</v>
      </c>
      <c r="AD370" s="342" t="e">
        <v>#DIV/0!</v>
      </c>
      <c r="AE370" s="342" t="e">
        <v>#DIV/0!</v>
      </c>
      <c r="AF370" s="342" t="e">
        <v>#DIV/0!</v>
      </c>
      <c r="AG370" s="332"/>
    </row>
    <row r="371" spans="1:33" s="333" customFormat="1" ht="18" customHeight="1">
      <c r="A371" s="337">
        <v>6</v>
      </c>
      <c r="B371" s="380" t="s">
        <v>1016</v>
      </c>
      <c r="C371" s="338"/>
      <c r="D371" s="337"/>
      <c r="E371" s="338">
        <v>12</v>
      </c>
      <c r="F371" s="338">
        <v>12</v>
      </c>
      <c r="G371" s="338">
        <v>36</v>
      </c>
      <c r="H371" s="338">
        <v>36</v>
      </c>
      <c r="I371" s="338">
        <v>0</v>
      </c>
      <c r="J371" s="337"/>
      <c r="K371" s="337">
        <v>4</v>
      </c>
      <c r="L371" s="337" t="s">
        <v>1406</v>
      </c>
      <c r="M371" s="337">
        <v>4</v>
      </c>
      <c r="N371" s="337" t="s">
        <v>1406</v>
      </c>
      <c r="O371" s="337">
        <v>4</v>
      </c>
      <c r="P371" s="337" t="s">
        <v>1406</v>
      </c>
      <c r="Q371" s="337">
        <v>30</v>
      </c>
      <c r="R371" s="337">
        <v>0</v>
      </c>
      <c r="S371" s="339">
        <v>0</v>
      </c>
      <c r="T371" s="339">
        <v>0</v>
      </c>
      <c r="U371" s="339">
        <v>0</v>
      </c>
      <c r="V371" s="339">
        <v>0</v>
      </c>
      <c r="W371" s="339">
        <v>0</v>
      </c>
      <c r="X371" s="339">
        <v>0</v>
      </c>
      <c r="Y371" s="339">
        <v>0</v>
      </c>
      <c r="Z371" s="339">
        <v>0</v>
      </c>
      <c r="AA371" s="339">
        <v>0</v>
      </c>
      <c r="AB371" s="339" t="e">
        <v>#DIV/0!</v>
      </c>
      <c r="AC371" s="342" t="e">
        <v>#DIV/0!</v>
      </c>
      <c r="AD371" s="342" t="e">
        <v>#DIV/0!</v>
      </c>
      <c r="AE371" s="342" t="e">
        <v>#DIV/0!</v>
      </c>
      <c r="AF371" s="342" t="e">
        <v>#DIV/0!</v>
      </c>
      <c r="AG371" s="332"/>
    </row>
    <row r="372" spans="1:33" s="333" customFormat="1" ht="18" customHeight="1">
      <c r="A372" s="337">
        <v>7</v>
      </c>
      <c r="B372" s="380" t="s">
        <v>1380</v>
      </c>
      <c r="C372" s="338"/>
      <c r="D372" s="337"/>
      <c r="E372" s="338">
        <v>1</v>
      </c>
      <c r="F372" s="338">
        <v>1</v>
      </c>
      <c r="G372" s="360">
        <v>15</v>
      </c>
      <c r="H372" s="360">
        <v>15</v>
      </c>
      <c r="I372" s="338">
        <v>0</v>
      </c>
      <c r="J372" s="337"/>
      <c r="K372" s="337">
        <v>4</v>
      </c>
      <c r="L372" s="337" t="s">
        <v>1406</v>
      </c>
      <c r="M372" s="337">
        <v>4</v>
      </c>
      <c r="N372" s="337" t="s">
        <v>1406</v>
      </c>
      <c r="O372" s="337">
        <v>4</v>
      </c>
      <c r="P372" s="337" t="s">
        <v>1406</v>
      </c>
      <c r="Q372" s="337">
        <v>30</v>
      </c>
      <c r="R372" s="337">
        <v>0</v>
      </c>
      <c r="S372" s="339">
        <v>0</v>
      </c>
      <c r="T372" s="339">
        <v>0</v>
      </c>
      <c r="U372" s="339">
        <v>0</v>
      </c>
      <c r="V372" s="339">
        <v>0</v>
      </c>
      <c r="W372" s="339">
        <v>0</v>
      </c>
      <c r="X372" s="339">
        <v>0</v>
      </c>
      <c r="Y372" s="339">
        <v>0</v>
      </c>
      <c r="Z372" s="339">
        <v>0</v>
      </c>
      <c r="AA372" s="339">
        <v>0</v>
      </c>
      <c r="AB372" s="339" t="e">
        <v>#DIV/0!</v>
      </c>
      <c r="AC372" s="342" t="e">
        <v>#DIV/0!</v>
      </c>
      <c r="AD372" s="342" t="e">
        <v>#DIV/0!</v>
      </c>
      <c r="AE372" s="342" t="e">
        <v>#DIV/0!</v>
      </c>
      <c r="AF372" s="342" t="e">
        <v>#DIV/0!</v>
      </c>
      <c r="AG372" s="332"/>
    </row>
    <row r="373" spans="1:33" s="333" customFormat="1" ht="18" customHeight="1">
      <c r="A373" s="337">
        <v>8</v>
      </c>
      <c r="B373" s="380" t="s">
        <v>1397</v>
      </c>
      <c r="C373" s="338"/>
      <c r="D373" s="337"/>
      <c r="E373" s="338">
        <v>1</v>
      </c>
      <c r="F373" s="338">
        <v>1</v>
      </c>
      <c r="G373" s="338">
        <v>1.2</v>
      </c>
      <c r="H373" s="338">
        <v>1.2</v>
      </c>
      <c r="I373" s="338">
        <v>0</v>
      </c>
      <c r="J373" s="337"/>
      <c r="K373" s="337">
        <v>4</v>
      </c>
      <c r="L373" s="337" t="s">
        <v>1406</v>
      </c>
      <c r="M373" s="337">
        <v>4</v>
      </c>
      <c r="N373" s="337" t="s">
        <v>1406</v>
      </c>
      <c r="O373" s="337">
        <v>4</v>
      </c>
      <c r="P373" s="337" t="s">
        <v>1406</v>
      </c>
      <c r="Q373" s="337">
        <v>30</v>
      </c>
      <c r="R373" s="337">
        <v>0</v>
      </c>
      <c r="S373" s="339">
        <v>0</v>
      </c>
      <c r="T373" s="339">
        <v>0</v>
      </c>
      <c r="U373" s="339">
        <v>0</v>
      </c>
      <c r="V373" s="339">
        <v>0</v>
      </c>
      <c r="W373" s="339">
        <v>0</v>
      </c>
      <c r="X373" s="339">
        <v>0</v>
      </c>
      <c r="Y373" s="339">
        <v>0</v>
      </c>
      <c r="Z373" s="339">
        <v>0</v>
      </c>
      <c r="AA373" s="339">
        <v>0</v>
      </c>
      <c r="AB373" s="339" t="e">
        <v>#DIV/0!</v>
      </c>
      <c r="AC373" s="342" t="e">
        <v>#DIV/0!</v>
      </c>
      <c r="AD373" s="342" t="e">
        <v>#DIV/0!</v>
      </c>
      <c r="AE373" s="342" t="e">
        <v>#DIV/0!</v>
      </c>
      <c r="AF373" s="342" t="e">
        <v>#DIV/0!</v>
      </c>
      <c r="AG373" s="332"/>
    </row>
    <row r="374" spans="1:33" s="333" customFormat="1" ht="18" customHeight="1">
      <c r="A374" s="337">
        <v>9</v>
      </c>
      <c r="B374" s="380" t="s">
        <v>1021</v>
      </c>
      <c r="C374" s="338"/>
      <c r="D374" s="337"/>
      <c r="E374" s="338">
        <v>17</v>
      </c>
      <c r="F374" s="338">
        <v>17</v>
      </c>
      <c r="G374" s="338">
        <v>0.25</v>
      </c>
      <c r="H374" s="338">
        <v>0.25</v>
      </c>
      <c r="I374" s="338">
        <v>0</v>
      </c>
      <c r="J374" s="337"/>
      <c r="K374" s="337">
        <v>4</v>
      </c>
      <c r="L374" s="337" t="s">
        <v>1406</v>
      </c>
      <c r="M374" s="337">
        <v>4</v>
      </c>
      <c r="N374" s="337" t="s">
        <v>1406</v>
      </c>
      <c r="O374" s="337">
        <v>4</v>
      </c>
      <c r="P374" s="337" t="s">
        <v>1406</v>
      </c>
      <c r="Q374" s="337">
        <v>30</v>
      </c>
      <c r="R374" s="337">
        <v>0</v>
      </c>
      <c r="S374" s="339">
        <v>0</v>
      </c>
      <c r="T374" s="339">
        <v>0</v>
      </c>
      <c r="U374" s="339">
        <v>0</v>
      </c>
      <c r="V374" s="339">
        <v>0</v>
      </c>
      <c r="W374" s="339">
        <v>0</v>
      </c>
      <c r="X374" s="339">
        <v>0</v>
      </c>
      <c r="Y374" s="339">
        <v>0</v>
      </c>
      <c r="Z374" s="339">
        <v>0</v>
      </c>
      <c r="AA374" s="339">
        <v>0</v>
      </c>
      <c r="AB374" s="339" t="e">
        <v>#DIV/0!</v>
      </c>
      <c r="AC374" s="342" t="e">
        <v>#DIV/0!</v>
      </c>
      <c r="AD374" s="342" t="e">
        <v>#DIV/0!</v>
      </c>
      <c r="AE374" s="342" t="e">
        <v>#DIV/0!</v>
      </c>
      <c r="AF374" s="342" t="e">
        <v>#DIV/0!</v>
      </c>
      <c r="AG374" s="332"/>
    </row>
    <row r="375" spans="1:33" s="333" customFormat="1" ht="18" customHeight="1">
      <c r="A375" s="337">
        <v>10</v>
      </c>
      <c r="B375" s="380" t="s">
        <v>1005</v>
      </c>
      <c r="C375" s="338"/>
      <c r="D375" s="337"/>
      <c r="E375" s="338">
        <v>1</v>
      </c>
      <c r="F375" s="338">
        <v>1</v>
      </c>
      <c r="G375" s="338">
        <v>2.2000000000000002</v>
      </c>
      <c r="H375" s="338">
        <v>2.2000000000000002</v>
      </c>
      <c r="I375" s="338">
        <v>0</v>
      </c>
      <c r="J375" s="337"/>
      <c r="K375" s="337">
        <v>4</v>
      </c>
      <c r="L375" s="337" t="s">
        <v>1406</v>
      </c>
      <c r="M375" s="337">
        <v>4</v>
      </c>
      <c r="N375" s="337" t="s">
        <v>1406</v>
      </c>
      <c r="O375" s="337">
        <v>4</v>
      </c>
      <c r="P375" s="337" t="s">
        <v>1406</v>
      </c>
      <c r="Q375" s="337">
        <v>30</v>
      </c>
      <c r="R375" s="337">
        <v>0</v>
      </c>
      <c r="S375" s="339">
        <v>0</v>
      </c>
      <c r="T375" s="339">
        <v>0</v>
      </c>
      <c r="U375" s="339">
        <v>0</v>
      </c>
      <c r="V375" s="339">
        <v>0</v>
      </c>
      <c r="W375" s="339">
        <v>0</v>
      </c>
      <c r="X375" s="339">
        <v>0</v>
      </c>
      <c r="Y375" s="339">
        <v>0</v>
      </c>
      <c r="Z375" s="339">
        <v>0</v>
      </c>
      <c r="AA375" s="339">
        <v>0</v>
      </c>
      <c r="AB375" s="339" t="e">
        <v>#DIV/0!</v>
      </c>
      <c r="AC375" s="342" t="e">
        <v>#DIV/0!</v>
      </c>
      <c r="AD375" s="342" t="e">
        <v>#DIV/0!</v>
      </c>
      <c r="AE375" s="342" t="e">
        <v>#DIV/0!</v>
      </c>
      <c r="AF375" s="342" t="e">
        <v>#DIV/0!</v>
      </c>
      <c r="AG375" s="332"/>
    </row>
    <row r="376" spans="1:33" s="333" customFormat="1" ht="18" customHeight="1">
      <c r="A376" s="337">
        <v>11</v>
      </c>
      <c r="B376" s="380" t="s">
        <v>1386</v>
      </c>
      <c r="C376" s="338"/>
      <c r="D376" s="337"/>
      <c r="E376" s="338">
        <v>1</v>
      </c>
      <c r="F376" s="338">
        <v>1</v>
      </c>
      <c r="G376" s="360">
        <v>12</v>
      </c>
      <c r="H376" s="360">
        <v>12</v>
      </c>
      <c r="I376" s="338">
        <v>0</v>
      </c>
      <c r="J376" s="337"/>
      <c r="K376" s="337">
        <v>4</v>
      </c>
      <c r="L376" s="337" t="s">
        <v>1406</v>
      </c>
      <c r="M376" s="337">
        <v>4</v>
      </c>
      <c r="N376" s="337" t="s">
        <v>1406</v>
      </c>
      <c r="O376" s="337">
        <v>4</v>
      </c>
      <c r="P376" s="337" t="s">
        <v>1406</v>
      </c>
      <c r="Q376" s="337">
        <v>30</v>
      </c>
      <c r="R376" s="337">
        <v>0</v>
      </c>
      <c r="S376" s="339">
        <v>0</v>
      </c>
      <c r="T376" s="339">
        <v>0</v>
      </c>
      <c r="U376" s="339">
        <v>0</v>
      </c>
      <c r="V376" s="339">
        <v>0</v>
      </c>
      <c r="W376" s="339">
        <v>0</v>
      </c>
      <c r="X376" s="339">
        <v>0</v>
      </c>
      <c r="Y376" s="339">
        <v>0</v>
      </c>
      <c r="Z376" s="339">
        <v>0</v>
      </c>
      <c r="AA376" s="339">
        <v>0</v>
      </c>
      <c r="AB376" s="339" t="e">
        <v>#DIV/0!</v>
      </c>
      <c r="AC376" s="342" t="e">
        <v>#DIV/0!</v>
      </c>
      <c r="AD376" s="342" t="e">
        <v>#DIV/0!</v>
      </c>
      <c r="AE376" s="342" t="e">
        <v>#DIV/0!</v>
      </c>
      <c r="AF376" s="342" t="e">
        <v>#DIV/0!</v>
      </c>
      <c r="AG376" s="332"/>
    </row>
    <row r="377" spans="1:33" s="333" customFormat="1" ht="18" customHeight="1">
      <c r="A377" s="337">
        <v>12</v>
      </c>
      <c r="B377" s="380" t="s">
        <v>1018</v>
      </c>
      <c r="C377" s="338"/>
      <c r="D377" s="337"/>
      <c r="E377" s="338">
        <v>1</v>
      </c>
      <c r="F377" s="338">
        <v>1</v>
      </c>
      <c r="G377" s="338">
        <v>2.5</v>
      </c>
      <c r="H377" s="338">
        <v>2.5</v>
      </c>
      <c r="I377" s="338">
        <v>0</v>
      </c>
      <c r="J377" s="337"/>
      <c r="K377" s="337">
        <v>4</v>
      </c>
      <c r="L377" s="337" t="s">
        <v>1406</v>
      </c>
      <c r="M377" s="337">
        <v>4</v>
      </c>
      <c r="N377" s="337" t="s">
        <v>1406</v>
      </c>
      <c r="O377" s="337">
        <v>4</v>
      </c>
      <c r="P377" s="337" t="s">
        <v>1406</v>
      </c>
      <c r="Q377" s="337">
        <v>30</v>
      </c>
      <c r="R377" s="337">
        <v>0</v>
      </c>
      <c r="S377" s="339">
        <v>0</v>
      </c>
      <c r="T377" s="339">
        <v>0</v>
      </c>
      <c r="U377" s="339">
        <v>0</v>
      </c>
      <c r="V377" s="339">
        <v>0</v>
      </c>
      <c r="W377" s="339">
        <v>0</v>
      </c>
      <c r="X377" s="339">
        <v>0</v>
      </c>
      <c r="Y377" s="339">
        <v>0</v>
      </c>
      <c r="Z377" s="339">
        <v>0</v>
      </c>
      <c r="AA377" s="339">
        <v>0</v>
      </c>
      <c r="AB377" s="339" t="e">
        <v>#DIV/0!</v>
      </c>
      <c r="AC377" s="342" t="e">
        <v>#DIV/0!</v>
      </c>
      <c r="AD377" s="342" t="e">
        <v>#DIV/0!</v>
      </c>
      <c r="AE377" s="342" t="e">
        <v>#DIV/0!</v>
      </c>
      <c r="AF377" s="342" t="e">
        <v>#DIV/0!</v>
      </c>
      <c r="AG377" s="332"/>
    </row>
    <row r="378" spans="1:33" s="333" customFormat="1" ht="18" customHeight="1">
      <c r="A378" s="337">
        <v>13</v>
      </c>
      <c r="B378" s="380" t="s">
        <v>1384</v>
      </c>
      <c r="C378" s="338"/>
      <c r="D378" s="337"/>
      <c r="E378" s="338">
        <v>1</v>
      </c>
      <c r="F378" s="338">
        <v>1</v>
      </c>
      <c r="G378" s="338">
        <v>2.4</v>
      </c>
      <c r="H378" s="338">
        <v>2.4</v>
      </c>
      <c r="I378" s="338">
        <v>0</v>
      </c>
      <c r="J378" s="337"/>
      <c r="K378" s="337">
        <v>4</v>
      </c>
      <c r="L378" s="337" t="s">
        <v>1406</v>
      </c>
      <c r="M378" s="337">
        <v>4</v>
      </c>
      <c r="N378" s="337" t="s">
        <v>1406</v>
      </c>
      <c r="O378" s="337">
        <v>4</v>
      </c>
      <c r="P378" s="337" t="s">
        <v>1406</v>
      </c>
      <c r="Q378" s="337">
        <v>30</v>
      </c>
      <c r="R378" s="337">
        <v>0</v>
      </c>
      <c r="S378" s="339">
        <v>0</v>
      </c>
      <c r="T378" s="339">
        <v>0</v>
      </c>
      <c r="U378" s="339">
        <v>0</v>
      </c>
      <c r="V378" s="339">
        <v>0</v>
      </c>
      <c r="W378" s="339">
        <v>0</v>
      </c>
      <c r="X378" s="339">
        <v>0</v>
      </c>
      <c r="Y378" s="339">
        <v>0</v>
      </c>
      <c r="Z378" s="339">
        <v>0</v>
      </c>
      <c r="AA378" s="339">
        <v>0</v>
      </c>
      <c r="AB378" s="339" t="e">
        <v>#DIV/0!</v>
      </c>
      <c r="AC378" s="342" t="e">
        <v>#DIV/0!</v>
      </c>
      <c r="AD378" s="342" t="e">
        <v>#DIV/0!</v>
      </c>
      <c r="AE378" s="342" t="e">
        <v>#DIV/0!</v>
      </c>
      <c r="AF378" s="342" t="e">
        <v>#DIV/0!</v>
      </c>
      <c r="AG378" s="332"/>
    </row>
    <row r="379" spans="1:33" s="333" customFormat="1" ht="18" customHeight="1">
      <c r="A379" s="337">
        <v>14</v>
      </c>
      <c r="B379" s="380" t="s">
        <v>1017</v>
      </c>
      <c r="C379" s="338"/>
      <c r="D379" s="337"/>
      <c r="E379" s="338">
        <v>14</v>
      </c>
      <c r="F379" s="338">
        <v>14</v>
      </c>
      <c r="G379" s="338">
        <v>2.4</v>
      </c>
      <c r="H379" s="338">
        <v>2.4</v>
      </c>
      <c r="I379" s="338">
        <v>0</v>
      </c>
      <c r="J379" s="337"/>
      <c r="K379" s="337">
        <v>4</v>
      </c>
      <c r="L379" s="337" t="s">
        <v>1406</v>
      </c>
      <c r="M379" s="337">
        <v>4</v>
      </c>
      <c r="N379" s="337" t="s">
        <v>1406</v>
      </c>
      <c r="O379" s="337">
        <v>4</v>
      </c>
      <c r="P379" s="337" t="s">
        <v>1406</v>
      </c>
      <c r="Q379" s="337">
        <v>30</v>
      </c>
      <c r="R379" s="337">
        <v>0</v>
      </c>
      <c r="S379" s="339">
        <v>0</v>
      </c>
      <c r="T379" s="339">
        <v>0</v>
      </c>
      <c r="U379" s="339">
        <v>0</v>
      </c>
      <c r="V379" s="339">
        <v>0</v>
      </c>
      <c r="W379" s="339">
        <v>0</v>
      </c>
      <c r="X379" s="339">
        <v>0</v>
      </c>
      <c r="Y379" s="339">
        <v>0</v>
      </c>
      <c r="Z379" s="339">
        <v>0</v>
      </c>
      <c r="AA379" s="339">
        <v>0</v>
      </c>
      <c r="AB379" s="339" t="e">
        <v>#DIV/0!</v>
      </c>
      <c r="AC379" s="342" t="e">
        <v>#DIV/0!</v>
      </c>
      <c r="AD379" s="342" t="e">
        <v>#DIV/0!</v>
      </c>
      <c r="AE379" s="342" t="e">
        <v>#DIV/0!</v>
      </c>
      <c r="AF379" s="342" t="e">
        <v>#DIV/0!</v>
      </c>
      <c r="AG379" s="332"/>
    </row>
    <row r="380" spans="1:33" s="333" customFormat="1" ht="18" customHeight="1">
      <c r="A380" s="337">
        <v>15</v>
      </c>
      <c r="B380" s="380" t="s">
        <v>1020</v>
      </c>
      <c r="C380" s="338"/>
      <c r="D380" s="337"/>
      <c r="E380" s="338">
        <v>1</v>
      </c>
      <c r="F380" s="338">
        <v>1</v>
      </c>
      <c r="G380" s="360">
        <v>2.2999999999999998</v>
      </c>
      <c r="H380" s="360">
        <v>2.2999999999999998</v>
      </c>
      <c r="I380" s="338">
        <v>0</v>
      </c>
      <c r="J380" s="337"/>
      <c r="K380" s="337">
        <v>4</v>
      </c>
      <c r="L380" s="337" t="s">
        <v>1406</v>
      </c>
      <c r="M380" s="337">
        <v>4</v>
      </c>
      <c r="N380" s="337" t="s">
        <v>1406</v>
      </c>
      <c r="O380" s="337">
        <v>4</v>
      </c>
      <c r="P380" s="337" t="s">
        <v>1406</v>
      </c>
      <c r="Q380" s="337">
        <v>30</v>
      </c>
      <c r="R380" s="337">
        <v>0</v>
      </c>
      <c r="S380" s="339">
        <v>0</v>
      </c>
      <c r="T380" s="339">
        <v>0</v>
      </c>
      <c r="U380" s="339">
        <v>0</v>
      </c>
      <c r="V380" s="339">
        <v>0</v>
      </c>
      <c r="W380" s="339">
        <v>0</v>
      </c>
      <c r="X380" s="339">
        <v>0</v>
      </c>
      <c r="Y380" s="339">
        <v>0</v>
      </c>
      <c r="Z380" s="339">
        <v>0</v>
      </c>
      <c r="AA380" s="339">
        <v>0</v>
      </c>
      <c r="AB380" s="339" t="e">
        <v>#DIV/0!</v>
      </c>
      <c r="AC380" s="342" t="e">
        <v>#DIV/0!</v>
      </c>
      <c r="AD380" s="342" t="e">
        <v>#DIV/0!</v>
      </c>
      <c r="AE380" s="342" t="e">
        <v>#DIV/0!</v>
      </c>
      <c r="AF380" s="342" t="e">
        <v>#DIV/0!</v>
      </c>
      <c r="AG380" s="332"/>
    </row>
    <row r="381" spans="1:33" s="333" customFormat="1" ht="18" customHeight="1">
      <c r="A381" s="337">
        <v>16</v>
      </c>
      <c r="B381" s="380" t="s">
        <v>1388</v>
      </c>
      <c r="C381" s="338"/>
      <c r="D381" s="337"/>
      <c r="E381" s="338">
        <v>4</v>
      </c>
      <c r="F381" s="338">
        <v>4</v>
      </c>
      <c r="G381" s="338">
        <v>0.16</v>
      </c>
      <c r="H381" s="338">
        <v>0.16</v>
      </c>
      <c r="I381" s="338">
        <v>0</v>
      </c>
      <c r="J381" s="337"/>
      <c r="K381" s="337">
        <v>8</v>
      </c>
      <c r="L381" s="337" t="s">
        <v>1407</v>
      </c>
      <c r="M381" s="337">
        <v>8</v>
      </c>
      <c r="N381" s="337" t="s">
        <v>1407</v>
      </c>
      <c r="O381" s="337">
        <v>8</v>
      </c>
      <c r="P381" s="337" t="s">
        <v>1407</v>
      </c>
      <c r="Q381" s="337">
        <v>30</v>
      </c>
      <c r="R381" s="337">
        <v>0</v>
      </c>
      <c r="S381" s="339">
        <v>0</v>
      </c>
      <c r="T381" s="339">
        <v>0</v>
      </c>
      <c r="U381" s="339">
        <v>0</v>
      </c>
      <c r="V381" s="339">
        <v>0</v>
      </c>
      <c r="W381" s="339">
        <v>0</v>
      </c>
      <c r="X381" s="339">
        <v>0</v>
      </c>
      <c r="Y381" s="339">
        <v>0</v>
      </c>
      <c r="Z381" s="339">
        <v>0</v>
      </c>
      <c r="AA381" s="339">
        <v>0</v>
      </c>
      <c r="AB381" s="339" t="e">
        <v>#DIV/0!</v>
      </c>
      <c r="AC381" s="342" t="e">
        <v>#DIV/0!</v>
      </c>
      <c r="AD381" s="342" t="e">
        <v>#DIV/0!</v>
      </c>
      <c r="AE381" s="342" t="e">
        <v>#DIV/0!</v>
      </c>
      <c r="AF381" s="342" t="e">
        <v>#DIV/0!</v>
      </c>
      <c r="AG381" s="332"/>
    </row>
    <row r="382" spans="1:33" s="333" customFormat="1" ht="18" customHeight="1">
      <c r="A382" s="337">
        <v>17</v>
      </c>
      <c r="B382" s="380" t="s">
        <v>1022</v>
      </c>
      <c r="C382" s="338"/>
      <c r="D382" s="337"/>
      <c r="E382" s="338">
        <v>50</v>
      </c>
      <c r="F382" s="338">
        <v>50</v>
      </c>
      <c r="G382" s="338">
        <v>0.02</v>
      </c>
      <c r="H382" s="338">
        <v>0.02</v>
      </c>
      <c r="I382" s="338">
        <v>0</v>
      </c>
      <c r="J382" s="337"/>
      <c r="K382" s="337">
        <v>8</v>
      </c>
      <c r="L382" s="337" t="s">
        <v>1407</v>
      </c>
      <c r="M382" s="337">
        <v>8</v>
      </c>
      <c r="N382" s="337" t="s">
        <v>1407</v>
      </c>
      <c r="O382" s="337">
        <v>8</v>
      </c>
      <c r="P382" s="337" t="s">
        <v>1407</v>
      </c>
      <c r="Q382" s="337">
        <v>30</v>
      </c>
      <c r="R382" s="337">
        <v>0</v>
      </c>
      <c r="S382" s="339">
        <v>0</v>
      </c>
      <c r="T382" s="339">
        <v>0</v>
      </c>
      <c r="U382" s="339">
        <v>0</v>
      </c>
      <c r="V382" s="339">
        <v>0</v>
      </c>
      <c r="W382" s="339">
        <v>0</v>
      </c>
      <c r="X382" s="339">
        <v>0</v>
      </c>
      <c r="Y382" s="339">
        <v>0</v>
      </c>
      <c r="Z382" s="339">
        <v>0</v>
      </c>
      <c r="AA382" s="339">
        <v>0</v>
      </c>
      <c r="AB382" s="339" t="e">
        <v>#DIV/0!</v>
      </c>
      <c r="AC382" s="342" t="e">
        <v>#DIV/0!</v>
      </c>
      <c r="AD382" s="342" t="e">
        <v>#DIV/0!</v>
      </c>
      <c r="AE382" s="342" t="e">
        <v>#DIV/0!</v>
      </c>
      <c r="AF382" s="342" t="e">
        <v>#DIV/0!</v>
      </c>
      <c r="AG382" s="332"/>
    </row>
    <row r="383" spans="1:33" s="333" customFormat="1" ht="18" customHeight="1">
      <c r="A383" s="382"/>
      <c r="B383" s="353" t="s">
        <v>1408</v>
      </c>
      <c r="C383" s="383"/>
      <c r="D383" s="384"/>
      <c r="E383" s="385"/>
      <c r="F383" s="385"/>
      <c r="G383" s="234"/>
      <c r="H383" s="234"/>
      <c r="I383" s="38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  <c r="AA383" s="384"/>
      <c r="AB383" s="384"/>
      <c r="AC383" s="384"/>
      <c r="AD383" s="384"/>
      <c r="AE383" s="384"/>
      <c r="AF383" s="384"/>
      <c r="AG383" s="332"/>
    </row>
    <row r="384" spans="1:33" s="333" customFormat="1" ht="18" customHeight="1">
      <c r="A384" s="382"/>
      <c r="B384" s="232" t="s">
        <v>372</v>
      </c>
      <c r="C384" s="233">
        <v>1</v>
      </c>
      <c r="D384" s="233">
        <v>1</v>
      </c>
      <c r="E384" s="233">
        <v>1</v>
      </c>
      <c r="F384" s="233">
        <v>1</v>
      </c>
      <c r="G384" s="234">
        <v>1.5</v>
      </c>
      <c r="H384" s="234">
        <v>1.5</v>
      </c>
      <c r="I384" s="235">
        <v>6</v>
      </c>
      <c r="J384" s="235" t="s">
        <v>1243</v>
      </c>
      <c r="K384" s="235">
        <v>6</v>
      </c>
      <c r="L384" s="235">
        <v>6</v>
      </c>
      <c r="M384" s="235">
        <v>6</v>
      </c>
      <c r="N384" s="235">
        <v>6</v>
      </c>
      <c r="O384" s="235">
        <v>6</v>
      </c>
      <c r="P384" s="235">
        <v>6</v>
      </c>
      <c r="Q384" s="386">
        <v>30</v>
      </c>
      <c r="R384" s="387">
        <v>0</v>
      </c>
      <c r="S384" s="387">
        <v>270</v>
      </c>
      <c r="T384" s="388">
        <v>270</v>
      </c>
      <c r="U384" s="388">
        <v>270</v>
      </c>
      <c r="V384" s="388">
        <v>270</v>
      </c>
      <c r="W384" s="387">
        <v>0</v>
      </c>
      <c r="X384" s="387">
        <v>270</v>
      </c>
      <c r="Y384" s="388">
        <v>270</v>
      </c>
      <c r="Z384" s="388">
        <v>270</v>
      </c>
      <c r="AA384" s="388">
        <v>270</v>
      </c>
      <c r="AB384" s="389" t="e">
        <v>#DIV/0!</v>
      </c>
      <c r="AC384" s="389">
        <v>1</v>
      </c>
      <c r="AD384" s="389">
        <v>1</v>
      </c>
      <c r="AE384" s="389">
        <v>1</v>
      </c>
      <c r="AF384" s="389">
        <v>1</v>
      </c>
      <c r="AG384" s="332"/>
    </row>
    <row r="385" spans="1:33" s="333" customFormat="1" ht="18" customHeight="1">
      <c r="A385" s="382"/>
      <c r="B385" s="232" t="s">
        <v>1409</v>
      </c>
      <c r="C385" s="233">
        <v>1</v>
      </c>
      <c r="D385" s="233">
        <v>1</v>
      </c>
      <c r="E385" s="233">
        <v>1</v>
      </c>
      <c r="F385" s="233">
        <v>1</v>
      </c>
      <c r="G385" s="234">
        <v>2.2000000000000002</v>
      </c>
      <c r="H385" s="234">
        <v>2.2000000000000002</v>
      </c>
      <c r="I385" s="235">
        <v>6</v>
      </c>
      <c r="J385" s="235" t="s">
        <v>1243</v>
      </c>
      <c r="K385" s="235">
        <v>6</v>
      </c>
      <c r="L385" s="235">
        <v>6</v>
      </c>
      <c r="M385" s="235">
        <v>6</v>
      </c>
      <c r="N385" s="235">
        <v>6</v>
      </c>
      <c r="O385" s="235">
        <v>6</v>
      </c>
      <c r="P385" s="235">
        <v>6</v>
      </c>
      <c r="Q385" s="386">
        <v>30</v>
      </c>
      <c r="R385" s="387">
        <v>0</v>
      </c>
      <c r="S385" s="387">
        <v>0</v>
      </c>
      <c r="T385" s="388">
        <v>0</v>
      </c>
      <c r="U385" s="388">
        <v>0</v>
      </c>
      <c r="V385" s="388">
        <v>0</v>
      </c>
      <c r="W385" s="387">
        <v>0</v>
      </c>
      <c r="X385" s="387">
        <v>0</v>
      </c>
      <c r="Y385" s="388">
        <v>0</v>
      </c>
      <c r="Z385" s="388">
        <v>0</v>
      </c>
      <c r="AA385" s="388">
        <v>0</v>
      </c>
      <c r="AB385" s="389" t="e">
        <v>#DIV/0!</v>
      </c>
      <c r="AC385" s="389" t="e">
        <v>#DIV/0!</v>
      </c>
      <c r="AD385" s="389" t="e">
        <v>#DIV/0!</v>
      </c>
      <c r="AE385" s="389" t="e">
        <v>#DIV/0!</v>
      </c>
      <c r="AF385" s="389" t="e">
        <v>#DIV/0!</v>
      </c>
      <c r="AG385" s="332"/>
    </row>
    <row r="386" spans="1:33" s="333" customFormat="1" ht="18" customHeight="1">
      <c r="A386" s="382"/>
      <c r="B386" s="232" t="s">
        <v>1410</v>
      </c>
      <c r="C386" s="233">
        <v>1</v>
      </c>
      <c r="D386" s="233">
        <v>1</v>
      </c>
      <c r="E386" s="233">
        <v>1</v>
      </c>
      <c r="F386" s="233">
        <v>1</v>
      </c>
      <c r="G386" s="234">
        <v>2.2000000000000002</v>
      </c>
      <c r="H386" s="234">
        <v>2.2000000000000002</v>
      </c>
      <c r="I386" s="235">
        <v>6</v>
      </c>
      <c r="J386" s="235" t="s">
        <v>1243</v>
      </c>
      <c r="K386" s="235">
        <v>6</v>
      </c>
      <c r="L386" s="235">
        <v>6</v>
      </c>
      <c r="M386" s="235">
        <v>6</v>
      </c>
      <c r="N386" s="235">
        <v>6</v>
      </c>
      <c r="O386" s="235">
        <v>6</v>
      </c>
      <c r="P386" s="235">
        <v>6</v>
      </c>
      <c r="Q386" s="386">
        <v>30</v>
      </c>
      <c r="R386" s="387">
        <v>0</v>
      </c>
      <c r="S386" s="387">
        <v>0</v>
      </c>
      <c r="T386" s="388">
        <v>0</v>
      </c>
      <c r="U386" s="388">
        <v>0</v>
      </c>
      <c r="V386" s="388">
        <v>0</v>
      </c>
      <c r="W386" s="387">
        <v>0</v>
      </c>
      <c r="X386" s="387">
        <v>0</v>
      </c>
      <c r="Y386" s="388">
        <v>0</v>
      </c>
      <c r="Z386" s="388">
        <v>0</v>
      </c>
      <c r="AA386" s="388">
        <v>0</v>
      </c>
      <c r="AB386" s="389" t="e">
        <v>#DIV/0!</v>
      </c>
      <c r="AC386" s="389" t="e">
        <v>#DIV/0!</v>
      </c>
      <c r="AD386" s="389" t="e">
        <v>#DIV/0!</v>
      </c>
      <c r="AE386" s="389" t="e">
        <v>#DIV/0!</v>
      </c>
      <c r="AF386" s="389" t="e">
        <v>#DIV/0!</v>
      </c>
      <c r="AG386" s="332"/>
    </row>
    <row r="387" spans="1:33" s="333" customFormat="1" ht="18" customHeight="1">
      <c r="A387" s="382"/>
      <c r="B387" s="232" t="s">
        <v>1411</v>
      </c>
      <c r="C387" s="233">
        <v>1</v>
      </c>
      <c r="D387" s="233">
        <v>1</v>
      </c>
      <c r="E387" s="233">
        <v>1</v>
      </c>
      <c r="F387" s="233">
        <v>1</v>
      </c>
      <c r="G387" s="234">
        <v>2.4</v>
      </c>
      <c r="H387" s="234">
        <v>2.4</v>
      </c>
      <c r="I387" s="235">
        <v>6</v>
      </c>
      <c r="J387" s="235" t="s">
        <v>1243</v>
      </c>
      <c r="K387" s="235">
        <v>6</v>
      </c>
      <c r="L387" s="235">
        <v>6</v>
      </c>
      <c r="M387" s="235">
        <v>6</v>
      </c>
      <c r="N387" s="235">
        <v>6</v>
      </c>
      <c r="O387" s="235">
        <v>6</v>
      </c>
      <c r="P387" s="235">
        <v>6</v>
      </c>
      <c r="Q387" s="386">
        <v>30</v>
      </c>
      <c r="R387" s="387">
        <v>0</v>
      </c>
      <c r="S387" s="387">
        <v>0</v>
      </c>
      <c r="T387" s="388">
        <v>0</v>
      </c>
      <c r="U387" s="388">
        <v>0</v>
      </c>
      <c r="V387" s="388">
        <v>0</v>
      </c>
      <c r="W387" s="387">
        <v>0</v>
      </c>
      <c r="X387" s="387">
        <v>0</v>
      </c>
      <c r="Y387" s="388">
        <v>0</v>
      </c>
      <c r="Z387" s="388">
        <v>0</v>
      </c>
      <c r="AA387" s="388">
        <v>0</v>
      </c>
      <c r="AB387" s="389" t="e">
        <v>#DIV/0!</v>
      </c>
      <c r="AC387" s="389" t="e">
        <v>#DIV/0!</v>
      </c>
      <c r="AD387" s="389" t="e">
        <v>#DIV/0!</v>
      </c>
      <c r="AE387" s="389" t="e">
        <v>#DIV/0!</v>
      </c>
      <c r="AF387" s="389" t="e">
        <v>#DIV/0!</v>
      </c>
      <c r="AG387" s="332"/>
    </row>
    <row r="388" spans="1:33" s="333" customFormat="1" ht="18" customHeight="1">
      <c r="A388" s="382"/>
      <c r="B388" s="232" t="s">
        <v>1412</v>
      </c>
      <c r="C388" s="233">
        <v>2</v>
      </c>
      <c r="D388" s="233">
        <v>2</v>
      </c>
      <c r="E388" s="233">
        <v>2</v>
      </c>
      <c r="F388" s="233">
        <v>2</v>
      </c>
      <c r="G388" s="234">
        <v>0.75</v>
      </c>
      <c r="H388" s="234">
        <v>0.75</v>
      </c>
      <c r="I388" s="235">
        <v>24</v>
      </c>
      <c r="J388" s="235" t="s">
        <v>996</v>
      </c>
      <c r="K388" s="235">
        <v>24</v>
      </c>
      <c r="L388" s="235">
        <v>24</v>
      </c>
      <c r="M388" s="235">
        <v>24</v>
      </c>
      <c r="N388" s="233" t="s">
        <v>996</v>
      </c>
      <c r="O388" s="233">
        <v>24</v>
      </c>
      <c r="P388" s="390" t="s">
        <v>996</v>
      </c>
      <c r="Q388" s="386">
        <v>30</v>
      </c>
      <c r="R388" s="387">
        <v>0</v>
      </c>
      <c r="S388" s="387">
        <v>0</v>
      </c>
      <c r="T388" s="388">
        <v>0</v>
      </c>
      <c r="U388" s="388">
        <v>0</v>
      </c>
      <c r="V388" s="388">
        <v>0</v>
      </c>
      <c r="W388" s="387">
        <v>0</v>
      </c>
      <c r="X388" s="387">
        <v>0</v>
      </c>
      <c r="Y388" s="388">
        <v>0</v>
      </c>
      <c r="Z388" s="388">
        <v>0</v>
      </c>
      <c r="AA388" s="388">
        <v>0</v>
      </c>
      <c r="AB388" s="389" t="e">
        <v>#DIV/0!</v>
      </c>
      <c r="AC388" s="389" t="e">
        <v>#DIV/0!</v>
      </c>
      <c r="AD388" s="389" t="e">
        <v>#DIV/0!</v>
      </c>
      <c r="AE388" s="389" t="e">
        <v>#DIV/0!</v>
      </c>
      <c r="AF388" s="389" t="e">
        <v>#DIV/0!</v>
      </c>
      <c r="AG388" s="332"/>
    </row>
    <row r="389" spans="1:33" s="333" customFormat="1" ht="18" customHeight="1">
      <c r="A389" s="382"/>
      <c r="B389" s="391" t="s">
        <v>954</v>
      </c>
      <c r="C389" s="233">
        <v>1</v>
      </c>
      <c r="D389" s="233">
        <v>1</v>
      </c>
      <c r="E389" s="233">
        <v>1</v>
      </c>
      <c r="F389" s="233">
        <v>1</v>
      </c>
      <c r="G389" s="234">
        <v>7.5</v>
      </c>
      <c r="H389" s="234">
        <v>7.5</v>
      </c>
      <c r="I389" s="235">
        <v>1</v>
      </c>
      <c r="J389" s="233" t="s">
        <v>1413</v>
      </c>
      <c r="K389" s="392">
        <v>1</v>
      </c>
      <c r="L389" s="233" t="s">
        <v>1413</v>
      </c>
      <c r="M389" s="393">
        <v>2</v>
      </c>
      <c r="N389" s="233" t="s">
        <v>1414</v>
      </c>
      <c r="O389" s="393">
        <v>2</v>
      </c>
      <c r="P389" s="233" t="s">
        <v>1414</v>
      </c>
      <c r="Q389" s="394">
        <v>30</v>
      </c>
      <c r="R389" s="387">
        <v>0</v>
      </c>
      <c r="S389" s="387">
        <v>0</v>
      </c>
      <c r="T389" s="388">
        <v>0</v>
      </c>
      <c r="U389" s="388">
        <v>0</v>
      </c>
      <c r="V389" s="388">
        <v>0</v>
      </c>
      <c r="W389" s="387">
        <v>0</v>
      </c>
      <c r="X389" s="387">
        <v>0</v>
      </c>
      <c r="Y389" s="388">
        <v>0</v>
      </c>
      <c r="Z389" s="388">
        <v>0</v>
      </c>
      <c r="AA389" s="388">
        <v>0</v>
      </c>
      <c r="AB389" s="389" t="e">
        <v>#DIV/0!</v>
      </c>
      <c r="AC389" s="389" t="e">
        <v>#DIV/0!</v>
      </c>
      <c r="AD389" s="389" t="e">
        <v>#DIV/0!</v>
      </c>
      <c r="AE389" s="389" t="e">
        <v>#DIV/0!</v>
      </c>
      <c r="AF389" s="389" t="e">
        <v>#DIV/0!</v>
      </c>
      <c r="AG389" s="332"/>
    </row>
    <row r="390" spans="1:33" s="333" customFormat="1" ht="18" customHeight="1">
      <c r="A390" s="382"/>
      <c r="B390" s="391" t="s">
        <v>1415</v>
      </c>
      <c r="C390" s="383">
        <v>3</v>
      </c>
      <c r="D390" s="383">
        <v>3</v>
      </c>
      <c r="E390" s="383">
        <v>3</v>
      </c>
      <c r="F390" s="383">
        <v>3</v>
      </c>
      <c r="G390" s="234">
        <v>0.75</v>
      </c>
      <c r="H390" s="234">
        <v>0.75</v>
      </c>
      <c r="I390" s="235">
        <v>8</v>
      </c>
      <c r="J390" s="233" t="s">
        <v>1416</v>
      </c>
      <c r="K390" s="233">
        <v>8</v>
      </c>
      <c r="L390" s="233" t="s">
        <v>1416</v>
      </c>
      <c r="M390" s="233">
        <v>8</v>
      </c>
      <c r="N390" s="233" t="s">
        <v>1416</v>
      </c>
      <c r="O390" s="233">
        <v>8</v>
      </c>
      <c r="P390" s="233" t="s">
        <v>1416</v>
      </c>
      <c r="Q390" s="394">
        <v>30</v>
      </c>
      <c r="R390" s="387">
        <v>0</v>
      </c>
      <c r="S390" s="387">
        <v>0</v>
      </c>
      <c r="T390" s="388">
        <v>0</v>
      </c>
      <c r="U390" s="388">
        <v>0</v>
      </c>
      <c r="V390" s="388">
        <v>0</v>
      </c>
      <c r="W390" s="387">
        <v>0</v>
      </c>
      <c r="X390" s="387">
        <v>0</v>
      </c>
      <c r="Y390" s="388">
        <v>0</v>
      </c>
      <c r="Z390" s="388">
        <v>0</v>
      </c>
      <c r="AA390" s="388">
        <v>0</v>
      </c>
      <c r="AB390" s="389" t="e">
        <v>#DIV/0!</v>
      </c>
      <c r="AC390" s="389" t="e">
        <v>#DIV/0!</v>
      </c>
      <c r="AD390" s="389" t="e">
        <v>#DIV/0!</v>
      </c>
      <c r="AE390" s="389" t="e">
        <v>#DIV/0!</v>
      </c>
      <c r="AF390" s="389" t="e">
        <v>#DIV/0!</v>
      </c>
      <c r="AG390" s="332"/>
    </row>
    <row r="391" spans="1:33" s="333" customFormat="1" ht="18" customHeight="1">
      <c r="A391" s="382"/>
      <c r="B391" s="391" t="s">
        <v>1417</v>
      </c>
      <c r="C391" s="383">
        <v>6</v>
      </c>
      <c r="D391" s="383">
        <v>6</v>
      </c>
      <c r="E391" s="383">
        <v>6</v>
      </c>
      <c r="F391" s="383">
        <v>6</v>
      </c>
      <c r="G391" s="234">
        <v>0.25</v>
      </c>
      <c r="H391" s="234">
        <v>0.25</v>
      </c>
      <c r="I391" s="235">
        <v>6</v>
      </c>
      <c r="J391" s="235" t="s">
        <v>1418</v>
      </c>
      <c r="K391" s="383">
        <v>6</v>
      </c>
      <c r="L391" s="235" t="s">
        <v>1418</v>
      </c>
      <c r="M391" s="383">
        <v>6</v>
      </c>
      <c r="N391" s="235" t="s">
        <v>1418</v>
      </c>
      <c r="O391" s="383">
        <v>6</v>
      </c>
      <c r="P391" s="235" t="s">
        <v>1418</v>
      </c>
      <c r="Q391" s="394">
        <v>30</v>
      </c>
      <c r="R391" s="387">
        <v>0</v>
      </c>
      <c r="S391" s="387">
        <v>0</v>
      </c>
      <c r="T391" s="388">
        <v>0</v>
      </c>
      <c r="U391" s="388">
        <v>0</v>
      </c>
      <c r="V391" s="388">
        <v>0</v>
      </c>
      <c r="W391" s="387">
        <v>0</v>
      </c>
      <c r="X391" s="387">
        <v>0</v>
      </c>
      <c r="Y391" s="388">
        <v>0</v>
      </c>
      <c r="Z391" s="388">
        <v>0</v>
      </c>
      <c r="AA391" s="388">
        <v>0</v>
      </c>
      <c r="AB391" s="389" t="e">
        <v>#DIV/0!</v>
      </c>
      <c r="AC391" s="389" t="e">
        <v>#DIV/0!</v>
      </c>
      <c r="AD391" s="389" t="e">
        <v>#DIV/0!</v>
      </c>
      <c r="AE391" s="389" t="e">
        <v>#DIV/0!</v>
      </c>
      <c r="AF391" s="389" t="e">
        <v>#DIV/0!</v>
      </c>
      <c r="AG391" s="332"/>
    </row>
    <row r="392" spans="1:33" s="333" customFormat="1" ht="18" customHeight="1">
      <c r="A392" s="382"/>
      <c r="B392" s="391" t="s">
        <v>1419</v>
      </c>
      <c r="C392" s="233">
        <v>1</v>
      </c>
      <c r="D392" s="233">
        <v>1</v>
      </c>
      <c r="E392" s="233">
        <v>1</v>
      </c>
      <c r="F392" s="233">
        <v>1</v>
      </c>
      <c r="G392" s="234">
        <v>1.8</v>
      </c>
      <c r="H392" s="234">
        <v>1.8</v>
      </c>
      <c r="I392" s="235">
        <v>2</v>
      </c>
      <c r="J392" s="233"/>
      <c r="K392" s="233">
        <v>2</v>
      </c>
      <c r="L392" s="390"/>
      <c r="M392" s="233">
        <v>2</v>
      </c>
      <c r="N392" s="233"/>
      <c r="O392" s="233">
        <v>2</v>
      </c>
      <c r="P392" s="233"/>
      <c r="Q392" s="394">
        <v>30</v>
      </c>
      <c r="R392" s="387">
        <v>0</v>
      </c>
      <c r="S392" s="387">
        <v>0</v>
      </c>
      <c r="T392" s="388">
        <v>0</v>
      </c>
      <c r="U392" s="388">
        <v>0</v>
      </c>
      <c r="V392" s="388">
        <v>0</v>
      </c>
      <c r="W392" s="387">
        <v>0</v>
      </c>
      <c r="X392" s="387">
        <v>0</v>
      </c>
      <c r="Y392" s="388">
        <v>0</v>
      </c>
      <c r="Z392" s="388">
        <v>0</v>
      </c>
      <c r="AA392" s="388">
        <v>0</v>
      </c>
      <c r="AB392" s="389" t="e">
        <v>#DIV/0!</v>
      </c>
      <c r="AC392" s="389" t="e">
        <v>#DIV/0!</v>
      </c>
      <c r="AD392" s="389" t="e">
        <v>#DIV/0!</v>
      </c>
      <c r="AE392" s="389" t="e">
        <v>#DIV/0!</v>
      </c>
      <c r="AF392" s="389" t="e">
        <v>#DIV/0!</v>
      </c>
      <c r="AG392" s="332"/>
    </row>
    <row r="393" spans="1:33" s="333" customFormat="1" ht="18" customHeight="1">
      <c r="A393" s="382"/>
      <c r="B393" s="232" t="s">
        <v>1420</v>
      </c>
      <c r="C393" s="233">
        <v>1</v>
      </c>
      <c r="D393" s="233">
        <v>1</v>
      </c>
      <c r="E393" s="233">
        <v>1</v>
      </c>
      <c r="F393" s="233">
        <v>1</v>
      </c>
      <c r="G393" s="234">
        <v>0.1</v>
      </c>
      <c r="H393" s="234">
        <v>0.1</v>
      </c>
      <c r="I393" s="235">
        <v>24</v>
      </c>
      <c r="J393" s="235" t="s">
        <v>996</v>
      </c>
      <c r="K393" s="235">
        <v>24</v>
      </c>
      <c r="L393" s="235">
        <v>24</v>
      </c>
      <c r="M393" s="235">
        <v>24</v>
      </c>
      <c r="N393" s="233" t="s">
        <v>996</v>
      </c>
      <c r="O393" s="233">
        <v>24</v>
      </c>
      <c r="P393" s="390" t="s">
        <v>996</v>
      </c>
      <c r="Q393" s="386">
        <v>30</v>
      </c>
      <c r="R393" s="387">
        <v>0</v>
      </c>
      <c r="S393" s="387">
        <v>0</v>
      </c>
      <c r="T393" s="388">
        <v>0</v>
      </c>
      <c r="U393" s="388">
        <v>0</v>
      </c>
      <c r="V393" s="388">
        <v>0</v>
      </c>
      <c r="W393" s="387">
        <v>0</v>
      </c>
      <c r="X393" s="387">
        <v>0</v>
      </c>
      <c r="Y393" s="388">
        <v>0</v>
      </c>
      <c r="Z393" s="388">
        <v>0</v>
      </c>
      <c r="AA393" s="388">
        <v>0</v>
      </c>
      <c r="AB393" s="389" t="e">
        <v>#DIV/0!</v>
      </c>
      <c r="AC393" s="389" t="e">
        <v>#DIV/0!</v>
      </c>
      <c r="AD393" s="389" t="e">
        <v>#DIV/0!</v>
      </c>
      <c r="AE393" s="389" t="e">
        <v>#DIV/0!</v>
      </c>
      <c r="AF393" s="389" t="e">
        <v>#DIV/0!</v>
      </c>
      <c r="AG393" s="332"/>
    </row>
    <row r="394" spans="1:33" s="333" customFormat="1" ht="18" customHeight="1">
      <c r="A394" s="382"/>
      <c r="B394" s="232" t="s">
        <v>842</v>
      </c>
      <c r="C394" s="233">
        <v>1</v>
      </c>
      <c r="D394" s="233">
        <v>1</v>
      </c>
      <c r="E394" s="395">
        <v>1</v>
      </c>
      <c r="F394" s="395">
        <v>1</v>
      </c>
      <c r="G394" s="234">
        <v>2.4</v>
      </c>
      <c r="H394" s="234">
        <v>2.4</v>
      </c>
      <c r="I394" s="235">
        <v>24</v>
      </c>
      <c r="J394" s="235" t="s">
        <v>996</v>
      </c>
      <c r="K394" s="235">
        <v>24</v>
      </c>
      <c r="L394" s="235">
        <v>24</v>
      </c>
      <c r="M394" s="235">
        <v>24</v>
      </c>
      <c r="N394" s="233" t="s">
        <v>996</v>
      </c>
      <c r="O394" s="233">
        <v>24</v>
      </c>
      <c r="P394" s="390" t="s">
        <v>996</v>
      </c>
      <c r="Q394" s="386">
        <v>30</v>
      </c>
      <c r="R394" s="387">
        <v>0</v>
      </c>
      <c r="S394" s="387">
        <v>2375.9999999999995</v>
      </c>
      <c r="T394" s="388">
        <v>2375.9999999999995</v>
      </c>
      <c r="U394" s="388">
        <v>2375.9999999999995</v>
      </c>
      <c r="V394" s="388">
        <v>2375.9999999999995</v>
      </c>
      <c r="W394" s="387">
        <v>0</v>
      </c>
      <c r="X394" s="387">
        <v>2375.9999999999995</v>
      </c>
      <c r="Y394" s="388">
        <v>2375.9999999999995</v>
      </c>
      <c r="Z394" s="388">
        <v>2375.9999999999995</v>
      </c>
      <c r="AA394" s="388">
        <v>2375.9999999999995</v>
      </c>
      <c r="AB394" s="389" t="e">
        <v>#DIV/0!</v>
      </c>
      <c r="AC394" s="389">
        <v>1</v>
      </c>
      <c r="AD394" s="389">
        <v>1</v>
      </c>
      <c r="AE394" s="389">
        <v>1</v>
      </c>
      <c r="AF394" s="389">
        <v>1</v>
      </c>
      <c r="AG394" s="332"/>
    </row>
    <row r="395" spans="1:33" s="333" customFormat="1" ht="18" customHeight="1">
      <c r="A395" s="382"/>
      <c r="B395" s="232" t="s">
        <v>1421</v>
      </c>
      <c r="C395" s="233">
        <v>1</v>
      </c>
      <c r="D395" s="233">
        <v>1</v>
      </c>
      <c r="E395" s="395">
        <v>1</v>
      </c>
      <c r="F395" s="395">
        <v>1</v>
      </c>
      <c r="G395" s="234">
        <v>2.4</v>
      </c>
      <c r="H395" s="234">
        <v>2.4</v>
      </c>
      <c r="I395" s="235">
        <v>24</v>
      </c>
      <c r="J395" s="235" t="s">
        <v>996</v>
      </c>
      <c r="K395" s="235">
        <v>24</v>
      </c>
      <c r="L395" s="235">
        <v>24</v>
      </c>
      <c r="M395" s="235">
        <v>24</v>
      </c>
      <c r="N395" s="233" t="s">
        <v>996</v>
      </c>
      <c r="O395" s="233">
        <v>24</v>
      </c>
      <c r="P395" s="390" t="s">
        <v>996</v>
      </c>
      <c r="Q395" s="386">
        <v>30</v>
      </c>
      <c r="R395" s="387">
        <v>0</v>
      </c>
      <c r="S395" s="387">
        <v>2375.9999999999995</v>
      </c>
      <c r="T395" s="388">
        <v>2375.9999999999995</v>
      </c>
      <c r="U395" s="388">
        <v>2375.9999999999995</v>
      </c>
      <c r="V395" s="388">
        <v>2375.9999999999995</v>
      </c>
      <c r="W395" s="387">
        <v>0</v>
      </c>
      <c r="X395" s="387">
        <v>2375.9999999999995</v>
      </c>
      <c r="Y395" s="388">
        <v>2375.9999999999995</v>
      </c>
      <c r="Z395" s="388">
        <v>2375.9999999999995</v>
      </c>
      <c r="AA395" s="388">
        <v>2375.9999999999995</v>
      </c>
      <c r="AB395" s="389" t="e">
        <v>#DIV/0!</v>
      </c>
      <c r="AC395" s="389">
        <v>1</v>
      </c>
      <c r="AD395" s="389">
        <v>1</v>
      </c>
      <c r="AE395" s="389">
        <v>1</v>
      </c>
      <c r="AF395" s="389">
        <v>1</v>
      </c>
      <c r="AG395" s="332"/>
    </row>
    <row r="396" spans="1:33" s="333" customFormat="1" ht="18" customHeight="1">
      <c r="A396" s="382"/>
      <c r="B396" s="232" t="s">
        <v>1411</v>
      </c>
      <c r="C396" s="233">
        <v>1</v>
      </c>
      <c r="D396" s="233">
        <v>1</v>
      </c>
      <c r="E396" s="233">
        <v>1</v>
      </c>
      <c r="F396" s="233">
        <v>1</v>
      </c>
      <c r="G396" s="234">
        <v>2.4</v>
      </c>
      <c r="H396" s="234">
        <v>2.4</v>
      </c>
      <c r="I396" s="235">
        <v>6</v>
      </c>
      <c r="J396" s="235" t="s">
        <v>1243</v>
      </c>
      <c r="K396" s="235">
        <v>6</v>
      </c>
      <c r="L396" s="235">
        <v>6</v>
      </c>
      <c r="M396" s="235">
        <v>6</v>
      </c>
      <c r="N396" s="235">
        <v>6</v>
      </c>
      <c r="O396" s="235">
        <v>6</v>
      </c>
      <c r="P396" s="235">
        <v>6</v>
      </c>
      <c r="Q396" s="386">
        <v>30</v>
      </c>
      <c r="R396" s="387">
        <v>0</v>
      </c>
      <c r="S396" s="387">
        <v>0</v>
      </c>
      <c r="T396" s="388">
        <v>0</v>
      </c>
      <c r="U396" s="388">
        <v>0</v>
      </c>
      <c r="V396" s="388">
        <v>0</v>
      </c>
      <c r="W396" s="387">
        <v>0</v>
      </c>
      <c r="X396" s="387">
        <v>0</v>
      </c>
      <c r="Y396" s="388">
        <v>0</v>
      </c>
      <c r="Z396" s="388">
        <v>0</v>
      </c>
      <c r="AA396" s="388">
        <v>0</v>
      </c>
      <c r="AB396" s="389" t="e">
        <v>#DIV/0!</v>
      </c>
      <c r="AC396" s="389" t="e">
        <v>#DIV/0!</v>
      </c>
      <c r="AD396" s="389" t="e">
        <v>#DIV/0!</v>
      </c>
      <c r="AE396" s="389" t="e">
        <v>#DIV/0!</v>
      </c>
      <c r="AF396" s="389" t="e">
        <v>#DIV/0!</v>
      </c>
      <c r="AG396" s="332"/>
    </row>
    <row r="397" spans="1:33" s="333" customFormat="1" ht="18" customHeight="1">
      <c r="A397" s="382"/>
      <c r="B397" s="396" t="s">
        <v>1422</v>
      </c>
      <c r="C397" s="233"/>
      <c r="D397" s="233"/>
      <c r="E397" s="233"/>
      <c r="F397" s="233"/>
      <c r="G397" s="234"/>
      <c r="H397" s="234"/>
      <c r="I397" s="235"/>
      <c r="J397" s="235"/>
      <c r="K397" s="235"/>
      <c r="L397" s="235"/>
      <c r="M397" s="235"/>
      <c r="N397" s="233"/>
      <c r="O397" s="233"/>
      <c r="P397" s="390"/>
      <c r="Q397" s="390"/>
      <c r="R397" s="387"/>
      <c r="S397" s="387"/>
      <c r="T397" s="388"/>
      <c r="U397" s="388"/>
      <c r="V397" s="388"/>
      <c r="W397" s="387"/>
      <c r="X397" s="387"/>
      <c r="Y397" s="388"/>
      <c r="Z397" s="388"/>
      <c r="AA397" s="388"/>
      <c r="AB397" s="389"/>
      <c r="AC397" s="389"/>
      <c r="AD397" s="389"/>
      <c r="AE397" s="389"/>
      <c r="AF397" s="389"/>
      <c r="AG397" s="332"/>
    </row>
    <row r="398" spans="1:33" s="333" customFormat="1" ht="18" customHeight="1">
      <c r="A398" s="382"/>
      <c r="B398" s="391" t="s">
        <v>1423</v>
      </c>
      <c r="C398" s="233">
        <v>1</v>
      </c>
      <c r="D398" s="233">
        <v>1</v>
      </c>
      <c r="E398" s="233">
        <v>1</v>
      </c>
      <c r="F398" s="233">
        <v>1</v>
      </c>
      <c r="G398" s="234">
        <v>3.3</v>
      </c>
      <c r="H398" s="234">
        <v>3.3</v>
      </c>
      <c r="I398" s="235">
        <v>24</v>
      </c>
      <c r="J398" s="235" t="s">
        <v>996</v>
      </c>
      <c r="K398" s="235">
        <v>24</v>
      </c>
      <c r="L398" s="235">
        <v>24</v>
      </c>
      <c r="M398" s="235">
        <v>24</v>
      </c>
      <c r="N398" s="233" t="s">
        <v>996</v>
      </c>
      <c r="O398" s="233">
        <v>24</v>
      </c>
      <c r="P398" s="390" t="s">
        <v>996</v>
      </c>
      <c r="Q398" s="386">
        <v>30</v>
      </c>
      <c r="R398" s="387">
        <v>0</v>
      </c>
      <c r="S398" s="387">
        <v>0</v>
      </c>
      <c r="T398" s="388">
        <v>0</v>
      </c>
      <c r="U398" s="388">
        <v>0</v>
      </c>
      <c r="V398" s="388">
        <v>0</v>
      </c>
      <c r="W398" s="387">
        <v>0</v>
      </c>
      <c r="X398" s="387">
        <v>0</v>
      </c>
      <c r="Y398" s="388">
        <v>0</v>
      </c>
      <c r="Z398" s="388">
        <v>0</v>
      </c>
      <c r="AA398" s="388">
        <v>0</v>
      </c>
      <c r="AB398" s="389" t="e">
        <v>#DIV/0!</v>
      </c>
      <c r="AC398" s="389" t="e">
        <v>#DIV/0!</v>
      </c>
      <c r="AD398" s="389" t="e">
        <v>#DIV/0!</v>
      </c>
      <c r="AE398" s="389" t="e">
        <v>#DIV/0!</v>
      </c>
      <c r="AF398" s="389" t="e">
        <v>#DIV/0!</v>
      </c>
      <c r="AG398" s="332"/>
    </row>
    <row r="399" spans="1:33" s="333" customFormat="1" ht="18" customHeight="1">
      <c r="A399" s="382"/>
      <c r="B399" s="391" t="s">
        <v>1419</v>
      </c>
      <c r="C399" s="233">
        <v>1</v>
      </c>
      <c r="D399" s="233">
        <v>1</v>
      </c>
      <c r="E399" s="233">
        <v>1</v>
      </c>
      <c r="F399" s="233">
        <v>1</v>
      </c>
      <c r="G399" s="234">
        <v>1.8</v>
      </c>
      <c r="H399" s="234">
        <v>1.8</v>
      </c>
      <c r="I399" s="235">
        <v>2</v>
      </c>
      <c r="J399" s="233"/>
      <c r="K399" s="233">
        <v>2</v>
      </c>
      <c r="L399" s="390"/>
      <c r="M399" s="233">
        <v>2</v>
      </c>
      <c r="N399" s="233"/>
      <c r="O399" s="233">
        <v>2</v>
      </c>
      <c r="P399" s="233"/>
      <c r="Q399" s="394">
        <v>30</v>
      </c>
      <c r="R399" s="387">
        <v>0</v>
      </c>
      <c r="S399" s="387">
        <v>0</v>
      </c>
      <c r="T399" s="388">
        <v>0</v>
      </c>
      <c r="U399" s="388">
        <v>0</v>
      </c>
      <c r="V399" s="388">
        <v>0</v>
      </c>
      <c r="W399" s="387">
        <v>0</v>
      </c>
      <c r="X399" s="387">
        <v>0</v>
      </c>
      <c r="Y399" s="388">
        <v>0</v>
      </c>
      <c r="Z399" s="388">
        <v>0</v>
      </c>
      <c r="AA399" s="388">
        <v>0</v>
      </c>
      <c r="AB399" s="389" t="e">
        <v>#DIV/0!</v>
      </c>
      <c r="AC399" s="389" t="e">
        <v>#DIV/0!</v>
      </c>
      <c r="AD399" s="389" t="e">
        <v>#DIV/0!</v>
      </c>
      <c r="AE399" s="389" t="e">
        <v>#DIV/0!</v>
      </c>
      <c r="AF399" s="389" t="e">
        <v>#DIV/0!</v>
      </c>
      <c r="AG399" s="332"/>
    </row>
    <row r="400" spans="1:33" s="333" customFormat="1" ht="18" customHeight="1">
      <c r="A400" s="382"/>
      <c r="B400" s="391" t="s">
        <v>1424</v>
      </c>
      <c r="C400" s="233">
        <v>1</v>
      </c>
      <c r="D400" s="233">
        <v>1</v>
      </c>
      <c r="E400" s="233">
        <v>1</v>
      </c>
      <c r="F400" s="233">
        <v>1</v>
      </c>
      <c r="G400" s="234">
        <v>0.75</v>
      </c>
      <c r="H400" s="234">
        <v>0.75</v>
      </c>
      <c r="I400" s="235">
        <v>24</v>
      </c>
      <c r="J400" s="235" t="s">
        <v>996</v>
      </c>
      <c r="K400" s="235">
        <v>24</v>
      </c>
      <c r="L400" s="235">
        <v>24</v>
      </c>
      <c r="M400" s="235">
        <v>24</v>
      </c>
      <c r="N400" s="233" t="s">
        <v>996</v>
      </c>
      <c r="O400" s="233">
        <v>24</v>
      </c>
      <c r="P400" s="390" t="s">
        <v>996</v>
      </c>
      <c r="Q400" s="394">
        <v>30</v>
      </c>
      <c r="R400" s="387">
        <v>0</v>
      </c>
      <c r="S400" s="387">
        <v>0</v>
      </c>
      <c r="T400" s="388">
        <v>0</v>
      </c>
      <c r="U400" s="388">
        <v>0</v>
      </c>
      <c r="V400" s="388">
        <v>0</v>
      </c>
      <c r="W400" s="387">
        <v>0</v>
      </c>
      <c r="X400" s="387">
        <v>0</v>
      </c>
      <c r="Y400" s="388">
        <v>0</v>
      </c>
      <c r="Z400" s="388">
        <v>0</v>
      </c>
      <c r="AA400" s="388">
        <v>0</v>
      </c>
      <c r="AB400" s="389" t="e">
        <v>#DIV/0!</v>
      </c>
      <c r="AC400" s="389" t="e">
        <v>#DIV/0!</v>
      </c>
      <c r="AD400" s="389" t="e">
        <v>#DIV/0!</v>
      </c>
      <c r="AE400" s="389" t="e">
        <v>#DIV/0!</v>
      </c>
      <c r="AF400" s="389" t="e">
        <v>#DIV/0!</v>
      </c>
      <c r="AG400" s="332"/>
    </row>
    <row r="401" spans="1:33" s="333" customFormat="1" ht="18" customHeight="1">
      <c r="A401" s="382"/>
      <c r="B401" s="391" t="s">
        <v>1425</v>
      </c>
      <c r="C401" s="233">
        <v>2</v>
      </c>
      <c r="D401" s="233">
        <v>2</v>
      </c>
      <c r="E401" s="233">
        <v>2</v>
      </c>
      <c r="F401" s="233">
        <v>2</v>
      </c>
      <c r="G401" s="234">
        <v>5</v>
      </c>
      <c r="H401" s="234">
        <v>5</v>
      </c>
      <c r="I401" s="235">
        <v>8</v>
      </c>
      <c r="J401" s="233" t="s">
        <v>1416</v>
      </c>
      <c r="K401" s="233">
        <v>8</v>
      </c>
      <c r="L401" s="233" t="s">
        <v>1416</v>
      </c>
      <c r="M401" s="233">
        <v>8</v>
      </c>
      <c r="N401" s="233" t="s">
        <v>1416</v>
      </c>
      <c r="O401" s="233">
        <v>8</v>
      </c>
      <c r="P401" s="233" t="s">
        <v>1416</v>
      </c>
      <c r="Q401" s="394">
        <v>30</v>
      </c>
      <c r="R401" s="387">
        <v>0</v>
      </c>
      <c r="S401" s="387">
        <v>0</v>
      </c>
      <c r="T401" s="388">
        <v>0</v>
      </c>
      <c r="U401" s="388">
        <v>0</v>
      </c>
      <c r="V401" s="388">
        <v>0</v>
      </c>
      <c r="W401" s="387">
        <v>0</v>
      </c>
      <c r="X401" s="387">
        <v>0</v>
      </c>
      <c r="Y401" s="388">
        <v>0</v>
      </c>
      <c r="Z401" s="388">
        <v>0</v>
      </c>
      <c r="AA401" s="388">
        <v>0</v>
      </c>
      <c r="AB401" s="389" t="e">
        <v>#DIV/0!</v>
      </c>
      <c r="AC401" s="389" t="e">
        <v>#DIV/0!</v>
      </c>
      <c r="AD401" s="389" t="e">
        <v>#DIV/0!</v>
      </c>
      <c r="AE401" s="389" t="e">
        <v>#DIV/0!</v>
      </c>
      <c r="AF401" s="389" t="e">
        <v>#DIV/0!</v>
      </c>
      <c r="AG401" s="332"/>
    </row>
    <row r="402" spans="1:33" s="333" customFormat="1" ht="18" customHeight="1">
      <c r="A402" s="382"/>
      <c r="B402" s="232" t="s">
        <v>1420</v>
      </c>
      <c r="C402" s="233">
        <v>1</v>
      </c>
      <c r="D402" s="233">
        <v>1</v>
      </c>
      <c r="E402" s="233">
        <v>1</v>
      </c>
      <c r="F402" s="233">
        <v>1</v>
      </c>
      <c r="G402" s="234">
        <v>0.1</v>
      </c>
      <c r="H402" s="234">
        <v>0.1</v>
      </c>
      <c r="I402" s="235">
        <v>24</v>
      </c>
      <c r="J402" s="235" t="s">
        <v>996</v>
      </c>
      <c r="K402" s="235">
        <v>24</v>
      </c>
      <c r="L402" s="235">
        <v>24</v>
      </c>
      <c r="M402" s="235">
        <v>24</v>
      </c>
      <c r="N402" s="233" t="s">
        <v>996</v>
      </c>
      <c r="O402" s="233">
        <v>24</v>
      </c>
      <c r="P402" s="390" t="s">
        <v>996</v>
      </c>
      <c r="Q402" s="386">
        <v>30</v>
      </c>
      <c r="R402" s="387">
        <v>0</v>
      </c>
      <c r="S402" s="387">
        <v>0</v>
      </c>
      <c r="T402" s="388">
        <v>0</v>
      </c>
      <c r="U402" s="388">
        <v>0</v>
      </c>
      <c r="V402" s="388">
        <v>0</v>
      </c>
      <c r="W402" s="387">
        <v>0</v>
      </c>
      <c r="X402" s="387">
        <v>0</v>
      </c>
      <c r="Y402" s="388">
        <v>0</v>
      </c>
      <c r="Z402" s="388">
        <v>0</v>
      </c>
      <c r="AA402" s="388">
        <v>0</v>
      </c>
      <c r="AB402" s="389" t="e">
        <v>#DIV/0!</v>
      </c>
      <c r="AC402" s="389" t="e">
        <v>#DIV/0!</v>
      </c>
      <c r="AD402" s="389" t="e">
        <v>#DIV/0!</v>
      </c>
      <c r="AE402" s="389" t="e">
        <v>#DIV/0!</v>
      </c>
      <c r="AF402" s="389" t="e">
        <v>#DIV/0!</v>
      </c>
      <c r="AG402" s="332"/>
    </row>
    <row r="403" spans="1:33" s="333" customFormat="1" ht="18" customHeight="1">
      <c r="A403" s="382"/>
      <c r="B403" s="232" t="s">
        <v>1426</v>
      </c>
      <c r="C403" s="233">
        <v>1</v>
      </c>
      <c r="D403" s="233">
        <v>1</v>
      </c>
      <c r="E403" s="233">
        <v>1</v>
      </c>
      <c r="F403" s="233">
        <v>1</v>
      </c>
      <c r="G403" s="234">
        <v>4</v>
      </c>
      <c r="H403" s="234">
        <v>4</v>
      </c>
      <c r="I403" s="235">
        <v>7</v>
      </c>
      <c r="J403" s="235" t="s">
        <v>1427</v>
      </c>
      <c r="K403" s="235">
        <v>7</v>
      </c>
      <c r="L403" s="235" t="s">
        <v>1427</v>
      </c>
      <c r="M403" s="235">
        <v>7</v>
      </c>
      <c r="N403" s="235" t="s">
        <v>1427</v>
      </c>
      <c r="O403" s="233">
        <v>7</v>
      </c>
      <c r="P403" s="235" t="s">
        <v>1427</v>
      </c>
      <c r="Q403" s="386">
        <v>30</v>
      </c>
      <c r="R403" s="387">
        <v>0</v>
      </c>
      <c r="S403" s="387">
        <v>0</v>
      </c>
      <c r="T403" s="388">
        <v>0</v>
      </c>
      <c r="U403" s="388">
        <v>0</v>
      </c>
      <c r="V403" s="388">
        <v>0</v>
      </c>
      <c r="W403" s="387">
        <v>0</v>
      </c>
      <c r="X403" s="387">
        <v>0</v>
      </c>
      <c r="Y403" s="388">
        <v>0</v>
      </c>
      <c r="Z403" s="388">
        <v>0</v>
      </c>
      <c r="AA403" s="388">
        <v>0</v>
      </c>
      <c r="AB403" s="389" t="e">
        <v>#DIV/0!</v>
      </c>
      <c r="AC403" s="389" t="e">
        <v>#DIV/0!</v>
      </c>
      <c r="AD403" s="389" t="e">
        <v>#DIV/0!</v>
      </c>
      <c r="AE403" s="389" t="e">
        <v>#DIV/0!</v>
      </c>
      <c r="AF403" s="389" t="e">
        <v>#DIV/0!</v>
      </c>
      <c r="AG403" s="332"/>
    </row>
    <row r="404" spans="1:33" s="333" customFormat="1" ht="18" customHeight="1">
      <c r="A404" s="382"/>
      <c r="B404" s="391" t="s">
        <v>1428</v>
      </c>
      <c r="C404" s="233">
        <v>1</v>
      </c>
      <c r="D404" s="233">
        <v>1</v>
      </c>
      <c r="E404" s="233">
        <v>1</v>
      </c>
      <c r="F404" s="233">
        <v>1</v>
      </c>
      <c r="G404" s="234">
        <v>2.2000000000000002</v>
      </c>
      <c r="H404" s="234">
        <v>2.2000000000000002</v>
      </c>
      <c r="I404" s="235">
        <v>24</v>
      </c>
      <c r="J404" s="235" t="s">
        <v>996</v>
      </c>
      <c r="K404" s="235">
        <v>24</v>
      </c>
      <c r="L404" s="235">
        <v>24</v>
      </c>
      <c r="M404" s="235">
        <v>24</v>
      </c>
      <c r="N404" s="233" t="s">
        <v>996</v>
      </c>
      <c r="O404" s="233">
        <v>24</v>
      </c>
      <c r="P404" s="390" t="s">
        <v>996</v>
      </c>
      <c r="Q404" s="394">
        <v>30</v>
      </c>
      <c r="R404" s="387">
        <v>0</v>
      </c>
      <c r="S404" s="387">
        <v>0</v>
      </c>
      <c r="T404" s="388">
        <v>0</v>
      </c>
      <c r="U404" s="388">
        <v>0</v>
      </c>
      <c r="V404" s="388">
        <v>0</v>
      </c>
      <c r="W404" s="387">
        <v>0</v>
      </c>
      <c r="X404" s="387">
        <v>0</v>
      </c>
      <c r="Y404" s="388">
        <v>0</v>
      </c>
      <c r="Z404" s="388">
        <v>0</v>
      </c>
      <c r="AA404" s="388">
        <v>0</v>
      </c>
      <c r="AB404" s="389" t="e">
        <v>#DIV/0!</v>
      </c>
      <c r="AC404" s="389" t="e">
        <v>#DIV/0!</v>
      </c>
      <c r="AD404" s="389" t="e">
        <v>#DIV/0!</v>
      </c>
      <c r="AE404" s="389" t="e">
        <v>#DIV/0!</v>
      </c>
      <c r="AF404" s="389" t="e">
        <v>#DIV/0!</v>
      </c>
      <c r="AG404" s="332"/>
    </row>
    <row r="405" spans="1:33" s="333" customFormat="1" ht="18" customHeight="1">
      <c r="A405" s="382"/>
      <c r="B405" s="391" t="s">
        <v>1429</v>
      </c>
      <c r="C405" s="233">
        <v>1</v>
      </c>
      <c r="D405" s="233">
        <v>1</v>
      </c>
      <c r="E405" s="233">
        <v>1</v>
      </c>
      <c r="F405" s="233">
        <v>1</v>
      </c>
      <c r="G405" s="234">
        <v>2.4</v>
      </c>
      <c r="H405" s="234">
        <v>2.4</v>
      </c>
      <c r="I405" s="235">
        <v>24</v>
      </c>
      <c r="J405" s="235" t="s">
        <v>996</v>
      </c>
      <c r="K405" s="235">
        <v>24</v>
      </c>
      <c r="L405" s="235">
        <v>24</v>
      </c>
      <c r="M405" s="235">
        <v>24</v>
      </c>
      <c r="N405" s="233" t="s">
        <v>996</v>
      </c>
      <c r="O405" s="233">
        <v>24</v>
      </c>
      <c r="P405" s="390" t="s">
        <v>996</v>
      </c>
      <c r="Q405" s="386">
        <v>30</v>
      </c>
      <c r="R405" s="387">
        <v>0</v>
      </c>
      <c r="S405" s="387">
        <v>0</v>
      </c>
      <c r="T405" s="388">
        <v>0</v>
      </c>
      <c r="U405" s="388">
        <v>0</v>
      </c>
      <c r="V405" s="388">
        <v>0</v>
      </c>
      <c r="W405" s="387">
        <v>0</v>
      </c>
      <c r="X405" s="387">
        <v>0</v>
      </c>
      <c r="Y405" s="388">
        <v>0</v>
      </c>
      <c r="Z405" s="388">
        <v>0</v>
      </c>
      <c r="AA405" s="388">
        <v>0</v>
      </c>
      <c r="AB405" s="389" t="e">
        <v>#DIV/0!</v>
      </c>
      <c r="AC405" s="389" t="e">
        <v>#DIV/0!</v>
      </c>
      <c r="AD405" s="389" t="e">
        <v>#DIV/0!</v>
      </c>
      <c r="AE405" s="389" t="e">
        <v>#DIV/0!</v>
      </c>
      <c r="AF405" s="389" t="e">
        <v>#DIV/0!</v>
      </c>
      <c r="AG405" s="332"/>
    </row>
    <row r="406" spans="1:33" s="333" customFormat="1" ht="18" customHeight="1">
      <c r="A406" s="382"/>
      <c r="B406" s="232" t="s">
        <v>372</v>
      </c>
      <c r="C406" s="233">
        <v>1</v>
      </c>
      <c r="D406" s="233">
        <v>1</v>
      </c>
      <c r="E406" s="233">
        <v>1</v>
      </c>
      <c r="F406" s="233">
        <v>1</v>
      </c>
      <c r="G406" s="234">
        <v>1.5</v>
      </c>
      <c r="H406" s="234">
        <v>1.5</v>
      </c>
      <c r="I406" s="235">
        <v>6</v>
      </c>
      <c r="J406" s="235" t="s">
        <v>1243</v>
      </c>
      <c r="K406" s="235">
        <v>6</v>
      </c>
      <c r="L406" s="235">
        <v>6</v>
      </c>
      <c r="M406" s="235">
        <v>6</v>
      </c>
      <c r="N406" s="235">
        <v>6</v>
      </c>
      <c r="O406" s="235">
        <v>6</v>
      </c>
      <c r="P406" s="235">
        <v>6</v>
      </c>
      <c r="Q406" s="386">
        <v>30</v>
      </c>
      <c r="R406" s="387">
        <v>0</v>
      </c>
      <c r="S406" s="387">
        <v>270</v>
      </c>
      <c r="T406" s="388">
        <v>270</v>
      </c>
      <c r="U406" s="388">
        <v>270</v>
      </c>
      <c r="V406" s="388">
        <v>270</v>
      </c>
      <c r="W406" s="387">
        <v>0</v>
      </c>
      <c r="X406" s="387">
        <v>270</v>
      </c>
      <c r="Y406" s="388">
        <v>270</v>
      </c>
      <c r="Z406" s="388">
        <v>270</v>
      </c>
      <c r="AA406" s="388">
        <v>270</v>
      </c>
      <c r="AB406" s="389" t="e">
        <v>#DIV/0!</v>
      </c>
      <c r="AC406" s="389">
        <v>1</v>
      </c>
      <c r="AD406" s="389">
        <v>1</v>
      </c>
      <c r="AE406" s="389">
        <v>1</v>
      </c>
      <c r="AF406" s="389">
        <v>1</v>
      </c>
      <c r="AG406" s="332"/>
    </row>
    <row r="407" spans="1:33" s="333" customFormat="1" ht="18" customHeight="1">
      <c r="A407" s="382"/>
      <c r="B407" s="232" t="s">
        <v>1430</v>
      </c>
      <c r="C407" s="233">
        <v>1</v>
      </c>
      <c r="D407" s="233">
        <v>1</v>
      </c>
      <c r="E407" s="233">
        <v>1</v>
      </c>
      <c r="F407" s="233">
        <v>1</v>
      </c>
      <c r="G407" s="234">
        <v>36</v>
      </c>
      <c r="H407" s="234">
        <v>36</v>
      </c>
      <c r="I407" s="235">
        <v>7</v>
      </c>
      <c r="J407" s="235" t="s">
        <v>1427</v>
      </c>
      <c r="K407" s="235">
        <v>7</v>
      </c>
      <c r="L407" s="235" t="s">
        <v>1427</v>
      </c>
      <c r="M407" s="235">
        <v>7</v>
      </c>
      <c r="N407" s="235" t="s">
        <v>1427</v>
      </c>
      <c r="O407" s="233">
        <v>7</v>
      </c>
      <c r="P407" s="235" t="s">
        <v>1427</v>
      </c>
      <c r="Q407" s="386">
        <v>30</v>
      </c>
      <c r="R407" s="387">
        <v>0</v>
      </c>
      <c r="S407" s="387">
        <v>0</v>
      </c>
      <c r="T407" s="388">
        <v>0</v>
      </c>
      <c r="U407" s="388">
        <v>0</v>
      </c>
      <c r="V407" s="388">
        <v>0</v>
      </c>
      <c r="W407" s="387">
        <v>0</v>
      </c>
      <c r="X407" s="387">
        <v>0</v>
      </c>
      <c r="Y407" s="388">
        <v>0</v>
      </c>
      <c r="Z407" s="388">
        <v>0</v>
      </c>
      <c r="AA407" s="388">
        <v>0</v>
      </c>
      <c r="AB407" s="389" t="e">
        <v>#DIV/0!</v>
      </c>
      <c r="AC407" s="389" t="e">
        <v>#DIV/0!</v>
      </c>
      <c r="AD407" s="389" t="e">
        <v>#DIV/0!</v>
      </c>
      <c r="AE407" s="389" t="e">
        <v>#DIV/0!</v>
      </c>
      <c r="AF407" s="389" t="e">
        <v>#DIV/0!</v>
      </c>
      <c r="AG407" s="332"/>
    </row>
    <row r="408" spans="1:33" s="333" customFormat="1" ht="18" customHeight="1">
      <c r="A408" s="382"/>
      <c r="B408" s="353" t="s">
        <v>1431</v>
      </c>
      <c r="C408" s="225"/>
      <c r="D408" s="225"/>
      <c r="E408" s="225"/>
      <c r="F408" s="225"/>
      <c r="G408" s="237"/>
      <c r="H408" s="237"/>
      <c r="I408" s="230"/>
      <c r="J408" s="230"/>
      <c r="K408" s="230"/>
      <c r="L408" s="230"/>
      <c r="M408" s="230"/>
      <c r="N408" s="225"/>
      <c r="O408" s="230"/>
      <c r="P408" s="225"/>
      <c r="Q408" s="225"/>
      <c r="R408" s="387"/>
      <c r="S408" s="387"/>
      <c r="T408" s="388"/>
      <c r="U408" s="388"/>
      <c r="V408" s="388"/>
      <c r="W408" s="387"/>
      <c r="X408" s="387"/>
      <c r="Y408" s="388"/>
      <c r="Z408" s="388"/>
      <c r="AA408" s="388"/>
      <c r="AB408" s="389"/>
      <c r="AC408" s="389"/>
      <c r="AD408" s="389"/>
      <c r="AE408" s="389"/>
      <c r="AF408" s="389"/>
      <c r="AG408" s="332"/>
    </row>
    <row r="409" spans="1:33" s="333" customFormat="1" ht="18" customHeight="1">
      <c r="A409" s="382"/>
      <c r="B409" s="236" t="s">
        <v>1424</v>
      </c>
      <c r="C409" s="225">
        <v>2</v>
      </c>
      <c r="D409" s="225">
        <v>2</v>
      </c>
      <c r="E409" s="225">
        <v>2</v>
      </c>
      <c r="F409" s="225">
        <v>2</v>
      </c>
      <c r="G409" s="237">
        <v>0.75</v>
      </c>
      <c r="H409" s="237">
        <v>0.75</v>
      </c>
      <c r="I409" s="230">
        <v>24</v>
      </c>
      <c r="J409" s="230" t="s">
        <v>996</v>
      </c>
      <c r="K409" s="230">
        <v>24</v>
      </c>
      <c r="L409" s="230">
        <v>24</v>
      </c>
      <c r="M409" s="230">
        <v>24</v>
      </c>
      <c r="N409" s="225" t="s">
        <v>996</v>
      </c>
      <c r="O409" s="230">
        <v>24</v>
      </c>
      <c r="P409" s="225" t="s">
        <v>996</v>
      </c>
      <c r="Q409" s="224">
        <v>30</v>
      </c>
      <c r="R409" s="387"/>
      <c r="S409" s="387"/>
      <c r="T409" s="388"/>
      <c r="U409" s="388"/>
      <c r="V409" s="388"/>
      <c r="W409" s="387"/>
      <c r="X409" s="387"/>
      <c r="Y409" s="388"/>
      <c r="Z409" s="388"/>
      <c r="AA409" s="388"/>
      <c r="AB409" s="389"/>
      <c r="AC409" s="389"/>
      <c r="AD409" s="389"/>
      <c r="AE409" s="389"/>
      <c r="AF409" s="389"/>
      <c r="AG409" s="332"/>
    </row>
    <row r="410" spans="1:33" s="333" customFormat="1" ht="18" customHeight="1">
      <c r="A410" s="382"/>
      <c r="B410" s="238" t="s">
        <v>842</v>
      </c>
      <c r="C410" s="225">
        <v>2</v>
      </c>
      <c r="D410" s="225">
        <v>2</v>
      </c>
      <c r="E410" s="225">
        <v>2</v>
      </c>
      <c r="F410" s="225">
        <v>2</v>
      </c>
      <c r="G410" s="237">
        <v>2.4</v>
      </c>
      <c r="H410" s="237">
        <v>2.4</v>
      </c>
      <c r="I410" s="230">
        <v>24</v>
      </c>
      <c r="J410" s="230" t="s">
        <v>996</v>
      </c>
      <c r="K410" s="230">
        <v>24</v>
      </c>
      <c r="L410" s="230">
        <v>24</v>
      </c>
      <c r="M410" s="230">
        <v>24</v>
      </c>
      <c r="N410" s="225" t="s">
        <v>996</v>
      </c>
      <c r="O410" s="230">
        <v>24</v>
      </c>
      <c r="P410" s="225" t="s">
        <v>996</v>
      </c>
      <c r="Q410" s="224">
        <v>30</v>
      </c>
      <c r="R410" s="387"/>
      <c r="S410" s="387"/>
      <c r="T410" s="388"/>
      <c r="U410" s="388"/>
      <c r="V410" s="388"/>
      <c r="W410" s="387"/>
      <c r="X410" s="387"/>
      <c r="Y410" s="388"/>
      <c r="Z410" s="388"/>
      <c r="AA410" s="388"/>
      <c r="AB410" s="389"/>
      <c r="AC410" s="389"/>
      <c r="AD410" s="389"/>
      <c r="AE410" s="389"/>
      <c r="AF410" s="389"/>
      <c r="AG410" s="332"/>
    </row>
    <row r="411" spans="1:33" s="333" customFormat="1" ht="18" customHeight="1">
      <c r="A411" s="382"/>
      <c r="B411" s="340" t="s">
        <v>338</v>
      </c>
      <c r="C411" s="223">
        <v>1</v>
      </c>
      <c r="D411" s="224">
        <v>1</v>
      </c>
      <c r="E411" s="224">
        <v>1</v>
      </c>
      <c r="F411" s="224">
        <v>1</v>
      </c>
      <c r="G411" s="223">
        <v>0.75</v>
      </c>
      <c r="H411" s="223">
        <v>0.75</v>
      </c>
      <c r="I411" s="230">
        <v>24</v>
      </c>
      <c r="J411" s="230" t="s">
        <v>996</v>
      </c>
      <c r="K411" s="230">
        <v>24</v>
      </c>
      <c r="L411" s="230">
        <v>24</v>
      </c>
      <c r="M411" s="230">
        <v>24</v>
      </c>
      <c r="N411" s="225" t="s">
        <v>996</v>
      </c>
      <c r="O411" s="230">
        <v>24</v>
      </c>
      <c r="P411" s="225" t="s">
        <v>996</v>
      </c>
      <c r="Q411" s="224">
        <v>30</v>
      </c>
      <c r="R411" s="387"/>
      <c r="S411" s="387"/>
      <c r="T411" s="388"/>
      <c r="U411" s="388"/>
      <c r="V411" s="388"/>
      <c r="W411" s="387"/>
      <c r="X411" s="387"/>
      <c r="Y411" s="388"/>
      <c r="Z411" s="388"/>
      <c r="AA411" s="388"/>
      <c r="AB411" s="389"/>
      <c r="AC411" s="389"/>
      <c r="AD411" s="389"/>
      <c r="AE411" s="389"/>
      <c r="AF411" s="389"/>
      <c r="AG411" s="332"/>
    </row>
    <row r="412" spans="1:33" s="333" customFormat="1" ht="18" customHeight="1">
      <c r="A412" s="382"/>
      <c r="B412" s="238" t="s">
        <v>1432</v>
      </c>
      <c r="C412" s="223">
        <v>1</v>
      </c>
      <c r="D412" s="223">
        <v>1</v>
      </c>
      <c r="E412" s="223">
        <v>1</v>
      </c>
      <c r="F412" s="223">
        <v>1</v>
      </c>
      <c r="G412" s="237">
        <v>2.4</v>
      </c>
      <c r="H412" s="237">
        <v>2.4</v>
      </c>
      <c r="I412" s="230"/>
      <c r="J412" s="230"/>
      <c r="K412" s="230"/>
      <c r="L412" s="230"/>
      <c r="M412" s="230"/>
      <c r="N412" s="230"/>
      <c r="O412" s="230"/>
      <c r="P412" s="230"/>
      <c r="Q412" s="224">
        <v>30</v>
      </c>
      <c r="R412" s="387"/>
      <c r="S412" s="387"/>
      <c r="T412" s="388"/>
      <c r="U412" s="388"/>
      <c r="V412" s="388"/>
      <c r="W412" s="387"/>
      <c r="X412" s="387"/>
      <c r="Y412" s="388"/>
      <c r="Z412" s="388"/>
      <c r="AA412" s="388"/>
      <c r="AB412" s="389"/>
      <c r="AC412" s="389"/>
      <c r="AD412" s="389"/>
      <c r="AE412" s="389"/>
      <c r="AF412" s="389"/>
      <c r="AG412" s="332"/>
    </row>
    <row r="413" spans="1:33" s="333" customFormat="1" ht="18" customHeight="1">
      <c r="A413" s="382"/>
      <c r="B413" s="238" t="s">
        <v>297</v>
      </c>
      <c r="C413" s="223">
        <v>1</v>
      </c>
      <c r="D413" s="223">
        <v>1</v>
      </c>
      <c r="E413" s="223">
        <v>1</v>
      </c>
      <c r="F413" s="223">
        <v>1</v>
      </c>
      <c r="G413" s="237">
        <v>6</v>
      </c>
      <c r="H413" s="237">
        <v>6</v>
      </c>
      <c r="I413" s="230">
        <v>2</v>
      </c>
      <c r="J413" s="225" t="s">
        <v>1414</v>
      </c>
      <c r="K413" s="230">
        <v>2</v>
      </c>
      <c r="L413" s="225" t="s">
        <v>1414</v>
      </c>
      <c r="M413" s="230">
        <v>2</v>
      </c>
      <c r="N413" s="225" t="s">
        <v>1414</v>
      </c>
      <c r="O413" s="230">
        <v>2</v>
      </c>
      <c r="P413" s="225" t="s">
        <v>1414</v>
      </c>
      <c r="Q413" s="224">
        <v>30</v>
      </c>
      <c r="R413" s="387"/>
      <c r="S413" s="387"/>
      <c r="T413" s="388"/>
      <c r="U413" s="388"/>
      <c r="V413" s="388"/>
      <c r="W413" s="387"/>
      <c r="X413" s="387"/>
      <c r="Y413" s="388"/>
      <c r="Z413" s="388"/>
      <c r="AA413" s="388"/>
      <c r="AB413" s="389"/>
      <c r="AC413" s="389"/>
      <c r="AD413" s="389"/>
      <c r="AE413" s="389"/>
      <c r="AF413" s="389"/>
      <c r="AG413" s="332"/>
    </row>
    <row r="414" spans="1:33" s="333" customFormat="1" ht="18" customHeight="1">
      <c r="A414" s="382"/>
      <c r="B414" s="238" t="s">
        <v>1433</v>
      </c>
      <c r="C414" s="223">
        <v>1</v>
      </c>
      <c r="D414" s="223">
        <v>1</v>
      </c>
      <c r="E414" s="223">
        <v>1</v>
      </c>
      <c r="F414" s="223">
        <v>1</v>
      </c>
      <c r="G414" s="237">
        <v>0.75</v>
      </c>
      <c r="H414" s="237">
        <v>0.75</v>
      </c>
      <c r="I414" s="230">
        <v>7</v>
      </c>
      <c r="J414" s="230" t="s">
        <v>1427</v>
      </c>
      <c r="K414" s="230">
        <v>7</v>
      </c>
      <c r="L414" s="230" t="s">
        <v>1427</v>
      </c>
      <c r="M414" s="230">
        <v>7</v>
      </c>
      <c r="N414" s="230" t="s">
        <v>1427</v>
      </c>
      <c r="O414" s="230">
        <v>7</v>
      </c>
      <c r="P414" s="230" t="s">
        <v>1427</v>
      </c>
      <c r="Q414" s="224">
        <v>30</v>
      </c>
      <c r="R414" s="387"/>
      <c r="S414" s="387"/>
      <c r="T414" s="388"/>
      <c r="U414" s="388"/>
      <c r="V414" s="388"/>
      <c r="W414" s="387"/>
      <c r="X414" s="387"/>
      <c r="Y414" s="388"/>
      <c r="Z414" s="388"/>
      <c r="AA414" s="388"/>
      <c r="AB414" s="389"/>
      <c r="AC414" s="389"/>
      <c r="AD414" s="389"/>
      <c r="AE414" s="389"/>
      <c r="AF414" s="389"/>
      <c r="AG414" s="332"/>
    </row>
    <row r="415" spans="1:33" s="333" customFormat="1" ht="18" customHeight="1">
      <c r="A415" s="382"/>
      <c r="B415" s="340" t="s">
        <v>1315</v>
      </c>
      <c r="C415" s="223">
        <v>2</v>
      </c>
      <c r="D415" s="224">
        <v>2</v>
      </c>
      <c r="E415" s="224">
        <v>2</v>
      </c>
      <c r="F415" s="224">
        <v>2</v>
      </c>
      <c r="G415" s="371">
        <v>34.5</v>
      </c>
      <c r="H415" s="371">
        <v>34.5</v>
      </c>
      <c r="I415" s="230">
        <v>7</v>
      </c>
      <c r="J415" s="230" t="s">
        <v>1427</v>
      </c>
      <c r="K415" s="230">
        <v>7</v>
      </c>
      <c r="L415" s="230" t="s">
        <v>1427</v>
      </c>
      <c r="M415" s="230">
        <v>7</v>
      </c>
      <c r="N415" s="230" t="s">
        <v>1427</v>
      </c>
      <c r="O415" s="230">
        <v>7</v>
      </c>
      <c r="P415" s="230" t="s">
        <v>1427</v>
      </c>
      <c r="Q415" s="224">
        <v>30</v>
      </c>
      <c r="R415" s="387"/>
      <c r="S415" s="387"/>
      <c r="T415" s="388"/>
      <c r="U415" s="388"/>
      <c r="V415" s="388"/>
      <c r="W415" s="387"/>
      <c r="X415" s="387"/>
      <c r="Y415" s="388"/>
      <c r="Z415" s="388"/>
      <c r="AA415" s="388"/>
      <c r="AB415" s="389"/>
      <c r="AC415" s="389"/>
      <c r="AD415" s="389"/>
      <c r="AE415" s="389"/>
      <c r="AF415" s="389"/>
      <c r="AG415" s="332"/>
    </row>
    <row r="416" spans="1:33" s="333" customFormat="1" ht="18" customHeight="1">
      <c r="A416" s="382"/>
      <c r="B416" s="353" t="s">
        <v>1434</v>
      </c>
      <c r="C416" s="225"/>
      <c r="D416" s="225"/>
      <c r="E416" s="225"/>
      <c r="F416" s="225"/>
      <c r="G416" s="237"/>
      <c r="H416" s="237"/>
      <c r="I416" s="230"/>
      <c r="J416" s="230"/>
      <c r="K416" s="225"/>
      <c r="L416" s="230"/>
      <c r="M416" s="239"/>
      <c r="N416" s="230"/>
      <c r="O416" s="224"/>
      <c r="P416" s="230"/>
      <c r="Q416" s="230"/>
      <c r="R416" s="387"/>
      <c r="S416" s="387"/>
      <c r="T416" s="388"/>
      <c r="U416" s="388"/>
      <c r="V416" s="388"/>
      <c r="W416" s="387"/>
      <c r="X416" s="387"/>
      <c r="Y416" s="388"/>
      <c r="Z416" s="388"/>
      <c r="AA416" s="388"/>
      <c r="AB416" s="389"/>
      <c r="AC416" s="389"/>
      <c r="AD416" s="389"/>
      <c r="AE416" s="389"/>
      <c r="AF416" s="389"/>
      <c r="AG416" s="332"/>
    </row>
    <row r="417" spans="1:33" s="333" customFormat="1" ht="18" customHeight="1">
      <c r="A417" s="382"/>
      <c r="B417" s="238" t="s">
        <v>1435</v>
      </c>
      <c r="C417" s="225">
        <v>1</v>
      </c>
      <c r="D417" s="225">
        <v>1</v>
      </c>
      <c r="E417" s="225">
        <v>1</v>
      </c>
      <c r="F417" s="225">
        <v>1</v>
      </c>
      <c r="G417" s="237">
        <v>8</v>
      </c>
      <c r="H417" s="237">
        <v>8</v>
      </c>
      <c r="I417" s="230">
        <v>2</v>
      </c>
      <c r="J417" s="230" t="s">
        <v>1436</v>
      </c>
      <c r="K417" s="225">
        <v>4</v>
      </c>
      <c r="L417" s="230" t="s">
        <v>1437</v>
      </c>
      <c r="M417" s="239">
        <v>4</v>
      </c>
      <c r="N417" s="230" t="s">
        <v>1437</v>
      </c>
      <c r="O417" s="224"/>
      <c r="P417" s="230" t="s">
        <v>1437</v>
      </c>
      <c r="Q417" s="224">
        <v>30</v>
      </c>
      <c r="R417" s="387"/>
      <c r="S417" s="387"/>
      <c r="T417" s="388"/>
      <c r="U417" s="388"/>
      <c r="V417" s="388"/>
      <c r="W417" s="387"/>
      <c r="X417" s="387"/>
      <c r="Y417" s="388"/>
      <c r="Z417" s="388"/>
      <c r="AA417" s="388"/>
      <c r="AB417" s="389"/>
      <c r="AC417" s="389"/>
      <c r="AD417" s="389"/>
      <c r="AE417" s="389"/>
      <c r="AF417" s="389"/>
      <c r="AG417" s="332"/>
    </row>
    <row r="418" spans="1:33" s="333" customFormat="1" ht="18" customHeight="1">
      <c r="A418" s="382"/>
      <c r="B418" s="238" t="s">
        <v>1438</v>
      </c>
      <c r="C418" s="225">
        <v>1</v>
      </c>
      <c r="D418" s="225">
        <v>1</v>
      </c>
      <c r="E418" s="225">
        <v>1</v>
      </c>
      <c r="F418" s="225">
        <v>1</v>
      </c>
      <c r="G418" s="237">
        <v>2.2000000000000002</v>
      </c>
      <c r="H418" s="237">
        <v>2.2000000000000002</v>
      </c>
      <c r="I418" s="230">
        <v>5</v>
      </c>
      <c r="J418" s="230" t="s">
        <v>1418</v>
      </c>
      <c r="K418" s="230">
        <v>5</v>
      </c>
      <c r="L418" s="230" t="s">
        <v>1418</v>
      </c>
      <c r="M418" s="230">
        <v>5</v>
      </c>
      <c r="N418" s="230" t="s">
        <v>1418</v>
      </c>
      <c r="O418" s="224"/>
      <c r="P418" s="230" t="s">
        <v>1418</v>
      </c>
      <c r="Q418" s="224">
        <v>30</v>
      </c>
      <c r="R418" s="387"/>
      <c r="S418" s="387"/>
      <c r="T418" s="388"/>
      <c r="U418" s="388"/>
      <c r="V418" s="388"/>
      <c r="W418" s="387"/>
      <c r="X418" s="387"/>
      <c r="Y418" s="388"/>
      <c r="Z418" s="388"/>
      <c r="AA418" s="388"/>
      <c r="AB418" s="389"/>
      <c r="AC418" s="389"/>
      <c r="AD418" s="389"/>
      <c r="AE418" s="389"/>
      <c r="AF418" s="389"/>
      <c r="AG418" s="332"/>
    </row>
    <row r="419" spans="1:33" s="333" customFormat="1" ht="18" customHeight="1">
      <c r="A419" s="382"/>
      <c r="B419" s="238" t="s">
        <v>1439</v>
      </c>
      <c r="C419" s="225">
        <v>1</v>
      </c>
      <c r="D419" s="225">
        <v>1</v>
      </c>
      <c r="E419" s="240">
        <v>1</v>
      </c>
      <c r="F419" s="240">
        <v>1</v>
      </c>
      <c r="G419" s="237">
        <v>2</v>
      </c>
      <c r="H419" s="237">
        <v>2</v>
      </c>
      <c r="I419" s="230">
        <v>24</v>
      </c>
      <c r="J419" s="230" t="s">
        <v>996</v>
      </c>
      <c r="K419" s="230">
        <v>24</v>
      </c>
      <c r="L419" s="230">
        <v>24</v>
      </c>
      <c r="M419" s="230">
        <v>24</v>
      </c>
      <c r="N419" s="225" t="s">
        <v>996</v>
      </c>
      <c r="O419" s="224"/>
      <c r="P419" s="225" t="s">
        <v>996</v>
      </c>
      <c r="Q419" s="224">
        <v>30</v>
      </c>
      <c r="R419" s="387"/>
      <c r="S419" s="387"/>
      <c r="T419" s="388"/>
      <c r="U419" s="388"/>
      <c r="V419" s="388"/>
      <c r="W419" s="387"/>
      <c r="X419" s="387"/>
      <c r="Y419" s="388"/>
      <c r="Z419" s="388"/>
      <c r="AA419" s="388"/>
      <c r="AB419" s="389"/>
      <c r="AC419" s="389"/>
      <c r="AD419" s="389"/>
      <c r="AE419" s="389"/>
      <c r="AF419" s="389"/>
      <c r="AG419" s="332"/>
    </row>
    <row r="420" spans="1:33" s="333" customFormat="1" ht="18" customHeight="1">
      <c r="A420" s="382"/>
      <c r="B420" s="238" t="s">
        <v>230</v>
      </c>
      <c r="C420" s="225">
        <v>1</v>
      </c>
      <c r="D420" s="225">
        <v>1</v>
      </c>
      <c r="E420" s="240">
        <v>1</v>
      </c>
      <c r="F420" s="240">
        <v>1</v>
      </c>
      <c r="G420" s="223">
        <v>2.4</v>
      </c>
      <c r="H420" s="223">
        <v>2.4</v>
      </c>
      <c r="I420" s="230">
        <v>24</v>
      </c>
      <c r="J420" s="230" t="s">
        <v>996</v>
      </c>
      <c r="K420" s="230">
        <v>24</v>
      </c>
      <c r="L420" s="230">
        <v>24</v>
      </c>
      <c r="M420" s="230">
        <v>24</v>
      </c>
      <c r="N420" s="225" t="s">
        <v>996</v>
      </c>
      <c r="O420" s="224"/>
      <c r="P420" s="225" t="s">
        <v>996</v>
      </c>
      <c r="Q420" s="224">
        <v>30</v>
      </c>
      <c r="R420" s="387"/>
      <c r="S420" s="387"/>
      <c r="T420" s="388"/>
      <c r="U420" s="388"/>
      <c r="V420" s="388"/>
      <c r="W420" s="387"/>
      <c r="X420" s="387"/>
      <c r="Y420" s="388"/>
      <c r="Z420" s="388"/>
      <c r="AA420" s="388"/>
      <c r="AB420" s="389"/>
      <c r="AC420" s="389"/>
      <c r="AD420" s="389"/>
      <c r="AE420" s="389"/>
      <c r="AF420" s="389"/>
      <c r="AG420" s="332"/>
    </row>
    <row r="421" spans="1:33" s="333" customFormat="1" ht="18" customHeight="1">
      <c r="A421" s="382"/>
      <c r="B421" s="238" t="s">
        <v>235</v>
      </c>
      <c r="C421" s="225">
        <v>1</v>
      </c>
      <c r="D421" s="225">
        <v>1</v>
      </c>
      <c r="E421" s="240">
        <v>1</v>
      </c>
      <c r="F421" s="240">
        <v>1</v>
      </c>
      <c r="G421" s="237">
        <v>2</v>
      </c>
      <c r="H421" s="237">
        <v>2</v>
      </c>
      <c r="I421" s="230">
        <v>24</v>
      </c>
      <c r="J421" s="230" t="s">
        <v>996</v>
      </c>
      <c r="K421" s="230">
        <v>24</v>
      </c>
      <c r="L421" s="230">
        <v>24</v>
      </c>
      <c r="M421" s="230">
        <v>24</v>
      </c>
      <c r="N421" s="225" t="s">
        <v>996</v>
      </c>
      <c r="O421" s="224"/>
      <c r="P421" s="225" t="s">
        <v>996</v>
      </c>
      <c r="Q421" s="224">
        <v>30</v>
      </c>
      <c r="R421" s="387"/>
      <c r="S421" s="387"/>
      <c r="T421" s="388"/>
      <c r="U421" s="388"/>
      <c r="V421" s="388"/>
      <c r="W421" s="387"/>
      <c r="X421" s="387"/>
      <c r="Y421" s="388"/>
      <c r="Z421" s="388"/>
      <c r="AA421" s="388"/>
      <c r="AB421" s="389"/>
      <c r="AC421" s="389"/>
      <c r="AD421" s="389"/>
      <c r="AE421" s="389"/>
      <c r="AF421" s="389"/>
      <c r="AG421" s="332"/>
    </row>
    <row r="422" spans="1:33" s="333" customFormat="1" ht="18" customHeight="1">
      <c r="A422" s="382"/>
      <c r="B422" s="238" t="s">
        <v>232</v>
      </c>
      <c r="C422" s="225">
        <v>1</v>
      </c>
      <c r="D422" s="225">
        <v>1</v>
      </c>
      <c r="E422" s="240">
        <v>1</v>
      </c>
      <c r="F422" s="240">
        <v>1</v>
      </c>
      <c r="G422" s="237">
        <v>3.3</v>
      </c>
      <c r="H422" s="237">
        <v>3.3</v>
      </c>
      <c r="I422" s="230">
        <v>24</v>
      </c>
      <c r="J422" s="230" t="s">
        <v>996</v>
      </c>
      <c r="K422" s="230">
        <v>24</v>
      </c>
      <c r="L422" s="230">
        <v>24</v>
      </c>
      <c r="M422" s="230">
        <v>24</v>
      </c>
      <c r="N422" s="225" t="s">
        <v>996</v>
      </c>
      <c r="O422" s="224"/>
      <c r="P422" s="225" t="s">
        <v>996</v>
      </c>
      <c r="Q422" s="224">
        <v>30</v>
      </c>
      <c r="R422" s="387"/>
      <c r="S422" s="387"/>
      <c r="T422" s="388"/>
      <c r="U422" s="388"/>
      <c r="V422" s="388"/>
      <c r="W422" s="387"/>
      <c r="X422" s="387"/>
      <c r="Y422" s="388"/>
      <c r="Z422" s="388"/>
      <c r="AA422" s="388"/>
      <c r="AB422" s="389"/>
      <c r="AC422" s="389"/>
      <c r="AD422" s="389"/>
      <c r="AE422" s="389"/>
      <c r="AF422" s="389"/>
      <c r="AG422" s="332"/>
    </row>
    <row r="423" spans="1:33" s="333" customFormat="1" ht="18" customHeight="1">
      <c r="A423" s="382"/>
      <c r="B423" s="238" t="s">
        <v>1440</v>
      </c>
      <c r="C423" s="225">
        <v>1</v>
      </c>
      <c r="D423" s="225">
        <v>1</v>
      </c>
      <c r="E423" s="240">
        <v>1</v>
      </c>
      <c r="F423" s="240">
        <v>1</v>
      </c>
      <c r="G423" s="237">
        <v>3.3</v>
      </c>
      <c r="H423" s="237">
        <v>3.3</v>
      </c>
      <c r="I423" s="230">
        <v>24</v>
      </c>
      <c r="J423" s="230" t="s">
        <v>996</v>
      </c>
      <c r="K423" s="230">
        <v>24</v>
      </c>
      <c r="L423" s="230">
        <v>24</v>
      </c>
      <c r="M423" s="230">
        <v>24</v>
      </c>
      <c r="N423" s="225" t="s">
        <v>996</v>
      </c>
      <c r="O423" s="224"/>
      <c r="P423" s="225" t="s">
        <v>996</v>
      </c>
      <c r="Q423" s="224">
        <v>30</v>
      </c>
      <c r="R423" s="387"/>
      <c r="S423" s="387"/>
      <c r="T423" s="388"/>
      <c r="U423" s="388"/>
      <c r="V423" s="388"/>
      <c r="W423" s="387"/>
      <c r="X423" s="387"/>
      <c r="Y423" s="388"/>
      <c r="Z423" s="388"/>
      <c r="AA423" s="388"/>
      <c r="AB423" s="389"/>
      <c r="AC423" s="389"/>
      <c r="AD423" s="389"/>
      <c r="AE423" s="389"/>
      <c r="AF423" s="389"/>
      <c r="AG423" s="332"/>
    </row>
    <row r="424" spans="1:33" s="333" customFormat="1" ht="18" customHeight="1">
      <c r="A424" s="382"/>
      <c r="B424" s="236" t="s">
        <v>1441</v>
      </c>
      <c r="C424" s="225">
        <v>1</v>
      </c>
      <c r="D424" s="225">
        <v>1</v>
      </c>
      <c r="E424" s="225">
        <v>1</v>
      </c>
      <c r="F424" s="225">
        <v>1</v>
      </c>
      <c r="G424" s="237">
        <v>0.1</v>
      </c>
      <c r="H424" s="237">
        <v>0.1</v>
      </c>
      <c r="I424" s="230">
        <v>24</v>
      </c>
      <c r="J424" s="230" t="s">
        <v>996</v>
      </c>
      <c r="K424" s="230">
        <v>24</v>
      </c>
      <c r="L424" s="230">
        <v>24</v>
      </c>
      <c r="M424" s="230">
        <v>24</v>
      </c>
      <c r="N424" s="225" t="s">
        <v>996</v>
      </c>
      <c r="O424" s="224"/>
      <c r="P424" s="225" t="s">
        <v>996</v>
      </c>
      <c r="Q424" s="224">
        <v>30</v>
      </c>
      <c r="R424" s="387"/>
      <c r="S424" s="387"/>
      <c r="T424" s="388"/>
      <c r="U424" s="388"/>
      <c r="V424" s="388"/>
      <c r="W424" s="387"/>
      <c r="X424" s="387"/>
      <c r="Y424" s="388"/>
      <c r="Z424" s="388"/>
      <c r="AA424" s="388"/>
      <c r="AB424" s="389"/>
      <c r="AC424" s="389"/>
      <c r="AD424" s="389"/>
      <c r="AE424" s="389"/>
      <c r="AF424" s="389"/>
      <c r="AG424" s="332"/>
    </row>
    <row r="425" spans="1:33" s="333" customFormat="1" ht="18" customHeight="1">
      <c r="A425" s="382"/>
      <c r="B425" s="238" t="s">
        <v>1420</v>
      </c>
      <c r="C425" s="225">
        <v>1</v>
      </c>
      <c r="D425" s="225">
        <v>1</v>
      </c>
      <c r="E425" s="225">
        <v>1</v>
      </c>
      <c r="F425" s="225">
        <v>1</v>
      </c>
      <c r="G425" s="237">
        <v>0.4</v>
      </c>
      <c r="H425" s="237">
        <v>0.4</v>
      </c>
      <c r="I425" s="230">
        <v>4</v>
      </c>
      <c r="J425" s="230" t="s">
        <v>996</v>
      </c>
      <c r="K425" s="230">
        <v>24</v>
      </c>
      <c r="L425" s="230">
        <v>24</v>
      </c>
      <c r="M425" s="230">
        <v>24</v>
      </c>
      <c r="N425" s="225" t="s">
        <v>996</v>
      </c>
      <c r="O425" s="224"/>
      <c r="P425" s="225" t="s">
        <v>996</v>
      </c>
      <c r="Q425" s="224">
        <v>30</v>
      </c>
      <c r="R425" s="387"/>
      <c r="S425" s="387"/>
      <c r="T425" s="388"/>
      <c r="U425" s="388"/>
      <c r="V425" s="388"/>
      <c r="W425" s="387"/>
      <c r="X425" s="387"/>
      <c r="Y425" s="388"/>
      <c r="Z425" s="388"/>
      <c r="AA425" s="388"/>
      <c r="AB425" s="389"/>
      <c r="AC425" s="389"/>
      <c r="AD425" s="389"/>
      <c r="AE425" s="389"/>
      <c r="AF425" s="389"/>
      <c r="AG425" s="332"/>
    </row>
    <row r="426" spans="1:33" s="333" customFormat="1" ht="18" customHeight="1">
      <c r="A426" s="382"/>
      <c r="B426" s="236" t="s">
        <v>1442</v>
      </c>
      <c r="C426" s="225">
        <v>1</v>
      </c>
      <c r="D426" s="225">
        <v>1</v>
      </c>
      <c r="E426" s="225">
        <v>1</v>
      </c>
      <c r="F426" s="225">
        <v>1</v>
      </c>
      <c r="G426" s="237">
        <v>0.75</v>
      </c>
      <c r="H426" s="237">
        <v>0.75</v>
      </c>
      <c r="I426" s="230">
        <v>24</v>
      </c>
      <c r="J426" s="225"/>
      <c r="K426" s="225"/>
      <c r="L426" s="239"/>
      <c r="M426" s="225"/>
      <c r="N426" s="225"/>
      <c r="O426" s="224"/>
      <c r="P426" s="225"/>
      <c r="Q426" s="224">
        <v>30</v>
      </c>
      <c r="R426" s="387"/>
      <c r="S426" s="387"/>
      <c r="T426" s="388"/>
      <c r="U426" s="388"/>
      <c r="V426" s="388"/>
      <c r="W426" s="387"/>
      <c r="X426" s="387"/>
      <c r="Y426" s="388"/>
      <c r="Z426" s="388"/>
      <c r="AA426" s="388"/>
      <c r="AB426" s="389"/>
      <c r="AC426" s="389"/>
      <c r="AD426" s="389"/>
      <c r="AE426" s="389"/>
      <c r="AF426" s="389"/>
      <c r="AG426" s="332"/>
    </row>
    <row r="427" spans="1:33" s="333" customFormat="1" ht="18" customHeight="1">
      <c r="A427" s="382"/>
      <c r="B427" s="236" t="s">
        <v>1445</v>
      </c>
      <c r="C427" s="225">
        <v>1</v>
      </c>
      <c r="D427" s="225">
        <v>1</v>
      </c>
      <c r="E427" s="225">
        <v>1</v>
      </c>
      <c r="F427" s="225">
        <v>1</v>
      </c>
      <c r="G427" s="237">
        <v>36</v>
      </c>
      <c r="H427" s="237">
        <v>36</v>
      </c>
      <c r="I427" s="230">
        <v>4</v>
      </c>
      <c r="J427" s="230" t="s">
        <v>1443</v>
      </c>
      <c r="K427" s="230">
        <v>7</v>
      </c>
      <c r="L427" s="230" t="s">
        <v>1443</v>
      </c>
      <c r="M427" s="230">
        <v>7</v>
      </c>
      <c r="N427" s="230" t="s">
        <v>1443</v>
      </c>
      <c r="O427" s="224"/>
      <c r="P427" s="230" t="s">
        <v>1444</v>
      </c>
      <c r="Q427" s="224">
        <v>30</v>
      </c>
      <c r="R427" s="387"/>
      <c r="S427" s="387"/>
      <c r="T427" s="388"/>
      <c r="U427" s="388"/>
      <c r="V427" s="388"/>
      <c r="W427" s="387"/>
      <c r="X427" s="387"/>
      <c r="Y427" s="388"/>
      <c r="Z427" s="388"/>
      <c r="AA427" s="388"/>
      <c r="AB427" s="389"/>
      <c r="AC427" s="389"/>
      <c r="AD427" s="389"/>
      <c r="AE427" s="389"/>
      <c r="AF427" s="389"/>
      <c r="AG427" s="332"/>
    </row>
    <row r="428" spans="1:33" s="333" customFormat="1" ht="18" customHeight="1">
      <c r="A428" s="382"/>
      <c r="B428" s="236" t="s">
        <v>1424</v>
      </c>
      <c r="C428" s="225">
        <v>2</v>
      </c>
      <c r="D428" s="225">
        <v>2</v>
      </c>
      <c r="E428" s="225">
        <v>2</v>
      </c>
      <c r="F428" s="225">
        <v>2</v>
      </c>
      <c r="G428" s="237">
        <v>2.4</v>
      </c>
      <c r="H428" s="237">
        <v>2.4</v>
      </c>
      <c r="I428" s="230">
        <v>0</v>
      </c>
      <c r="J428" s="225"/>
      <c r="K428" s="230">
        <v>0</v>
      </c>
      <c r="L428" s="239"/>
      <c r="M428" s="230">
        <v>0</v>
      </c>
      <c r="N428" s="225"/>
      <c r="O428" s="230">
        <v>0</v>
      </c>
      <c r="P428" s="225"/>
      <c r="Q428" s="224">
        <v>30</v>
      </c>
      <c r="R428" s="387"/>
      <c r="S428" s="387"/>
      <c r="T428" s="388"/>
      <c r="U428" s="388"/>
      <c r="V428" s="388"/>
      <c r="W428" s="387"/>
      <c r="X428" s="387"/>
      <c r="Y428" s="388"/>
      <c r="Z428" s="388"/>
      <c r="AA428" s="388"/>
      <c r="AB428" s="389"/>
      <c r="AC428" s="389"/>
      <c r="AD428" s="389"/>
      <c r="AE428" s="389"/>
      <c r="AF428" s="389"/>
      <c r="AG428" s="332"/>
    </row>
    <row r="429" spans="1:33" s="333" customFormat="1" ht="18" customHeight="1">
      <c r="A429" s="382"/>
      <c r="B429" s="238" t="s">
        <v>842</v>
      </c>
      <c r="C429" s="225">
        <v>2</v>
      </c>
      <c r="D429" s="225">
        <v>2</v>
      </c>
      <c r="E429" s="225">
        <v>2</v>
      </c>
      <c r="F429" s="225">
        <v>2</v>
      </c>
      <c r="G429" s="237">
        <v>0.5</v>
      </c>
      <c r="H429" s="237">
        <v>0.5</v>
      </c>
      <c r="I429" s="230">
        <v>0</v>
      </c>
      <c r="J429" s="225"/>
      <c r="K429" s="230">
        <v>0</v>
      </c>
      <c r="L429" s="239"/>
      <c r="M429" s="230">
        <v>0</v>
      </c>
      <c r="N429" s="225"/>
      <c r="O429" s="230">
        <v>0</v>
      </c>
      <c r="P429" s="225"/>
      <c r="Q429" s="224">
        <v>30</v>
      </c>
      <c r="R429" s="387"/>
      <c r="S429" s="387"/>
      <c r="T429" s="388"/>
      <c r="U429" s="388"/>
      <c r="V429" s="388"/>
      <c r="W429" s="387"/>
      <c r="X429" s="387"/>
      <c r="Y429" s="388"/>
      <c r="Z429" s="388"/>
      <c r="AA429" s="388"/>
      <c r="AB429" s="389"/>
      <c r="AC429" s="389"/>
      <c r="AD429" s="389"/>
      <c r="AE429" s="389"/>
      <c r="AF429" s="389"/>
      <c r="AG429" s="332"/>
    </row>
    <row r="430" spans="1:33" s="333" customFormat="1" ht="18" customHeight="1">
      <c r="A430" s="382"/>
      <c r="B430" s="238" t="s">
        <v>1446</v>
      </c>
      <c r="C430" s="225">
        <v>2</v>
      </c>
      <c r="D430" s="225">
        <v>2</v>
      </c>
      <c r="E430" s="225">
        <v>2</v>
      </c>
      <c r="F430" s="225">
        <v>2</v>
      </c>
      <c r="G430" s="237">
        <v>0.75</v>
      </c>
      <c r="H430" s="237">
        <v>0.75</v>
      </c>
      <c r="I430" s="230">
        <v>0</v>
      </c>
      <c r="J430" s="225"/>
      <c r="K430" s="230">
        <v>0</v>
      </c>
      <c r="L430" s="239"/>
      <c r="M430" s="230">
        <v>0</v>
      </c>
      <c r="N430" s="225"/>
      <c r="O430" s="230">
        <v>0</v>
      </c>
      <c r="P430" s="225"/>
      <c r="Q430" s="224">
        <v>30</v>
      </c>
      <c r="R430" s="387"/>
      <c r="S430" s="387"/>
      <c r="T430" s="388"/>
      <c r="U430" s="388"/>
      <c r="V430" s="388"/>
      <c r="W430" s="387"/>
      <c r="X430" s="387"/>
      <c r="Y430" s="388"/>
      <c r="Z430" s="388"/>
      <c r="AA430" s="388"/>
      <c r="AB430" s="389"/>
      <c r="AC430" s="389"/>
      <c r="AD430" s="389"/>
      <c r="AE430" s="389"/>
      <c r="AF430" s="389"/>
      <c r="AG430" s="332"/>
    </row>
    <row r="431" spans="1:33" s="333" customFormat="1" ht="18" customHeight="1">
      <c r="A431" s="382"/>
      <c r="B431" s="238" t="s">
        <v>1447</v>
      </c>
      <c r="C431" s="225">
        <v>2</v>
      </c>
      <c r="D431" s="225">
        <v>2</v>
      </c>
      <c r="E431" s="225">
        <v>2</v>
      </c>
      <c r="F431" s="225">
        <v>2</v>
      </c>
      <c r="G431" s="237">
        <v>0.75</v>
      </c>
      <c r="H431" s="237">
        <v>0.75</v>
      </c>
      <c r="I431" s="230">
        <v>0</v>
      </c>
      <c r="J431" s="225"/>
      <c r="K431" s="230">
        <v>0</v>
      </c>
      <c r="L431" s="239"/>
      <c r="M431" s="230">
        <v>0</v>
      </c>
      <c r="N431" s="225"/>
      <c r="O431" s="230">
        <v>0</v>
      </c>
      <c r="P431" s="225"/>
      <c r="Q431" s="224">
        <v>30</v>
      </c>
      <c r="R431" s="387"/>
      <c r="S431" s="387"/>
      <c r="T431" s="388"/>
      <c r="U431" s="388"/>
      <c r="V431" s="388"/>
      <c r="W431" s="387"/>
      <c r="X431" s="387"/>
      <c r="Y431" s="388"/>
      <c r="Z431" s="388"/>
      <c r="AA431" s="388"/>
      <c r="AB431" s="389"/>
      <c r="AC431" s="389"/>
      <c r="AD431" s="389"/>
      <c r="AE431" s="389"/>
      <c r="AF431" s="389"/>
      <c r="AG431" s="332"/>
    </row>
    <row r="432" spans="1:33" s="333" customFormat="1" ht="18" customHeight="1">
      <c r="A432" s="382"/>
      <c r="B432" s="238" t="s">
        <v>1448</v>
      </c>
      <c r="C432" s="225">
        <v>2</v>
      </c>
      <c r="D432" s="225">
        <v>2</v>
      </c>
      <c r="E432" s="225">
        <v>2</v>
      </c>
      <c r="F432" s="225">
        <v>2</v>
      </c>
      <c r="G432" s="237">
        <v>0.75</v>
      </c>
      <c r="H432" s="237">
        <v>0.75</v>
      </c>
      <c r="I432" s="230">
        <v>0</v>
      </c>
      <c r="J432" s="225"/>
      <c r="K432" s="230">
        <v>0</v>
      </c>
      <c r="L432" s="239"/>
      <c r="M432" s="230">
        <v>0</v>
      </c>
      <c r="N432" s="241"/>
      <c r="O432" s="230">
        <v>0</v>
      </c>
      <c r="P432" s="241"/>
      <c r="Q432" s="224">
        <v>30</v>
      </c>
      <c r="R432" s="387"/>
      <c r="S432" s="387"/>
      <c r="T432" s="388"/>
      <c r="U432" s="388"/>
      <c r="V432" s="388"/>
      <c r="W432" s="387"/>
      <c r="X432" s="387"/>
      <c r="Y432" s="388"/>
      <c r="Z432" s="388"/>
      <c r="AA432" s="388"/>
      <c r="AB432" s="389"/>
      <c r="AC432" s="389"/>
      <c r="AD432" s="389"/>
      <c r="AE432" s="389"/>
      <c r="AF432" s="389"/>
      <c r="AG432" s="332"/>
    </row>
    <row r="433" spans="1:33" s="333" customFormat="1" ht="18" customHeight="1">
      <c r="A433" s="382"/>
      <c r="B433" s="238" t="s">
        <v>1449</v>
      </c>
      <c r="C433" s="154"/>
      <c r="D433" s="154"/>
      <c r="E433" s="154"/>
      <c r="F433" s="154"/>
      <c r="G433" s="237"/>
      <c r="H433" s="237"/>
      <c r="I433" s="230">
        <v>0</v>
      </c>
      <c r="J433" s="225"/>
      <c r="K433" s="230">
        <v>0</v>
      </c>
      <c r="L433" s="225"/>
      <c r="M433" s="230">
        <v>0</v>
      </c>
      <c r="N433" s="225"/>
      <c r="O433" s="230">
        <v>0</v>
      </c>
      <c r="P433" s="225"/>
      <c r="Q433" s="224">
        <v>30</v>
      </c>
      <c r="R433" s="387"/>
      <c r="S433" s="387"/>
      <c r="T433" s="388"/>
      <c r="U433" s="388"/>
      <c r="V433" s="388"/>
      <c r="W433" s="387"/>
      <c r="X433" s="387"/>
      <c r="Y433" s="388"/>
      <c r="Z433" s="388"/>
      <c r="AA433" s="388"/>
      <c r="AB433" s="389"/>
      <c r="AC433" s="389"/>
      <c r="AD433" s="389"/>
      <c r="AE433" s="389"/>
      <c r="AF433" s="389"/>
      <c r="AG433" s="332"/>
    </row>
    <row r="434" spans="1:33" s="333" customFormat="1" ht="18" customHeight="1">
      <c r="A434" s="382"/>
      <c r="B434" s="353" t="s">
        <v>1450</v>
      </c>
      <c r="C434" s="225"/>
      <c r="D434" s="225"/>
      <c r="E434" s="225"/>
      <c r="F434" s="225"/>
      <c r="G434" s="237"/>
      <c r="H434" s="237"/>
      <c r="I434" s="230"/>
      <c r="J434" s="225"/>
      <c r="K434" s="225"/>
      <c r="L434" s="225"/>
      <c r="M434" s="225"/>
      <c r="N434" s="225"/>
      <c r="O434" s="224"/>
      <c r="P434" s="225"/>
      <c r="Q434" s="225"/>
      <c r="R434" s="387"/>
      <c r="S434" s="387"/>
      <c r="T434" s="388"/>
      <c r="U434" s="388"/>
      <c r="V434" s="388"/>
      <c r="W434" s="387"/>
      <c r="X434" s="387"/>
      <c r="Y434" s="388"/>
      <c r="Z434" s="388"/>
      <c r="AA434" s="388"/>
      <c r="AB434" s="389"/>
      <c r="AC434" s="389"/>
      <c r="AD434" s="389"/>
      <c r="AE434" s="389"/>
      <c r="AF434" s="389"/>
      <c r="AG434" s="332"/>
    </row>
    <row r="435" spans="1:33" s="333" customFormat="1" ht="18" customHeight="1">
      <c r="A435" s="382"/>
      <c r="B435" s="236" t="s">
        <v>1451</v>
      </c>
      <c r="C435" s="225">
        <v>1</v>
      </c>
      <c r="D435" s="225">
        <v>1</v>
      </c>
      <c r="E435" s="225">
        <v>2</v>
      </c>
      <c r="F435" s="225">
        <v>3</v>
      </c>
      <c r="G435" s="237">
        <v>2.2000000000000002</v>
      </c>
      <c r="H435" s="237">
        <v>2.2000000000000002</v>
      </c>
      <c r="I435" s="230">
        <v>0</v>
      </c>
      <c r="J435" s="225"/>
      <c r="K435" s="242">
        <v>0</v>
      </c>
      <c r="L435" s="225"/>
      <c r="M435" s="243">
        <v>0</v>
      </c>
      <c r="N435" s="225"/>
      <c r="O435" s="224">
        <v>8</v>
      </c>
      <c r="P435" s="225" t="s">
        <v>1452</v>
      </c>
      <c r="Q435" s="224">
        <v>30</v>
      </c>
      <c r="R435" s="387"/>
      <c r="S435" s="387"/>
      <c r="T435" s="388"/>
      <c r="U435" s="388"/>
      <c r="V435" s="388"/>
      <c r="W435" s="387"/>
      <c r="X435" s="387"/>
      <c r="Y435" s="388"/>
      <c r="Z435" s="388"/>
      <c r="AA435" s="388"/>
      <c r="AB435" s="389"/>
      <c r="AC435" s="389"/>
      <c r="AD435" s="389"/>
      <c r="AE435" s="389"/>
      <c r="AF435" s="389"/>
      <c r="AG435" s="332"/>
    </row>
    <row r="436" spans="1:33" s="333" customFormat="1" ht="18" customHeight="1">
      <c r="A436" s="382"/>
      <c r="B436" s="236" t="s">
        <v>1453</v>
      </c>
      <c r="C436" s="225">
        <v>1</v>
      </c>
      <c r="D436" s="225">
        <v>1</v>
      </c>
      <c r="E436" s="225">
        <v>1</v>
      </c>
      <c r="F436" s="225">
        <v>1</v>
      </c>
      <c r="G436" s="237">
        <v>0.5</v>
      </c>
      <c r="H436" s="237">
        <v>0.5</v>
      </c>
      <c r="I436" s="230">
        <v>0</v>
      </c>
      <c r="J436" s="225"/>
      <c r="K436" s="225">
        <v>0</v>
      </c>
      <c r="L436" s="239"/>
      <c r="M436" s="225">
        <v>0</v>
      </c>
      <c r="N436" s="225"/>
      <c r="O436" s="224">
        <v>8</v>
      </c>
      <c r="P436" s="225" t="s">
        <v>1452</v>
      </c>
      <c r="Q436" s="224">
        <v>30</v>
      </c>
      <c r="R436" s="387"/>
      <c r="S436" s="387"/>
      <c r="T436" s="388"/>
      <c r="U436" s="388"/>
      <c r="V436" s="388"/>
      <c r="W436" s="387"/>
      <c r="X436" s="387"/>
      <c r="Y436" s="388"/>
      <c r="Z436" s="388"/>
      <c r="AA436" s="388"/>
      <c r="AB436" s="389"/>
      <c r="AC436" s="389"/>
      <c r="AD436" s="389"/>
      <c r="AE436" s="389"/>
      <c r="AF436" s="389"/>
      <c r="AG436" s="332"/>
    </row>
    <row r="437" spans="1:33" s="333" customFormat="1" ht="18" customHeight="1">
      <c r="A437" s="382"/>
      <c r="B437" s="236" t="s">
        <v>1423</v>
      </c>
      <c r="C437" s="225">
        <v>1</v>
      </c>
      <c r="D437" s="225">
        <v>1</v>
      </c>
      <c r="E437" s="225">
        <v>1</v>
      </c>
      <c r="F437" s="225">
        <v>1</v>
      </c>
      <c r="G437" s="237">
        <v>3.3</v>
      </c>
      <c r="H437" s="237">
        <v>3.3</v>
      </c>
      <c r="I437" s="230">
        <v>0</v>
      </c>
      <c r="J437" s="230"/>
      <c r="K437" s="154">
        <v>0</v>
      </c>
      <c r="L437" s="230"/>
      <c r="M437" s="154">
        <v>0</v>
      </c>
      <c r="N437" s="230"/>
      <c r="O437" s="224">
        <v>8</v>
      </c>
      <c r="P437" s="225" t="s">
        <v>1452</v>
      </c>
      <c r="Q437" s="224">
        <v>30</v>
      </c>
      <c r="R437" s="387"/>
      <c r="S437" s="387"/>
      <c r="T437" s="388"/>
      <c r="U437" s="388"/>
      <c r="V437" s="388"/>
      <c r="W437" s="387"/>
      <c r="X437" s="387"/>
      <c r="Y437" s="388"/>
      <c r="Z437" s="388"/>
      <c r="AA437" s="388"/>
      <c r="AB437" s="389"/>
      <c r="AC437" s="389"/>
      <c r="AD437" s="389"/>
      <c r="AE437" s="389"/>
      <c r="AF437" s="389"/>
      <c r="AG437" s="332"/>
    </row>
    <row r="438" spans="1:33" s="333" customFormat="1" ht="18" customHeight="1">
      <c r="A438" s="382"/>
      <c r="B438" s="238" t="s">
        <v>1446</v>
      </c>
      <c r="C438" s="225">
        <v>1</v>
      </c>
      <c r="D438" s="225">
        <v>1</v>
      </c>
      <c r="E438" s="225">
        <v>2</v>
      </c>
      <c r="F438" s="225">
        <v>2</v>
      </c>
      <c r="G438" s="237">
        <v>0.75</v>
      </c>
      <c r="H438" s="237">
        <v>0.75</v>
      </c>
      <c r="I438" s="230">
        <v>0</v>
      </c>
      <c r="J438" s="230"/>
      <c r="K438" s="230">
        <v>0</v>
      </c>
      <c r="L438" s="230"/>
      <c r="M438" s="230">
        <v>0</v>
      </c>
      <c r="N438" s="225"/>
      <c r="O438" s="224">
        <v>8</v>
      </c>
      <c r="P438" s="225" t="s">
        <v>1452</v>
      </c>
      <c r="Q438" s="224">
        <v>30</v>
      </c>
      <c r="R438" s="387"/>
      <c r="S438" s="387"/>
      <c r="T438" s="388"/>
      <c r="U438" s="388"/>
      <c r="V438" s="388"/>
      <c r="W438" s="387"/>
      <c r="X438" s="387"/>
      <c r="Y438" s="388"/>
      <c r="Z438" s="388"/>
      <c r="AA438" s="388"/>
      <c r="AB438" s="389"/>
      <c r="AC438" s="389"/>
      <c r="AD438" s="389"/>
      <c r="AE438" s="389"/>
      <c r="AF438" s="389"/>
      <c r="AG438" s="332"/>
    </row>
    <row r="439" spans="1:33" s="333" customFormat="1" ht="18" customHeight="1">
      <c r="A439" s="382"/>
      <c r="B439" s="238" t="s">
        <v>1447</v>
      </c>
      <c r="C439" s="225">
        <v>1</v>
      </c>
      <c r="D439" s="225">
        <v>1</v>
      </c>
      <c r="E439" s="225">
        <v>2</v>
      </c>
      <c r="F439" s="225">
        <v>2</v>
      </c>
      <c r="G439" s="237">
        <v>0.75</v>
      </c>
      <c r="H439" s="237">
        <v>0.75</v>
      </c>
      <c r="I439" s="230">
        <v>0</v>
      </c>
      <c r="J439" s="225"/>
      <c r="K439" s="225">
        <v>0</v>
      </c>
      <c r="L439" s="239"/>
      <c r="M439" s="225">
        <v>0</v>
      </c>
      <c r="N439" s="225"/>
      <c r="O439" s="224">
        <v>8</v>
      </c>
      <c r="P439" s="225" t="s">
        <v>1452</v>
      </c>
      <c r="Q439" s="224">
        <v>30</v>
      </c>
      <c r="R439" s="387"/>
      <c r="S439" s="387"/>
      <c r="T439" s="388"/>
      <c r="U439" s="388"/>
      <c r="V439" s="388"/>
      <c r="W439" s="387"/>
      <c r="X439" s="387"/>
      <c r="Y439" s="388"/>
      <c r="Z439" s="388"/>
      <c r="AA439" s="388"/>
      <c r="AB439" s="389"/>
      <c r="AC439" s="389"/>
      <c r="AD439" s="389"/>
      <c r="AE439" s="389"/>
      <c r="AF439" s="389"/>
      <c r="AG439" s="332"/>
    </row>
    <row r="440" spans="1:33" s="333" customFormat="1" ht="18" customHeight="1">
      <c r="A440" s="382"/>
      <c r="B440" s="238" t="s">
        <v>1448</v>
      </c>
      <c r="C440" s="225">
        <v>1</v>
      </c>
      <c r="D440" s="225">
        <v>1</v>
      </c>
      <c r="E440" s="225">
        <v>2</v>
      </c>
      <c r="F440" s="225">
        <v>2</v>
      </c>
      <c r="G440" s="237">
        <v>0.75</v>
      </c>
      <c r="H440" s="237">
        <v>0.75</v>
      </c>
      <c r="I440" s="230">
        <v>0</v>
      </c>
      <c r="J440" s="225"/>
      <c r="K440" s="225">
        <v>0</v>
      </c>
      <c r="L440" s="239"/>
      <c r="M440" s="225">
        <v>0</v>
      </c>
      <c r="N440" s="225"/>
      <c r="O440" s="224">
        <v>8</v>
      </c>
      <c r="P440" s="225" t="s">
        <v>1452</v>
      </c>
      <c r="Q440" s="224">
        <v>30</v>
      </c>
      <c r="R440" s="387"/>
      <c r="S440" s="387"/>
      <c r="T440" s="388"/>
      <c r="U440" s="388"/>
      <c r="V440" s="388"/>
      <c r="W440" s="387"/>
      <c r="X440" s="387"/>
      <c r="Y440" s="388"/>
      <c r="Z440" s="388"/>
      <c r="AA440" s="388"/>
      <c r="AB440" s="389"/>
      <c r="AC440" s="389"/>
      <c r="AD440" s="389"/>
      <c r="AE440" s="389"/>
      <c r="AF440" s="389"/>
      <c r="AG440" s="332"/>
    </row>
    <row r="441" spans="1:33" s="333" customFormat="1" ht="18" customHeight="1">
      <c r="A441" s="382"/>
      <c r="B441" s="238" t="s">
        <v>1449</v>
      </c>
      <c r="C441" s="225">
        <v>1</v>
      </c>
      <c r="D441" s="225">
        <v>1</v>
      </c>
      <c r="E441" s="225">
        <v>2</v>
      </c>
      <c r="F441" s="225">
        <v>2</v>
      </c>
      <c r="G441" s="237">
        <v>0.75</v>
      </c>
      <c r="H441" s="237">
        <v>0.75</v>
      </c>
      <c r="I441" s="230">
        <v>0</v>
      </c>
      <c r="J441" s="225"/>
      <c r="K441" s="230">
        <v>0</v>
      </c>
      <c r="L441" s="239"/>
      <c r="M441" s="230">
        <v>0</v>
      </c>
      <c r="N441" s="230"/>
      <c r="O441" s="224">
        <v>8</v>
      </c>
      <c r="P441" s="225" t="s">
        <v>1452</v>
      </c>
      <c r="Q441" s="224">
        <v>30</v>
      </c>
      <c r="R441" s="387">
        <v>0</v>
      </c>
      <c r="S441" s="387">
        <v>0</v>
      </c>
      <c r="T441" s="388">
        <v>0</v>
      </c>
      <c r="U441" s="388">
        <v>0</v>
      </c>
      <c r="V441" s="388">
        <v>0</v>
      </c>
      <c r="W441" s="387">
        <v>0</v>
      </c>
      <c r="X441" s="387">
        <v>0</v>
      </c>
      <c r="Y441" s="388">
        <v>0</v>
      </c>
      <c r="Z441" s="388">
        <v>0</v>
      </c>
      <c r="AA441" s="388">
        <v>0</v>
      </c>
      <c r="AB441" s="389" t="e">
        <v>#DIV/0!</v>
      </c>
      <c r="AC441" s="389" t="e">
        <v>#DIV/0!</v>
      </c>
      <c r="AD441" s="389" t="e">
        <v>#DIV/0!</v>
      </c>
      <c r="AE441" s="389" t="e">
        <v>#DIV/0!</v>
      </c>
      <c r="AF441" s="389" t="e">
        <v>#DIV/0!</v>
      </c>
      <c r="AG441" s="332"/>
    </row>
    <row r="442" spans="1:33" s="333" customFormat="1" ht="18" customHeight="1">
      <c r="A442" s="382"/>
      <c r="B442" s="353" t="s">
        <v>1454</v>
      </c>
      <c r="C442" s="225">
        <v>3</v>
      </c>
      <c r="D442" s="225">
        <v>3</v>
      </c>
      <c r="E442" s="225">
        <v>3</v>
      </c>
      <c r="F442" s="225">
        <v>3</v>
      </c>
      <c r="G442" s="237">
        <v>2.2000000000000002</v>
      </c>
      <c r="H442" s="237">
        <v>2.2000000000000002</v>
      </c>
      <c r="I442" s="230">
        <v>6</v>
      </c>
      <c r="J442" s="230"/>
      <c r="K442" s="225"/>
      <c r="L442" s="230"/>
      <c r="M442" s="239"/>
      <c r="N442" s="230"/>
      <c r="O442" s="239"/>
      <c r="P442" s="225"/>
      <c r="Q442" s="225"/>
      <c r="R442" s="225"/>
      <c r="S442" s="387"/>
      <c r="T442" s="388"/>
      <c r="U442" s="388"/>
      <c r="V442" s="388"/>
      <c r="W442" s="387"/>
      <c r="X442" s="387"/>
      <c r="Y442" s="388"/>
      <c r="Z442" s="388"/>
      <c r="AA442" s="388"/>
      <c r="AB442" s="389"/>
      <c r="AC442" s="389"/>
      <c r="AD442" s="389"/>
      <c r="AE442" s="389"/>
      <c r="AF442" s="389"/>
      <c r="AG442" s="332"/>
    </row>
    <row r="443" spans="1:33" s="333" customFormat="1" ht="18" customHeight="1">
      <c r="A443" s="382"/>
      <c r="B443" s="236" t="s">
        <v>1451</v>
      </c>
      <c r="C443" s="225">
        <v>1</v>
      </c>
      <c r="D443" s="225">
        <v>1</v>
      </c>
      <c r="E443" s="225">
        <v>1</v>
      </c>
      <c r="F443" s="225">
        <v>1</v>
      </c>
      <c r="G443" s="237">
        <v>0.75</v>
      </c>
      <c r="H443" s="237">
        <v>0.75</v>
      </c>
      <c r="I443" s="230">
        <v>5</v>
      </c>
      <c r="J443" s="230" t="s">
        <v>1418</v>
      </c>
      <c r="K443" s="230">
        <v>5</v>
      </c>
      <c r="L443" s="230" t="s">
        <v>1418</v>
      </c>
      <c r="M443" s="230">
        <v>5</v>
      </c>
      <c r="N443" s="230" t="s">
        <v>1418</v>
      </c>
      <c r="O443" s="230">
        <v>5</v>
      </c>
      <c r="P443" s="230" t="s">
        <v>1418</v>
      </c>
      <c r="Q443" s="224">
        <v>30</v>
      </c>
      <c r="R443" s="387">
        <v>0</v>
      </c>
      <c r="S443" s="387">
        <v>0</v>
      </c>
      <c r="T443" s="388">
        <v>0</v>
      </c>
      <c r="U443" s="388">
        <v>0</v>
      </c>
      <c r="V443" s="388">
        <v>0</v>
      </c>
      <c r="W443" s="387">
        <v>0</v>
      </c>
      <c r="X443" s="387">
        <v>0</v>
      </c>
      <c r="Y443" s="388">
        <v>0</v>
      </c>
      <c r="Z443" s="388">
        <v>0</v>
      </c>
      <c r="AA443" s="388">
        <v>0</v>
      </c>
      <c r="AB443" s="389" t="e">
        <v>#DIV/0!</v>
      </c>
      <c r="AC443" s="389" t="e">
        <v>#DIV/0!</v>
      </c>
      <c r="AD443" s="389" t="e">
        <v>#DIV/0!</v>
      </c>
      <c r="AE443" s="389" t="e">
        <v>#DIV/0!</v>
      </c>
      <c r="AF443" s="389" t="e">
        <v>#DIV/0!</v>
      </c>
      <c r="AG443" s="332"/>
    </row>
    <row r="444" spans="1:33" s="333" customFormat="1" ht="18" customHeight="1">
      <c r="A444" s="382"/>
      <c r="B444" s="238" t="s">
        <v>1446</v>
      </c>
      <c r="C444" s="225">
        <v>1</v>
      </c>
      <c r="D444" s="225">
        <v>1</v>
      </c>
      <c r="E444" s="225">
        <v>1</v>
      </c>
      <c r="F444" s="225">
        <v>1</v>
      </c>
      <c r="G444" s="237">
        <v>0.75</v>
      </c>
      <c r="H444" s="237">
        <v>0.75</v>
      </c>
      <c r="I444" s="230">
        <v>5</v>
      </c>
      <c r="J444" s="230" t="s">
        <v>1418</v>
      </c>
      <c r="K444" s="230">
        <v>5</v>
      </c>
      <c r="L444" s="230" t="s">
        <v>1418</v>
      </c>
      <c r="M444" s="230">
        <v>5</v>
      </c>
      <c r="N444" s="230" t="s">
        <v>1418</v>
      </c>
      <c r="O444" s="230">
        <v>5</v>
      </c>
      <c r="P444" s="230" t="s">
        <v>1418</v>
      </c>
      <c r="Q444" s="224">
        <v>30</v>
      </c>
      <c r="R444" s="387">
        <v>0</v>
      </c>
      <c r="S444" s="387">
        <v>0</v>
      </c>
      <c r="T444" s="388">
        <v>0</v>
      </c>
      <c r="U444" s="388">
        <v>0</v>
      </c>
      <c r="V444" s="388">
        <v>0</v>
      </c>
      <c r="W444" s="387">
        <v>0</v>
      </c>
      <c r="X444" s="387">
        <v>0</v>
      </c>
      <c r="Y444" s="388">
        <v>0</v>
      </c>
      <c r="Z444" s="388">
        <v>0</v>
      </c>
      <c r="AA444" s="388">
        <v>0</v>
      </c>
      <c r="AB444" s="389" t="e">
        <v>#DIV/0!</v>
      </c>
      <c r="AC444" s="389" t="e">
        <v>#DIV/0!</v>
      </c>
      <c r="AD444" s="389" t="e">
        <v>#DIV/0!</v>
      </c>
      <c r="AE444" s="389" t="e">
        <v>#DIV/0!</v>
      </c>
      <c r="AF444" s="389" t="e">
        <v>#DIV/0!</v>
      </c>
      <c r="AG444" s="332"/>
    </row>
    <row r="445" spans="1:33" s="333" customFormat="1" ht="18" customHeight="1">
      <c r="A445" s="382"/>
      <c r="B445" s="238" t="s">
        <v>1447</v>
      </c>
      <c r="C445" s="225">
        <v>1</v>
      </c>
      <c r="D445" s="225">
        <v>1</v>
      </c>
      <c r="E445" s="225">
        <v>1</v>
      </c>
      <c r="F445" s="225">
        <v>1</v>
      </c>
      <c r="G445" s="237">
        <v>0.75</v>
      </c>
      <c r="H445" s="237">
        <v>0.75</v>
      </c>
      <c r="I445" s="230">
        <v>5</v>
      </c>
      <c r="J445" s="230" t="s">
        <v>1418</v>
      </c>
      <c r="K445" s="230">
        <v>5</v>
      </c>
      <c r="L445" s="230" t="s">
        <v>1418</v>
      </c>
      <c r="M445" s="230">
        <v>5</v>
      </c>
      <c r="N445" s="230" t="s">
        <v>1418</v>
      </c>
      <c r="O445" s="230">
        <v>5</v>
      </c>
      <c r="P445" s="230" t="s">
        <v>1418</v>
      </c>
      <c r="Q445" s="224">
        <v>30</v>
      </c>
      <c r="R445" s="387">
        <v>0</v>
      </c>
      <c r="S445" s="387">
        <v>0</v>
      </c>
      <c r="T445" s="388">
        <v>0</v>
      </c>
      <c r="U445" s="388">
        <v>0</v>
      </c>
      <c r="V445" s="388">
        <v>0</v>
      </c>
      <c r="W445" s="387">
        <v>0</v>
      </c>
      <c r="X445" s="387">
        <v>0</v>
      </c>
      <c r="Y445" s="388">
        <v>0</v>
      </c>
      <c r="Z445" s="388">
        <v>0</v>
      </c>
      <c r="AA445" s="388">
        <v>0</v>
      </c>
      <c r="AB445" s="389" t="e">
        <v>#DIV/0!</v>
      </c>
      <c r="AC445" s="389" t="e">
        <v>#DIV/0!</v>
      </c>
      <c r="AD445" s="389" t="e">
        <v>#DIV/0!</v>
      </c>
      <c r="AE445" s="389" t="e">
        <v>#DIV/0!</v>
      </c>
      <c r="AF445" s="389" t="e">
        <v>#DIV/0!</v>
      </c>
      <c r="AG445" s="332"/>
    </row>
    <row r="446" spans="1:33" s="333" customFormat="1" ht="18" customHeight="1">
      <c r="A446" s="382"/>
      <c r="B446" s="238" t="s">
        <v>1448</v>
      </c>
      <c r="C446" s="225">
        <v>1</v>
      </c>
      <c r="D446" s="225">
        <v>1</v>
      </c>
      <c r="E446" s="225">
        <v>1</v>
      </c>
      <c r="F446" s="225">
        <v>1</v>
      </c>
      <c r="G446" s="237">
        <v>0.75</v>
      </c>
      <c r="H446" s="237">
        <v>0.75</v>
      </c>
      <c r="I446" s="230">
        <v>5</v>
      </c>
      <c r="J446" s="230" t="s">
        <v>1418</v>
      </c>
      <c r="K446" s="230">
        <v>5</v>
      </c>
      <c r="L446" s="230" t="s">
        <v>1418</v>
      </c>
      <c r="M446" s="230">
        <v>5</v>
      </c>
      <c r="N446" s="230" t="s">
        <v>1418</v>
      </c>
      <c r="O446" s="230">
        <v>5</v>
      </c>
      <c r="P446" s="230" t="s">
        <v>1418</v>
      </c>
      <c r="Q446" s="224">
        <v>30</v>
      </c>
      <c r="R446" s="387">
        <v>0</v>
      </c>
      <c r="S446" s="387">
        <v>0</v>
      </c>
      <c r="T446" s="388">
        <v>0</v>
      </c>
      <c r="U446" s="388">
        <v>0</v>
      </c>
      <c r="V446" s="388">
        <v>0</v>
      </c>
      <c r="W446" s="387">
        <v>0</v>
      </c>
      <c r="X446" s="387">
        <v>0</v>
      </c>
      <c r="Y446" s="388">
        <v>0</v>
      </c>
      <c r="Z446" s="388">
        <v>0</v>
      </c>
      <c r="AA446" s="388">
        <v>0</v>
      </c>
      <c r="AB446" s="389" t="e">
        <v>#DIV/0!</v>
      </c>
      <c r="AC446" s="389" t="e">
        <v>#DIV/0!</v>
      </c>
      <c r="AD446" s="389" t="e">
        <v>#DIV/0!</v>
      </c>
      <c r="AE446" s="389" t="e">
        <v>#DIV/0!</v>
      </c>
      <c r="AF446" s="389" t="e">
        <v>#DIV/0!</v>
      </c>
      <c r="AG446" s="332"/>
    </row>
    <row r="447" spans="1:33" s="333" customFormat="1" ht="18" customHeight="1">
      <c r="A447" s="382"/>
      <c r="B447" s="238" t="s">
        <v>1449</v>
      </c>
      <c r="C447" s="225">
        <v>1</v>
      </c>
      <c r="D447" s="225">
        <v>1</v>
      </c>
      <c r="E447" s="240">
        <v>1</v>
      </c>
      <c r="F447" s="240">
        <v>1</v>
      </c>
      <c r="G447" s="237">
        <v>3.3</v>
      </c>
      <c r="H447" s="237">
        <v>3.3</v>
      </c>
      <c r="I447" s="230">
        <v>24</v>
      </c>
      <c r="J447" s="230" t="s">
        <v>996</v>
      </c>
      <c r="K447" s="230">
        <v>24</v>
      </c>
      <c r="L447" s="230">
        <v>24</v>
      </c>
      <c r="M447" s="230">
        <v>24</v>
      </c>
      <c r="N447" s="225" t="s">
        <v>996</v>
      </c>
      <c r="O447" s="230">
        <v>24</v>
      </c>
      <c r="P447" s="225" t="s">
        <v>996</v>
      </c>
      <c r="Q447" s="224">
        <v>30</v>
      </c>
      <c r="R447" s="387">
        <v>0</v>
      </c>
      <c r="S447" s="387">
        <v>0</v>
      </c>
      <c r="T447" s="388">
        <v>0</v>
      </c>
      <c r="U447" s="388">
        <v>0</v>
      </c>
      <c r="V447" s="388">
        <v>0</v>
      </c>
      <c r="W447" s="387">
        <v>0</v>
      </c>
      <c r="X447" s="387">
        <v>0</v>
      </c>
      <c r="Y447" s="388">
        <v>0</v>
      </c>
      <c r="Z447" s="388">
        <v>0</v>
      </c>
      <c r="AA447" s="388">
        <v>0</v>
      </c>
      <c r="AB447" s="389" t="e">
        <v>#DIV/0!</v>
      </c>
      <c r="AC447" s="389" t="e">
        <v>#DIV/0!</v>
      </c>
      <c r="AD447" s="389" t="e">
        <v>#DIV/0!</v>
      </c>
      <c r="AE447" s="389" t="e">
        <v>#DIV/0!</v>
      </c>
      <c r="AF447" s="389" t="e">
        <v>#DIV/0!</v>
      </c>
      <c r="AG447" s="332"/>
    </row>
    <row r="448" spans="1:33" s="333" customFormat="1" ht="18" customHeight="1">
      <c r="A448" s="382"/>
      <c r="B448" s="236" t="s">
        <v>1429</v>
      </c>
      <c r="C448" s="227">
        <v>1</v>
      </c>
      <c r="D448" s="227">
        <v>1</v>
      </c>
      <c r="E448" s="227">
        <v>1</v>
      </c>
      <c r="F448" s="227">
        <v>1</v>
      </c>
      <c r="G448" s="244">
        <v>3.3</v>
      </c>
      <c r="H448" s="244">
        <v>3.3</v>
      </c>
      <c r="I448" s="226">
        <v>24</v>
      </c>
      <c r="J448" s="226" t="s">
        <v>996</v>
      </c>
      <c r="K448" s="226">
        <v>24</v>
      </c>
      <c r="L448" s="226">
        <v>24</v>
      </c>
      <c r="M448" s="226">
        <v>24</v>
      </c>
      <c r="N448" s="227" t="s">
        <v>996</v>
      </c>
      <c r="O448" s="226">
        <v>24</v>
      </c>
      <c r="P448" s="225" t="s">
        <v>996</v>
      </c>
      <c r="Q448" s="224">
        <v>30</v>
      </c>
      <c r="R448" s="387">
        <v>0</v>
      </c>
      <c r="S448" s="387">
        <v>0</v>
      </c>
      <c r="T448" s="388">
        <v>0</v>
      </c>
      <c r="U448" s="388">
        <v>0</v>
      </c>
      <c r="V448" s="388">
        <v>0</v>
      </c>
      <c r="W448" s="387">
        <v>0</v>
      </c>
      <c r="X448" s="387">
        <v>0</v>
      </c>
      <c r="Y448" s="388">
        <v>0</v>
      </c>
      <c r="Z448" s="388">
        <v>0</v>
      </c>
      <c r="AA448" s="388">
        <v>0</v>
      </c>
      <c r="AB448" s="389" t="e">
        <v>#DIV/0!</v>
      </c>
      <c r="AC448" s="389" t="e">
        <v>#DIV/0!</v>
      </c>
      <c r="AD448" s="389" t="e">
        <v>#DIV/0!</v>
      </c>
      <c r="AE448" s="389" t="e">
        <v>#DIV/0!</v>
      </c>
      <c r="AF448" s="389" t="e">
        <v>#DIV/0!</v>
      </c>
      <c r="AG448" s="332"/>
    </row>
    <row r="449" spans="1:33" s="333" customFormat="1" ht="18" customHeight="1">
      <c r="A449" s="382"/>
      <c r="B449" s="236" t="s">
        <v>1423</v>
      </c>
      <c r="C449" s="227"/>
      <c r="D449" s="227"/>
      <c r="E449" s="227"/>
      <c r="F449" s="227"/>
      <c r="G449" s="244"/>
      <c r="H449" s="244"/>
      <c r="I449" s="226">
        <v>25</v>
      </c>
      <c r="J449" s="226" t="s">
        <v>1133</v>
      </c>
      <c r="K449" s="226">
        <v>24</v>
      </c>
      <c r="L449" s="226">
        <v>24</v>
      </c>
      <c r="M449" s="226">
        <v>24</v>
      </c>
      <c r="N449" s="227" t="s">
        <v>1133</v>
      </c>
      <c r="O449" s="226">
        <v>24</v>
      </c>
      <c r="P449" s="225" t="s">
        <v>996</v>
      </c>
      <c r="Q449" s="224">
        <v>30</v>
      </c>
      <c r="R449" s="387">
        <v>0</v>
      </c>
      <c r="S449" s="387">
        <v>0</v>
      </c>
      <c r="T449" s="388">
        <v>0</v>
      </c>
      <c r="U449" s="388">
        <v>0</v>
      </c>
      <c r="V449" s="388">
        <v>0</v>
      </c>
      <c r="W449" s="387">
        <v>0</v>
      </c>
      <c r="X449" s="387">
        <v>0</v>
      </c>
      <c r="Y449" s="388">
        <v>0</v>
      </c>
      <c r="Z449" s="388">
        <v>0</v>
      </c>
      <c r="AA449" s="388">
        <v>0</v>
      </c>
      <c r="AB449" s="389" t="e">
        <v>#DIV/0!</v>
      </c>
      <c r="AC449" s="389" t="e">
        <v>#DIV/0!</v>
      </c>
      <c r="AD449" s="389" t="e">
        <v>#DIV/0!</v>
      </c>
      <c r="AE449" s="389" t="e">
        <v>#DIV/0!</v>
      </c>
      <c r="AF449" s="389" t="e">
        <v>#DIV/0!</v>
      </c>
      <c r="AG449" s="332"/>
    </row>
    <row r="450" spans="1:33" s="333" customFormat="1" ht="18" customHeight="1">
      <c r="A450" s="382"/>
      <c r="B450" s="397" t="s">
        <v>1455</v>
      </c>
      <c r="C450" s="359"/>
      <c r="D450" s="359"/>
      <c r="E450" s="359"/>
      <c r="F450" s="359"/>
      <c r="G450" s="398"/>
      <c r="H450" s="398"/>
      <c r="I450" s="361"/>
      <c r="J450" s="361"/>
      <c r="K450" s="361"/>
      <c r="L450" s="361"/>
      <c r="M450" s="361"/>
      <c r="N450" s="359"/>
      <c r="O450" s="359"/>
      <c r="P450" s="233"/>
      <c r="Q450" s="399"/>
      <c r="R450" s="400"/>
      <c r="S450" s="400"/>
      <c r="T450" s="401"/>
      <c r="U450" s="401"/>
      <c r="V450" s="401"/>
      <c r="W450" s="400"/>
      <c r="X450" s="400"/>
      <c r="Y450" s="401"/>
      <c r="Z450" s="401"/>
      <c r="AA450" s="401"/>
      <c r="AB450" s="402"/>
      <c r="AC450" s="402"/>
      <c r="AD450" s="402"/>
      <c r="AE450" s="402"/>
      <c r="AF450" s="402"/>
      <c r="AG450" s="332"/>
    </row>
    <row r="451" spans="1:33" s="333" customFormat="1" ht="18" customHeight="1">
      <c r="A451" s="382"/>
      <c r="B451" s="403" t="s">
        <v>1456</v>
      </c>
      <c r="C451" s="359"/>
      <c r="D451" s="359"/>
      <c r="E451" s="359"/>
      <c r="F451" s="359"/>
      <c r="G451" s="360"/>
      <c r="H451" s="360"/>
      <c r="I451" s="361"/>
      <c r="J451" s="361"/>
      <c r="K451" s="361"/>
      <c r="L451" s="361"/>
      <c r="M451" s="361"/>
      <c r="N451" s="359"/>
      <c r="O451" s="359"/>
      <c r="P451" s="233"/>
      <c r="Q451" s="233"/>
      <c r="R451" s="400"/>
      <c r="S451" s="400"/>
      <c r="T451" s="401"/>
      <c r="U451" s="401"/>
      <c r="V451" s="401"/>
      <c r="W451" s="400"/>
      <c r="X451" s="400"/>
      <c r="Y451" s="401"/>
      <c r="Z451" s="401"/>
      <c r="AA451" s="401"/>
      <c r="AB451" s="402"/>
      <c r="AC451" s="402"/>
      <c r="AD451" s="402"/>
      <c r="AE451" s="402"/>
      <c r="AF451" s="402"/>
      <c r="AG451" s="332"/>
    </row>
    <row r="452" spans="1:33" s="333" customFormat="1" ht="18" customHeight="1">
      <c r="A452" s="382"/>
      <c r="B452" s="358" t="s">
        <v>1457</v>
      </c>
      <c r="C452" s="359">
        <v>1</v>
      </c>
      <c r="D452" s="359">
        <v>1</v>
      </c>
      <c r="E452" s="359">
        <v>1</v>
      </c>
      <c r="F452" s="359">
        <v>1</v>
      </c>
      <c r="G452" s="360">
        <v>0.1</v>
      </c>
      <c r="H452" s="360">
        <v>0.1</v>
      </c>
      <c r="I452" s="361">
        <v>24</v>
      </c>
      <c r="J452" s="226" t="s">
        <v>996</v>
      </c>
      <c r="K452" s="361">
        <v>24</v>
      </c>
      <c r="L452" s="226" t="s">
        <v>996</v>
      </c>
      <c r="M452" s="361">
        <v>24</v>
      </c>
      <c r="N452" s="226" t="s">
        <v>996</v>
      </c>
      <c r="O452" s="361">
        <v>24</v>
      </c>
      <c r="P452" s="226" t="s">
        <v>996</v>
      </c>
      <c r="Q452" s="233">
        <v>30</v>
      </c>
      <c r="R452" s="400"/>
      <c r="S452" s="400"/>
      <c r="T452" s="401"/>
      <c r="U452" s="401"/>
      <c r="V452" s="401"/>
      <c r="W452" s="400"/>
      <c r="X452" s="400"/>
      <c r="Y452" s="401"/>
      <c r="Z452" s="401"/>
      <c r="AA452" s="401"/>
      <c r="AB452" s="402"/>
      <c r="AC452" s="402"/>
      <c r="AD452" s="402"/>
      <c r="AE452" s="402"/>
      <c r="AF452" s="402"/>
      <c r="AG452" s="332"/>
    </row>
    <row r="453" spans="1:33" s="333" customFormat="1" ht="18" customHeight="1">
      <c r="A453" s="382"/>
      <c r="B453" s="403" t="s">
        <v>1458</v>
      </c>
      <c r="C453" s="359"/>
      <c r="D453" s="359"/>
      <c r="E453" s="359"/>
      <c r="F453" s="359"/>
      <c r="G453" s="360"/>
      <c r="H453" s="360"/>
      <c r="I453" s="361"/>
      <c r="J453" s="361"/>
      <c r="K453" s="361"/>
      <c r="L453" s="361"/>
      <c r="M453" s="361"/>
      <c r="N453" s="361"/>
      <c r="O453" s="361"/>
      <c r="P453" s="361"/>
      <c r="Q453" s="233"/>
      <c r="R453" s="400"/>
      <c r="S453" s="400"/>
      <c r="T453" s="401"/>
      <c r="U453" s="401"/>
      <c r="V453" s="401"/>
      <c r="W453" s="400"/>
      <c r="X453" s="400"/>
      <c r="Y453" s="401"/>
      <c r="Z453" s="401"/>
      <c r="AA453" s="401"/>
      <c r="AB453" s="402"/>
      <c r="AC453" s="402"/>
      <c r="AD453" s="402"/>
      <c r="AE453" s="402"/>
      <c r="AF453" s="402"/>
      <c r="AG453" s="332"/>
    </row>
    <row r="454" spans="1:33" s="333" customFormat="1" ht="18" customHeight="1">
      <c r="A454" s="382"/>
      <c r="B454" s="358" t="s">
        <v>1459</v>
      </c>
      <c r="C454" s="359">
        <v>1</v>
      </c>
      <c r="D454" s="359">
        <v>1</v>
      </c>
      <c r="E454" s="359">
        <v>1</v>
      </c>
      <c r="F454" s="359">
        <v>1</v>
      </c>
      <c r="G454" s="360">
        <v>7.5</v>
      </c>
      <c r="H454" s="360">
        <v>7.5</v>
      </c>
      <c r="I454" s="361">
        <v>2</v>
      </c>
      <c r="J454" s="227" t="s">
        <v>1460</v>
      </c>
      <c r="K454" s="361">
        <v>4</v>
      </c>
      <c r="L454" s="359" t="s">
        <v>1122</v>
      </c>
      <c r="M454" s="361">
        <v>4</v>
      </c>
      <c r="N454" s="359" t="s">
        <v>1122</v>
      </c>
      <c r="O454" s="361">
        <v>4</v>
      </c>
      <c r="P454" s="359" t="s">
        <v>1122</v>
      </c>
      <c r="Q454" s="233">
        <v>30</v>
      </c>
      <c r="R454" s="400"/>
      <c r="S454" s="400"/>
      <c r="T454" s="401"/>
      <c r="U454" s="401"/>
      <c r="V454" s="401"/>
      <c r="W454" s="400"/>
      <c r="X454" s="400"/>
      <c r="Y454" s="401"/>
      <c r="Z454" s="401"/>
      <c r="AA454" s="401"/>
      <c r="AB454" s="402"/>
      <c r="AC454" s="402"/>
      <c r="AD454" s="402"/>
      <c r="AE454" s="402"/>
      <c r="AF454" s="402"/>
      <c r="AG454" s="332"/>
    </row>
    <row r="455" spans="1:33" s="333" customFormat="1" ht="18" customHeight="1">
      <c r="A455" s="382"/>
      <c r="B455" s="358" t="s">
        <v>1461</v>
      </c>
      <c r="C455" s="359">
        <v>1</v>
      </c>
      <c r="D455" s="359">
        <v>1</v>
      </c>
      <c r="E455" s="359">
        <v>1</v>
      </c>
      <c r="F455" s="359">
        <v>1</v>
      </c>
      <c r="G455" s="360">
        <v>2.2000000000000002</v>
      </c>
      <c r="H455" s="360">
        <v>2.2000000000000002</v>
      </c>
      <c r="I455" s="361">
        <v>2</v>
      </c>
      <c r="J455" s="227" t="s">
        <v>1460</v>
      </c>
      <c r="K455" s="361">
        <v>4</v>
      </c>
      <c r="L455" s="359" t="s">
        <v>1122</v>
      </c>
      <c r="M455" s="361">
        <v>4</v>
      </c>
      <c r="N455" s="359" t="s">
        <v>1122</v>
      </c>
      <c r="O455" s="361">
        <v>4</v>
      </c>
      <c r="P455" s="359" t="s">
        <v>1122</v>
      </c>
      <c r="Q455" s="233">
        <v>30</v>
      </c>
      <c r="R455" s="400"/>
      <c r="S455" s="400"/>
      <c r="T455" s="401"/>
      <c r="U455" s="401"/>
      <c r="V455" s="401"/>
      <c r="W455" s="400"/>
      <c r="X455" s="400"/>
      <c r="Y455" s="401"/>
      <c r="Z455" s="401"/>
      <c r="AA455" s="401"/>
      <c r="AB455" s="402"/>
      <c r="AC455" s="402"/>
      <c r="AD455" s="402"/>
      <c r="AE455" s="402"/>
      <c r="AF455" s="402"/>
      <c r="AG455" s="332"/>
    </row>
    <row r="456" spans="1:33" s="333" customFormat="1" ht="18" customHeight="1">
      <c r="A456" s="382"/>
      <c r="B456" s="358" t="s">
        <v>1457</v>
      </c>
      <c r="C456" s="359">
        <v>1</v>
      </c>
      <c r="D456" s="359">
        <v>1</v>
      </c>
      <c r="E456" s="359">
        <v>1</v>
      </c>
      <c r="F456" s="359">
        <v>1</v>
      </c>
      <c r="G456" s="360">
        <v>0.1</v>
      </c>
      <c r="H456" s="360">
        <v>0.1</v>
      </c>
      <c r="I456" s="361">
        <v>2</v>
      </c>
      <c r="J456" s="227" t="s">
        <v>1460</v>
      </c>
      <c r="K456" s="361">
        <v>4</v>
      </c>
      <c r="L456" s="359" t="s">
        <v>1122</v>
      </c>
      <c r="M456" s="361">
        <v>4</v>
      </c>
      <c r="N456" s="359" t="s">
        <v>1122</v>
      </c>
      <c r="O456" s="361">
        <v>4</v>
      </c>
      <c r="P456" s="359" t="s">
        <v>1122</v>
      </c>
      <c r="Q456" s="233">
        <v>30</v>
      </c>
      <c r="R456" s="400"/>
      <c r="S456" s="400"/>
      <c r="T456" s="401"/>
      <c r="U456" s="401"/>
      <c r="V456" s="401"/>
      <c r="W456" s="400"/>
      <c r="X456" s="400"/>
      <c r="Y456" s="401"/>
      <c r="Z456" s="401"/>
      <c r="AA456" s="401"/>
      <c r="AB456" s="402"/>
      <c r="AC456" s="402"/>
      <c r="AD456" s="402"/>
      <c r="AE456" s="402"/>
      <c r="AF456" s="402"/>
      <c r="AG456" s="332"/>
    </row>
    <row r="457" spans="1:33" s="333" customFormat="1" ht="18" customHeight="1">
      <c r="A457" s="382"/>
      <c r="B457" s="403" t="s">
        <v>1462</v>
      </c>
      <c r="C457" s="359"/>
      <c r="D457" s="359"/>
      <c r="E457" s="359"/>
      <c r="F457" s="359"/>
      <c r="G457" s="360"/>
      <c r="H457" s="360"/>
      <c r="I457" s="361">
        <v>2</v>
      </c>
      <c r="J457" s="227" t="s">
        <v>1460</v>
      </c>
      <c r="K457" s="361"/>
      <c r="L457" s="361"/>
      <c r="M457" s="361"/>
      <c r="N457" s="361"/>
      <c r="O457" s="361"/>
      <c r="P457" s="361"/>
      <c r="Q457" s="233"/>
      <c r="R457" s="400"/>
      <c r="S457" s="400"/>
      <c r="T457" s="401"/>
      <c r="U457" s="401"/>
      <c r="V457" s="401"/>
      <c r="W457" s="400"/>
      <c r="X457" s="400"/>
      <c r="Y457" s="401"/>
      <c r="Z457" s="401"/>
      <c r="AA457" s="401"/>
      <c r="AB457" s="402"/>
      <c r="AC457" s="402"/>
      <c r="AD457" s="402"/>
      <c r="AE457" s="402"/>
      <c r="AF457" s="402"/>
      <c r="AG457" s="332"/>
    </row>
    <row r="458" spans="1:33" s="333" customFormat="1" ht="18" customHeight="1">
      <c r="A458" s="382"/>
      <c r="B458" s="358" t="s">
        <v>1457</v>
      </c>
      <c r="C458" s="359">
        <v>1</v>
      </c>
      <c r="D458" s="359">
        <v>1</v>
      </c>
      <c r="E458" s="359">
        <v>1</v>
      </c>
      <c r="F458" s="359">
        <v>1</v>
      </c>
      <c r="G458" s="360">
        <v>0.1</v>
      </c>
      <c r="H458" s="360">
        <v>0.1</v>
      </c>
      <c r="I458" s="361">
        <v>2</v>
      </c>
      <c r="J458" s="227" t="s">
        <v>1460</v>
      </c>
      <c r="K458" s="361">
        <v>4</v>
      </c>
      <c r="L458" s="359" t="s">
        <v>1122</v>
      </c>
      <c r="M458" s="361">
        <v>4</v>
      </c>
      <c r="N458" s="359" t="s">
        <v>1122</v>
      </c>
      <c r="O458" s="361">
        <v>4</v>
      </c>
      <c r="P458" s="359" t="s">
        <v>1122</v>
      </c>
      <c r="Q458" s="233">
        <v>30</v>
      </c>
      <c r="R458" s="400"/>
      <c r="S458" s="400"/>
      <c r="T458" s="401"/>
      <c r="U458" s="401"/>
      <c r="V458" s="401"/>
      <c r="W458" s="400"/>
      <c r="X458" s="400"/>
      <c r="Y458" s="401"/>
      <c r="Z458" s="401"/>
      <c r="AA458" s="401"/>
      <c r="AB458" s="402"/>
      <c r="AC458" s="402"/>
      <c r="AD458" s="402"/>
      <c r="AE458" s="402"/>
      <c r="AF458" s="402"/>
      <c r="AG458" s="332"/>
    </row>
    <row r="459" spans="1:33" s="333" customFormat="1" ht="18" customHeight="1">
      <c r="A459" s="382"/>
      <c r="B459" s="403" t="s">
        <v>391</v>
      </c>
      <c r="C459" s="359"/>
      <c r="D459" s="359"/>
      <c r="E459" s="359"/>
      <c r="F459" s="359"/>
      <c r="G459" s="360"/>
      <c r="H459" s="360"/>
      <c r="I459" s="361">
        <v>2</v>
      </c>
      <c r="J459" s="227" t="s">
        <v>1460</v>
      </c>
      <c r="K459" s="361"/>
      <c r="L459" s="361"/>
      <c r="M459" s="361"/>
      <c r="N459" s="361"/>
      <c r="O459" s="361"/>
      <c r="P459" s="361"/>
      <c r="Q459" s="233"/>
      <c r="R459" s="400"/>
      <c r="S459" s="400"/>
      <c r="T459" s="401"/>
      <c r="U459" s="401"/>
      <c r="V459" s="401"/>
      <c r="W459" s="400"/>
      <c r="X459" s="400"/>
      <c r="Y459" s="401"/>
      <c r="Z459" s="401"/>
      <c r="AA459" s="401"/>
      <c r="AB459" s="402"/>
      <c r="AC459" s="402"/>
      <c r="AD459" s="402"/>
      <c r="AE459" s="402"/>
      <c r="AF459" s="402"/>
      <c r="AG459" s="332"/>
    </row>
    <row r="460" spans="1:33" s="333" customFormat="1" ht="18" customHeight="1">
      <c r="A460" s="382"/>
      <c r="B460" s="358" t="s">
        <v>1457</v>
      </c>
      <c r="C460" s="359">
        <v>1</v>
      </c>
      <c r="D460" s="359">
        <v>1</v>
      </c>
      <c r="E460" s="359">
        <v>1</v>
      </c>
      <c r="F460" s="359">
        <v>1</v>
      </c>
      <c r="G460" s="360">
        <v>0.1</v>
      </c>
      <c r="H460" s="360">
        <v>0.1</v>
      </c>
      <c r="I460" s="361">
        <v>24</v>
      </c>
      <c r="J460" s="226" t="s">
        <v>996</v>
      </c>
      <c r="K460" s="361">
        <v>24</v>
      </c>
      <c r="L460" s="226" t="s">
        <v>996</v>
      </c>
      <c r="M460" s="361">
        <v>24</v>
      </c>
      <c r="N460" s="226" t="s">
        <v>996</v>
      </c>
      <c r="O460" s="361">
        <v>24</v>
      </c>
      <c r="P460" s="226" t="s">
        <v>996</v>
      </c>
      <c r="Q460" s="233">
        <v>30</v>
      </c>
      <c r="R460" s="400"/>
      <c r="S460" s="400"/>
      <c r="T460" s="401"/>
      <c r="U460" s="401"/>
      <c r="V460" s="401"/>
      <c r="W460" s="400"/>
      <c r="X460" s="400"/>
      <c r="Y460" s="401"/>
      <c r="Z460" s="401"/>
      <c r="AA460" s="401"/>
      <c r="AB460" s="402"/>
      <c r="AC460" s="402"/>
      <c r="AD460" s="402"/>
      <c r="AE460" s="402"/>
      <c r="AF460" s="402"/>
      <c r="AG460" s="332"/>
    </row>
    <row r="461" spans="1:33" s="333" customFormat="1" ht="18" customHeight="1">
      <c r="A461" s="382"/>
      <c r="B461" s="358" t="s">
        <v>1463</v>
      </c>
      <c r="C461" s="359">
        <v>1</v>
      </c>
      <c r="D461" s="359">
        <v>1</v>
      </c>
      <c r="E461" s="359">
        <v>1</v>
      </c>
      <c r="F461" s="359">
        <v>1</v>
      </c>
      <c r="G461" s="360">
        <v>0.5</v>
      </c>
      <c r="H461" s="360">
        <v>0.5</v>
      </c>
      <c r="I461" s="361">
        <v>2</v>
      </c>
      <c r="J461" s="227" t="s">
        <v>1460</v>
      </c>
      <c r="K461" s="361">
        <v>2</v>
      </c>
      <c r="L461" s="404" t="s">
        <v>1292</v>
      </c>
      <c r="M461" s="361">
        <v>2</v>
      </c>
      <c r="N461" s="404" t="s">
        <v>1292</v>
      </c>
      <c r="O461" s="361">
        <v>2</v>
      </c>
      <c r="P461" s="404" t="s">
        <v>1292</v>
      </c>
      <c r="Q461" s="233">
        <v>30</v>
      </c>
      <c r="R461" s="400"/>
      <c r="S461" s="400"/>
      <c r="T461" s="401"/>
      <c r="U461" s="401"/>
      <c r="V461" s="401"/>
      <c r="W461" s="400"/>
      <c r="X461" s="400"/>
      <c r="Y461" s="401"/>
      <c r="Z461" s="401"/>
      <c r="AA461" s="401"/>
      <c r="AB461" s="402"/>
      <c r="AC461" s="402"/>
      <c r="AD461" s="402"/>
      <c r="AE461" s="402"/>
      <c r="AF461" s="402"/>
      <c r="AG461" s="332"/>
    </row>
    <row r="462" spans="1:33" s="333" customFormat="1" ht="18" customHeight="1">
      <c r="A462" s="382"/>
      <c r="B462" s="358" t="s">
        <v>1464</v>
      </c>
      <c r="C462" s="359">
        <v>1</v>
      </c>
      <c r="D462" s="359">
        <v>1</v>
      </c>
      <c r="E462" s="359">
        <v>1</v>
      </c>
      <c r="F462" s="359">
        <v>1</v>
      </c>
      <c r="G462" s="360">
        <v>0.55000000000000004</v>
      </c>
      <c r="H462" s="360">
        <v>0.55000000000000004</v>
      </c>
      <c r="I462" s="361">
        <v>2</v>
      </c>
      <c r="J462" s="227" t="s">
        <v>1460</v>
      </c>
      <c r="K462" s="361">
        <v>2</v>
      </c>
      <c r="L462" s="404" t="s">
        <v>1292</v>
      </c>
      <c r="M462" s="361">
        <v>2</v>
      </c>
      <c r="N462" s="404" t="s">
        <v>1292</v>
      </c>
      <c r="O462" s="361">
        <v>2</v>
      </c>
      <c r="P462" s="404" t="s">
        <v>1292</v>
      </c>
      <c r="Q462" s="233">
        <v>30</v>
      </c>
      <c r="R462" s="400"/>
      <c r="S462" s="400"/>
      <c r="T462" s="401"/>
      <c r="U462" s="401"/>
      <c r="V462" s="401"/>
      <c r="W462" s="400"/>
      <c r="X462" s="400"/>
      <c r="Y462" s="401"/>
      <c r="Z462" s="401"/>
      <c r="AA462" s="401"/>
      <c r="AB462" s="402"/>
      <c r="AC462" s="402"/>
      <c r="AD462" s="402"/>
      <c r="AE462" s="402"/>
      <c r="AF462" s="402"/>
      <c r="AG462" s="332"/>
    </row>
    <row r="463" spans="1:33" s="333" customFormat="1" ht="18" customHeight="1">
      <c r="A463" s="382"/>
      <c r="B463" s="358" t="s">
        <v>1276</v>
      </c>
      <c r="C463" s="359">
        <v>1</v>
      </c>
      <c r="D463" s="359">
        <v>2</v>
      </c>
      <c r="E463" s="359">
        <v>2</v>
      </c>
      <c r="F463" s="359">
        <v>2</v>
      </c>
      <c r="G463" s="360">
        <v>2.2999999999999998</v>
      </c>
      <c r="H463" s="360">
        <v>2.2999999999999998</v>
      </c>
      <c r="I463" s="361">
        <v>2</v>
      </c>
      <c r="J463" s="227" t="s">
        <v>1460</v>
      </c>
      <c r="K463" s="361">
        <v>2</v>
      </c>
      <c r="L463" s="404" t="s">
        <v>1292</v>
      </c>
      <c r="M463" s="361">
        <v>2</v>
      </c>
      <c r="N463" s="404" t="s">
        <v>1292</v>
      </c>
      <c r="O463" s="361">
        <v>2</v>
      </c>
      <c r="P463" s="404" t="s">
        <v>1292</v>
      </c>
      <c r="Q463" s="233">
        <v>30</v>
      </c>
      <c r="R463" s="400"/>
      <c r="S463" s="400"/>
      <c r="T463" s="401"/>
      <c r="U463" s="401"/>
      <c r="V463" s="401"/>
      <c r="W463" s="400"/>
      <c r="X463" s="400"/>
      <c r="Y463" s="401"/>
      <c r="Z463" s="401"/>
      <c r="AA463" s="401"/>
      <c r="AB463" s="402"/>
      <c r="AC463" s="402"/>
      <c r="AD463" s="402"/>
      <c r="AE463" s="402"/>
      <c r="AF463" s="402"/>
      <c r="AG463" s="332"/>
    </row>
    <row r="464" spans="1:33" s="333" customFormat="1" ht="18" customHeight="1">
      <c r="A464" s="382"/>
      <c r="B464" s="358" t="s">
        <v>1465</v>
      </c>
      <c r="C464" s="359">
        <v>1</v>
      </c>
      <c r="D464" s="359">
        <v>1</v>
      </c>
      <c r="E464" s="359">
        <v>1</v>
      </c>
      <c r="F464" s="359">
        <v>1</v>
      </c>
      <c r="G464" s="360">
        <v>1.8</v>
      </c>
      <c r="H464" s="360">
        <v>1.8</v>
      </c>
      <c r="I464" s="361">
        <v>2</v>
      </c>
      <c r="J464" s="227" t="s">
        <v>1460</v>
      </c>
      <c r="K464" s="361">
        <v>2</v>
      </c>
      <c r="L464" s="404" t="s">
        <v>1292</v>
      </c>
      <c r="M464" s="361">
        <v>2</v>
      </c>
      <c r="N464" s="404" t="s">
        <v>1292</v>
      </c>
      <c r="O464" s="361">
        <v>2</v>
      </c>
      <c r="P464" s="404" t="s">
        <v>1292</v>
      </c>
      <c r="Q464" s="233">
        <v>30</v>
      </c>
      <c r="R464" s="400"/>
      <c r="S464" s="400"/>
      <c r="T464" s="401"/>
      <c r="U464" s="401"/>
      <c r="V464" s="401"/>
      <c r="W464" s="400"/>
      <c r="X464" s="400"/>
      <c r="Y464" s="401"/>
      <c r="Z464" s="401"/>
      <c r="AA464" s="401"/>
      <c r="AB464" s="402"/>
      <c r="AC464" s="402"/>
      <c r="AD464" s="402"/>
      <c r="AE464" s="402"/>
      <c r="AF464" s="402"/>
      <c r="AG464" s="332"/>
    </row>
    <row r="465" spans="1:33" s="333" customFormat="1" ht="18" customHeight="1">
      <c r="A465" s="382"/>
      <c r="B465" s="358" t="s">
        <v>1466</v>
      </c>
      <c r="C465" s="359">
        <v>1</v>
      </c>
      <c r="D465" s="359">
        <v>1</v>
      </c>
      <c r="E465" s="359">
        <v>1</v>
      </c>
      <c r="F465" s="359">
        <v>1</v>
      </c>
      <c r="G465" s="360">
        <v>0.75</v>
      </c>
      <c r="H465" s="360">
        <v>0.75</v>
      </c>
      <c r="I465" s="361">
        <v>2</v>
      </c>
      <c r="J465" s="227" t="s">
        <v>1460</v>
      </c>
      <c r="K465" s="361">
        <v>2</v>
      </c>
      <c r="L465" s="404" t="s">
        <v>1292</v>
      </c>
      <c r="M465" s="361">
        <v>2</v>
      </c>
      <c r="N465" s="404" t="s">
        <v>1292</v>
      </c>
      <c r="O465" s="361">
        <v>2</v>
      </c>
      <c r="P465" s="404" t="s">
        <v>1292</v>
      </c>
      <c r="Q465" s="233">
        <v>30</v>
      </c>
      <c r="R465" s="400"/>
      <c r="S465" s="400"/>
      <c r="T465" s="401"/>
      <c r="U465" s="401"/>
      <c r="V465" s="401"/>
      <c r="W465" s="400"/>
      <c r="X465" s="400"/>
      <c r="Y465" s="401"/>
      <c r="Z465" s="401"/>
      <c r="AA465" s="401"/>
      <c r="AB465" s="402"/>
      <c r="AC465" s="402"/>
      <c r="AD465" s="402"/>
      <c r="AE465" s="402"/>
      <c r="AF465" s="402"/>
      <c r="AG465" s="332"/>
    </row>
    <row r="466" spans="1:33" s="333" customFormat="1" ht="18" customHeight="1">
      <c r="A466" s="382"/>
      <c r="B466" s="358" t="s">
        <v>1467</v>
      </c>
      <c r="C466" s="359">
        <v>1</v>
      </c>
      <c r="D466" s="359">
        <v>1</v>
      </c>
      <c r="E466" s="359">
        <v>1</v>
      </c>
      <c r="F466" s="359">
        <v>1</v>
      </c>
      <c r="G466" s="360">
        <v>0.75</v>
      </c>
      <c r="H466" s="360">
        <v>0.75</v>
      </c>
      <c r="I466" s="361">
        <v>1</v>
      </c>
      <c r="J466" s="226" t="s">
        <v>1468</v>
      </c>
      <c r="K466" s="361">
        <v>1</v>
      </c>
      <c r="L466" s="361"/>
      <c r="M466" s="361">
        <v>1</v>
      </c>
      <c r="N466" s="361"/>
      <c r="O466" s="361">
        <v>1</v>
      </c>
      <c r="P466" s="361"/>
      <c r="Q466" s="233">
        <v>30</v>
      </c>
      <c r="R466" s="400"/>
      <c r="S466" s="400"/>
      <c r="T466" s="401"/>
      <c r="U466" s="401"/>
      <c r="V466" s="401"/>
      <c r="W466" s="400"/>
      <c r="X466" s="400"/>
      <c r="Y466" s="401"/>
      <c r="Z466" s="401"/>
      <c r="AA466" s="401"/>
      <c r="AB466" s="402"/>
      <c r="AC466" s="402"/>
      <c r="AD466" s="402"/>
      <c r="AE466" s="402"/>
      <c r="AF466" s="402"/>
      <c r="AG466" s="332"/>
    </row>
    <row r="467" spans="1:33" s="333" customFormat="1" ht="18" customHeight="1">
      <c r="A467" s="382"/>
      <c r="B467" s="358" t="s">
        <v>1149</v>
      </c>
      <c r="C467" s="359">
        <v>1</v>
      </c>
      <c r="D467" s="359">
        <v>2</v>
      </c>
      <c r="E467" s="359">
        <v>2</v>
      </c>
      <c r="F467" s="359">
        <v>2</v>
      </c>
      <c r="G467" s="360">
        <v>1</v>
      </c>
      <c r="H467" s="360">
        <v>1</v>
      </c>
      <c r="I467" s="361">
        <v>12</v>
      </c>
      <c r="J467" s="226"/>
      <c r="K467" s="361"/>
      <c r="L467" s="361"/>
      <c r="M467" s="361"/>
      <c r="N467" s="361"/>
      <c r="O467" s="361"/>
      <c r="P467" s="361"/>
      <c r="Q467" s="233">
        <v>30</v>
      </c>
      <c r="R467" s="400"/>
      <c r="S467" s="400"/>
      <c r="T467" s="401"/>
      <c r="U467" s="401"/>
      <c r="V467" s="401"/>
      <c r="W467" s="400"/>
      <c r="X467" s="400"/>
      <c r="Y467" s="401"/>
      <c r="Z467" s="401"/>
      <c r="AA467" s="401"/>
      <c r="AB467" s="402"/>
      <c r="AC467" s="402"/>
      <c r="AD467" s="402"/>
      <c r="AE467" s="402"/>
      <c r="AF467" s="402"/>
      <c r="AG467" s="332"/>
    </row>
    <row r="468" spans="1:33" s="333" customFormat="1" ht="18" customHeight="1">
      <c r="A468" s="382"/>
      <c r="B468" s="358" t="s">
        <v>1469</v>
      </c>
      <c r="C468" s="359">
        <v>1</v>
      </c>
      <c r="D468" s="359">
        <v>1</v>
      </c>
      <c r="E468" s="359">
        <v>2</v>
      </c>
      <c r="F468" s="359">
        <v>2</v>
      </c>
      <c r="G468" s="360">
        <v>1.1000000000000001</v>
      </c>
      <c r="H468" s="360">
        <v>1.1000000000000001</v>
      </c>
      <c r="I468" s="361">
        <v>6</v>
      </c>
      <c r="J468" s="226" t="s">
        <v>1581</v>
      </c>
      <c r="K468" s="361">
        <v>6</v>
      </c>
      <c r="L468" s="226" t="s">
        <v>1581</v>
      </c>
      <c r="M468" s="361">
        <v>6</v>
      </c>
      <c r="N468" s="226" t="s">
        <v>1581</v>
      </c>
      <c r="O468" s="361">
        <v>6</v>
      </c>
      <c r="P468" s="226" t="s">
        <v>1581</v>
      </c>
      <c r="Q468" s="233">
        <v>30</v>
      </c>
      <c r="R468" s="400"/>
      <c r="S468" s="400"/>
      <c r="T468" s="401"/>
      <c r="U468" s="401"/>
      <c r="V468" s="401"/>
      <c r="W468" s="400"/>
      <c r="X468" s="400"/>
      <c r="Y468" s="401"/>
      <c r="Z468" s="401"/>
      <c r="AA468" s="401"/>
      <c r="AB468" s="402"/>
      <c r="AC468" s="402"/>
      <c r="AD468" s="402"/>
      <c r="AE468" s="402"/>
      <c r="AF468" s="402"/>
      <c r="AG468" s="332"/>
    </row>
    <row r="469" spans="1:33" s="333" customFormat="1" ht="18" customHeight="1">
      <c r="A469" s="382"/>
      <c r="B469" s="358" t="s">
        <v>1470</v>
      </c>
      <c r="C469" s="359">
        <v>1</v>
      </c>
      <c r="D469" s="359">
        <v>1</v>
      </c>
      <c r="E469" s="359">
        <v>2</v>
      </c>
      <c r="F469" s="359">
        <v>2</v>
      </c>
      <c r="G469" s="360">
        <v>34.5</v>
      </c>
      <c r="H469" s="360">
        <v>34.5</v>
      </c>
      <c r="I469" s="361">
        <v>2</v>
      </c>
      <c r="J469" s="404" t="s">
        <v>1292</v>
      </c>
      <c r="K469" s="361">
        <v>2</v>
      </c>
      <c r="L469" s="404" t="s">
        <v>1292</v>
      </c>
      <c r="M469" s="361">
        <v>2</v>
      </c>
      <c r="N469" s="404" t="s">
        <v>1292</v>
      </c>
      <c r="O469" s="361">
        <v>2</v>
      </c>
      <c r="P469" s="404" t="s">
        <v>1292</v>
      </c>
      <c r="Q469" s="233">
        <v>30</v>
      </c>
      <c r="R469" s="400"/>
      <c r="S469" s="400"/>
      <c r="T469" s="401"/>
      <c r="U469" s="401"/>
      <c r="V469" s="401"/>
      <c r="W469" s="400"/>
      <c r="X469" s="400"/>
      <c r="Y469" s="401"/>
      <c r="Z469" s="401"/>
      <c r="AA469" s="401"/>
      <c r="AB469" s="402"/>
      <c r="AC469" s="402"/>
      <c r="AD469" s="402"/>
      <c r="AE469" s="402"/>
      <c r="AF469" s="402"/>
      <c r="AG469" s="332"/>
    </row>
    <row r="470" spans="1:33" s="333" customFormat="1" ht="18" customHeight="1">
      <c r="A470" s="382"/>
      <c r="B470" s="358" t="s">
        <v>1471</v>
      </c>
      <c r="C470" s="359">
        <v>1</v>
      </c>
      <c r="D470" s="359">
        <v>1</v>
      </c>
      <c r="E470" s="359">
        <v>1</v>
      </c>
      <c r="F470" s="359">
        <v>1</v>
      </c>
      <c r="G470" s="360">
        <v>34.6</v>
      </c>
      <c r="H470" s="360">
        <v>34.6</v>
      </c>
      <c r="I470" s="361">
        <v>2</v>
      </c>
      <c r="J470" s="404" t="s">
        <v>1292</v>
      </c>
      <c r="K470" s="361">
        <v>2</v>
      </c>
      <c r="L470" s="404" t="s">
        <v>1292</v>
      </c>
      <c r="M470" s="361">
        <v>2</v>
      </c>
      <c r="N470" s="404" t="s">
        <v>1292</v>
      </c>
      <c r="O470" s="361">
        <v>2</v>
      </c>
      <c r="P470" s="404" t="s">
        <v>1292</v>
      </c>
      <c r="Q470" s="233">
        <v>30</v>
      </c>
      <c r="R470" s="400"/>
      <c r="S470" s="400"/>
      <c r="T470" s="401"/>
      <c r="U470" s="401"/>
      <c r="V470" s="401"/>
      <c r="W470" s="400"/>
      <c r="X470" s="400"/>
      <c r="Y470" s="401"/>
      <c r="Z470" s="401"/>
      <c r="AA470" s="401"/>
      <c r="AB470" s="402"/>
      <c r="AC470" s="402"/>
      <c r="AD470" s="402"/>
      <c r="AE470" s="402"/>
      <c r="AF470" s="402"/>
      <c r="AG470" s="332"/>
    </row>
    <row r="471" spans="1:33" s="333" customFormat="1" ht="18" customHeight="1">
      <c r="A471" s="382"/>
      <c r="B471" s="358" t="s">
        <v>348</v>
      </c>
      <c r="C471" s="359">
        <v>1</v>
      </c>
      <c r="D471" s="359">
        <v>1</v>
      </c>
      <c r="E471" s="359">
        <v>1</v>
      </c>
      <c r="F471" s="359">
        <v>1</v>
      </c>
      <c r="G471" s="360">
        <v>4.5</v>
      </c>
      <c r="H471" s="360">
        <v>4.5</v>
      </c>
      <c r="I471" s="361">
        <v>12</v>
      </c>
      <c r="J471" s="226" t="s">
        <v>1580</v>
      </c>
      <c r="K471" s="361">
        <v>12</v>
      </c>
      <c r="L471" s="226" t="s">
        <v>1580</v>
      </c>
      <c r="M471" s="361">
        <v>24</v>
      </c>
      <c r="N471" s="226" t="s">
        <v>996</v>
      </c>
      <c r="O471" s="361">
        <v>24</v>
      </c>
      <c r="P471" s="226" t="s">
        <v>996</v>
      </c>
      <c r="Q471" s="233">
        <v>30</v>
      </c>
      <c r="R471" s="400"/>
      <c r="S471" s="400"/>
      <c r="T471" s="401"/>
      <c r="U471" s="401"/>
      <c r="V471" s="401"/>
      <c r="W471" s="400"/>
      <c r="X471" s="400"/>
      <c r="Y471" s="401"/>
      <c r="Z471" s="401"/>
      <c r="AA471" s="401"/>
      <c r="AB471" s="402"/>
      <c r="AC471" s="402"/>
      <c r="AD471" s="402"/>
      <c r="AE471" s="402"/>
      <c r="AF471" s="402"/>
      <c r="AG471" s="332"/>
    </row>
    <row r="472" spans="1:33" s="333" customFormat="1" ht="18" customHeight="1">
      <c r="A472" s="382"/>
      <c r="B472" s="358" t="s">
        <v>347</v>
      </c>
      <c r="C472" s="359">
        <v>1</v>
      </c>
      <c r="D472" s="359">
        <v>1</v>
      </c>
      <c r="E472" s="359">
        <v>1</v>
      </c>
      <c r="F472" s="359">
        <v>1</v>
      </c>
      <c r="G472" s="360">
        <v>5</v>
      </c>
      <c r="H472" s="360">
        <v>5</v>
      </c>
      <c r="I472" s="361">
        <v>12</v>
      </c>
      <c r="J472" s="226" t="s">
        <v>1580</v>
      </c>
      <c r="K472" s="361">
        <v>12</v>
      </c>
      <c r="L472" s="226" t="s">
        <v>1580</v>
      </c>
      <c r="M472" s="361">
        <v>24</v>
      </c>
      <c r="N472" s="226" t="s">
        <v>996</v>
      </c>
      <c r="O472" s="361">
        <v>24</v>
      </c>
      <c r="P472" s="226" t="s">
        <v>996</v>
      </c>
      <c r="Q472" s="233">
        <v>30</v>
      </c>
      <c r="R472" s="400"/>
      <c r="S472" s="400"/>
      <c r="T472" s="401"/>
      <c r="U472" s="401"/>
      <c r="V472" s="401"/>
      <c r="W472" s="400"/>
      <c r="X472" s="400"/>
      <c r="Y472" s="401"/>
      <c r="Z472" s="401"/>
      <c r="AA472" s="401"/>
      <c r="AB472" s="402"/>
      <c r="AC472" s="402"/>
      <c r="AD472" s="402"/>
      <c r="AE472" s="402"/>
      <c r="AF472" s="402"/>
      <c r="AG472" s="332"/>
    </row>
    <row r="473" spans="1:33" s="333" customFormat="1" ht="18" customHeight="1">
      <c r="A473" s="382"/>
      <c r="B473" s="358" t="s">
        <v>1457</v>
      </c>
      <c r="C473" s="359">
        <v>1</v>
      </c>
      <c r="D473" s="359">
        <v>1</v>
      </c>
      <c r="E473" s="359">
        <v>1</v>
      </c>
      <c r="F473" s="359">
        <v>1</v>
      </c>
      <c r="G473" s="360">
        <v>0.1</v>
      </c>
      <c r="H473" s="360">
        <v>0.1</v>
      </c>
      <c r="I473" s="361">
        <v>8</v>
      </c>
      <c r="J473" s="226" t="s">
        <v>1023</v>
      </c>
      <c r="K473" s="361">
        <v>8</v>
      </c>
      <c r="L473" s="226" t="s">
        <v>1023</v>
      </c>
      <c r="M473" s="361">
        <v>8</v>
      </c>
      <c r="N473" s="226" t="s">
        <v>1023</v>
      </c>
      <c r="O473" s="361">
        <v>8</v>
      </c>
      <c r="P473" s="226" t="s">
        <v>1023</v>
      </c>
      <c r="Q473" s="233">
        <v>30</v>
      </c>
      <c r="R473" s="400"/>
      <c r="S473" s="400"/>
      <c r="T473" s="401"/>
      <c r="U473" s="401"/>
      <c r="V473" s="401"/>
      <c r="W473" s="400"/>
      <c r="X473" s="400"/>
      <c r="Y473" s="401"/>
      <c r="Z473" s="401"/>
      <c r="AA473" s="401"/>
      <c r="AB473" s="402"/>
      <c r="AC473" s="402"/>
      <c r="AD473" s="402"/>
      <c r="AE473" s="402"/>
      <c r="AF473" s="402"/>
      <c r="AG473" s="332"/>
    </row>
    <row r="474" spans="1:33" s="333" customFormat="1" ht="18" customHeight="1">
      <c r="A474" s="382"/>
      <c r="B474" s="358" t="s">
        <v>1421</v>
      </c>
      <c r="C474" s="359">
        <v>1</v>
      </c>
      <c r="D474" s="359">
        <v>1</v>
      </c>
      <c r="E474" s="359">
        <v>1</v>
      </c>
      <c r="F474" s="359">
        <v>1</v>
      </c>
      <c r="G474" s="360">
        <v>1</v>
      </c>
      <c r="H474" s="360">
        <v>1</v>
      </c>
      <c r="I474" s="361">
        <v>12</v>
      </c>
      <c r="J474" s="226" t="s">
        <v>1580</v>
      </c>
      <c r="K474" s="361">
        <v>12</v>
      </c>
      <c r="L474" s="226" t="s">
        <v>1580</v>
      </c>
      <c r="M474" s="361">
        <v>12</v>
      </c>
      <c r="N474" s="226" t="s">
        <v>1580</v>
      </c>
      <c r="O474" s="361">
        <v>12</v>
      </c>
      <c r="P474" s="226" t="s">
        <v>1580</v>
      </c>
      <c r="Q474" s="233">
        <v>30</v>
      </c>
      <c r="R474" s="400"/>
      <c r="S474" s="400"/>
      <c r="T474" s="401"/>
      <c r="U474" s="401"/>
      <c r="V474" s="401"/>
      <c r="W474" s="400"/>
      <c r="X474" s="400"/>
      <c r="Y474" s="401"/>
      <c r="Z474" s="401"/>
      <c r="AA474" s="401"/>
      <c r="AB474" s="402"/>
      <c r="AC474" s="402"/>
      <c r="AD474" s="402"/>
      <c r="AE474" s="402"/>
      <c r="AF474" s="402"/>
      <c r="AG474" s="332"/>
    </row>
    <row r="475" spans="1:33" s="333" customFormat="1" ht="18" customHeight="1">
      <c r="A475" s="382"/>
      <c r="B475" s="358" t="s">
        <v>842</v>
      </c>
      <c r="C475" s="359">
        <v>1</v>
      </c>
      <c r="D475" s="359">
        <v>1</v>
      </c>
      <c r="E475" s="359">
        <v>1</v>
      </c>
      <c r="F475" s="359">
        <v>1</v>
      </c>
      <c r="G475" s="360">
        <v>1</v>
      </c>
      <c r="H475" s="360">
        <v>1</v>
      </c>
      <c r="I475" s="361">
        <v>12</v>
      </c>
      <c r="J475" s="226" t="s">
        <v>1580</v>
      </c>
      <c r="K475" s="361">
        <v>12</v>
      </c>
      <c r="L475" s="226" t="s">
        <v>1580</v>
      </c>
      <c r="M475" s="361">
        <v>12</v>
      </c>
      <c r="N475" s="226" t="s">
        <v>1580</v>
      </c>
      <c r="O475" s="361">
        <v>12</v>
      </c>
      <c r="P475" s="226" t="s">
        <v>1580</v>
      </c>
      <c r="Q475" s="233">
        <v>30</v>
      </c>
      <c r="R475" s="400"/>
      <c r="S475" s="400"/>
      <c r="T475" s="401"/>
      <c r="U475" s="401"/>
      <c r="V475" s="401"/>
      <c r="W475" s="400"/>
      <c r="X475" s="400"/>
      <c r="Y475" s="401"/>
      <c r="Z475" s="401"/>
      <c r="AA475" s="401"/>
      <c r="AB475" s="402"/>
      <c r="AC475" s="402"/>
      <c r="AD475" s="402"/>
      <c r="AE475" s="402"/>
      <c r="AF475" s="402"/>
      <c r="AG475" s="332"/>
    </row>
    <row r="476" spans="1:33" s="333" customFormat="1" ht="18" customHeight="1">
      <c r="A476" s="382"/>
      <c r="B476" s="358" t="s">
        <v>1472</v>
      </c>
      <c r="C476" s="359">
        <v>1</v>
      </c>
      <c r="D476" s="359">
        <v>1</v>
      </c>
      <c r="E476" s="359">
        <v>1</v>
      </c>
      <c r="F476" s="359">
        <v>1</v>
      </c>
      <c r="G476" s="360">
        <v>1</v>
      </c>
      <c r="H476" s="360">
        <v>1</v>
      </c>
      <c r="I476" s="361">
        <v>12</v>
      </c>
      <c r="J476" s="226" t="s">
        <v>1580</v>
      </c>
      <c r="K476" s="361">
        <v>12</v>
      </c>
      <c r="L476" s="226" t="s">
        <v>1580</v>
      </c>
      <c r="M476" s="361">
        <v>12</v>
      </c>
      <c r="N476" s="226" t="s">
        <v>1580</v>
      </c>
      <c r="O476" s="361">
        <v>12</v>
      </c>
      <c r="P476" s="226" t="s">
        <v>1580</v>
      </c>
      <c r="Q476" s="233">
        <v>30</v>
      </c>
      <c r="R476" s="400"/>
      <c r="S476" s="400"/>
      <c r="T476" s="401"/>
      <c r="U476" s="401"/>
      <c r="V476" s="401"/>
      <c r="W476" s="400"/>
      <c r="X476" s="400"/>
      <c r="Y476" s="401"/>
      <c r="Z476" s="401"/>
      <c r="AA476" s="401"/>
      <c r="AB476" s="402"/>
      <c r="AC476" s="402"/>
      <c r="AD476" s="402"/>
      <c r="AE476" s="402"/>
      <c r="AF476" s="402"/>
      <c r="AG476" s="332"/>
    </row>
    <row r="477" spans="1:33" s="333" customFormat="1" ht="18" customHeight="1">
      <c r="A477" s="382"/>
      <c r="B477" s="358" t="s">
        <v>1473</v>
      </c>
      <c r="C477" s="359">
        <v>1</v>
      </c>
      <c r="D477" s="359">
        <v>1</v>
      </c>
      <c r="E477" s="359">
        <v>1</v>
      </c>
      <c r="F477" s="359">
        <v>1</v>
      </c>
      <c r="G477" s="360">
        <v>0.35</v>
      </c>
      <c r="H477" s="360">
        <v>0.35</v>
      </c>
      <c r="I477" s="361">
        <v>2</v>
      </c>
      <c r="J477" s="404" t="s">
        <v>1292</v>
      </c>
      <c r="K477" s="361">
        <v>2</v>
      </c>
      <c r="L477" s="404" t="s">
        <v>1292</v>
      </c>
      <c r="M477" s="361">
        <v>2</v>
      </c>
      <c r="N477" s="404" t="s">
        <v>1292</v>
      </c>
      <c r="O477" s="361">
        <v>2</v>
      </c>
      <c r="P477" s="404" t="s">
        <v>1292</v>
      </c>
      <c r="Q477" s="233">
        <v>30</v>
      </c>
      <c r="R477" s="400"/>
      <c r="S477" s="400"/>
      <c r="T477" s="401"/>
      <c r="U477" s="401"/>
      <c r="V477" s="401"/>
      <c r="W477" s="400"/>
      <c r="X477" s="400"/>
      <c r="Y477" s="401"/>
      <c r="Z477" s="401"/>
      <c r="AA477" s="401"/>
      <c r="AB477" s="402"/>
      <c r="AC477" s="402"/>
      <c r="AD477" s="402"/>
      <c r="AE477" s="402"/>
      <c r="AF477" s="402"/>
      <c r="AG477" s="332"/>
    </row>
    <row r="478" spans="1:33" s="333" customFormat="1" ht="18" customHeight="1">
      <c r="A478" s="382"/>
      <c r="B478" s="358" t="s">
        <v>1464</v>
      </c>
      <c r="C478" s="359">
        <v>1</v>
      </c>
      <c r="D478" s="359">
        <v>1</v>
      </c>
      <c r="E478" s="359">
        <v>1</v>
      </c>
      <c r="F478" s="359">
        <v>1</v>
      </c>
      <c r="G478" s="360">
        <v>0.55000000000000004</v>
      </c>
      <c r="H478" s="360">
        <v>0.55000000000000004</v>
      </c>
      <c r="I478" s="361">
        <v>2</v>
      </c>
      <c r="J478" s="404" t="s">
        <v>1292</v>
      </c>
      <c r="K478" s="361">
        <v>2</v>
      </c>
      <c r="L478" s="404" t="s">
        <v>1292</v>
      </c>
      <c r="M478" s="361">
        <v>2</v>
      </c>
      <c r="N478" s="404" t="s">
        <v>1292</v>
      </c>
      <c r="O478" s="361">
        <v>2</v>
      </c>
      <c r="P478" s="404" t="s">
        <v>1292</v>
      </c>
      <c r="Q478" s="233">
        <v>30</v>
      </c>
      <c r="R478" s="400"/>
      <c r="S478" s="400"/>
      <c r="T478" s="401"/>
      <c r="U478" s="401"/>
      <c r="V478" s="401"/>
      <c r="W478" s="400"/>
      <c r="X478" s="400"/>
      <c r="Y478" s="401"/>
      <c r="Z478" s="401"/>
      <c r="AA478" s="401"/>
      <c r="AB478" s="402"/>
      <c r="AC478" s="402"/>
      <c r="AD478" s="402"/>
      <c r="AE478" s="402"/>
      <c r="AF478" s="402"/>
      <c r="AG478" s="332"/>
    </row>
    <row r="479" spans="1:33" s="333" customFormat="1" ht="18" customHeight="1">
      <c r="A479" s="382"/>
      <c r="B479" s="358" t="s">
        <v>1474</v>
      </c>
      <c r="C479" s="359">
        <v>1</v>
      </c>
      <c r="D479" s="359">
        <v>1</v>
      </c>
      <c r="E479" s="359">
        <v>1</v>
      </c>
      <c r="F479" s="359">
        <v>1</v>
      </c>
      <c r="G479" s="360">
        <v>24</v>
      </c>
      <c r="H479" s="360">
        <v>24</v>
      </c>
      <c r="I479" s="361">
        <v>4</v>
      </c>
      <c r="J479" s="359" t="s">
        <v>1122</v>
      </c>
      <c r="K479" s="361">
        <v>4</v>
      </c>
      <c r="L479" s="359" t="s">
        <v>1122</v>
      </c>
      <c r="M479" s="361">
        <v>4</v>
      </c>
      <c r="N479" s="359" t="s">
        <v>1122</v>
      </c>
      <c r="O479" s="361">
        <v>4</v>
      </c>
      <c r="P479" s="359" t="s">
        <v>1122</v>
      </c>
      <c r="Q479" s="233">
        <v>30</v>
      </c>
      <c r="R479" s="400"/>
      <c r="S479" s="400"/>
      <c r="T479" s="401"/>
      <c r="U479" s="401"/>
      <c r="V479" s="401"/>
      <c r="W479" s="400"/>
      <c r="X479" s="400"/>
      <c r="Y479" s="401"/>
      <c r="Z479" s="401"/>
      <c r="AA479" s="401"/>
      <c r="AB479" s="402"/>
      <c r="AC479" s="402"/>
      <c r="AD479" s="402"/>
      <c r="AE479" s="402"/>
      <c r="AF479" s="402"/>
      <c r="AG479" s="332"/>
    </row>
    <row r="480" spans="1:33" s="333" customFormat="1" ht="18" customHeight="1">
      <c r="A480" s="382"/>
      <c r="B480" s="358" t="s">
        <v>1438</v>
      </c>
      <c r="C480" s="359">
        <v>1</v>
      </c>
      <c r="D480" s="359">
        <v>1</v>
      </c>
      <c r="E480" s="359">
        <v>1</v>
      </c>
      <c r="F480" s="359">
        <v>1</v>
      </c>
      <c r="G480" s="360">
        <v>10.4</v>
      </c>
      <c r="H480" s="360">
        <v>10.4</v>
      </c>
      <c r="I480" s="361">
        <v>4</v>
      </c>
      <c r="J480" s="359" t="s">
        <v>1122</v>
      </c>
      <c r="K480" s="361">
        <v>4</v>
      </c>
      <c r="L480" s="359" t="s">
        <v>1122</v>
      </c>
      <c r="M480" s="361">
        <v>4</v>
      </c>
      <c r="N480" s="359" t="s">
        <v>1122</v>
      </c>
      <c r="O480" s="361">
        <v>4</v>
      </c>
      <c r="P480" s="359" t="s">
        <v>1122</v>
      </c>
      <c r="Q480" s="233">
        <v>30</v>
      </c>
      <c r="R480" s="400"/>
      <c r="S480" s="400"/>
      <c r="T480" s="401"/>
      <c r="U480" s="401"/>
      <c r="V480" s="401"/>
      <c r="W480" s="400"/>
      <c r="X480" s="400"/>
      <c r="Y480" s="401"/>
      <c r="Z480" s="401"/>
      <c r="AA480" s="401"/>
      <c r="AB480" s="402"/>
      <c r="AC480" s="402"/>
      <c r="AD480" s="402"/>
      <c r="AE480" s="402"/>
      <c r="AF480" s="402"/>
      <c r="AG480" s="332"/>
    </row>
    <row r="481" spans="1:33" s="333" customFormat="1" ht="18" customHeight="1">
      <c r="A481" s="382"/>
      <c r="B481" s="358" t="s">
        <v>1475</v>
      </c>
      <c r="C481" s="359">
        <v>1</v>
      </c>
      <c r="D481" s="359">
        <v>1</v>
      </c>
      <c r="E481" s="359">
        <v>1</v>
      </c>
      <c r="F481" s="359">
        <v>1</v>
      </c>
      <c r="G481" s="360">
        <v>12</v>
      </c>
      <c r="H481" s="360">
        <v>12</v>
      </c>
      <c r="I481" s="361">
        <v>4</v>
      </c>
      <c r="J481" s="359" t="s">
        <v>1122</v>
      </c>
      <c r="K481" s="361">
        <v>4</v>
      </c>
      <c r="L481" s="359" t="s">
        <v>1122</v>
      </c>
      <c r="M481" s="361">
        <v>4</v>
      </c>
      <c r="N481" s="359" t="s">
        <v>1122</v>
      </c>
      <c r="O481" s="361">
        <v>4</v>
      </c>
      <c r="P481" s="359" t="s">
        <v>1122</v>
      </c>
      <c r="Q481" s="233">
        <v>30</v>
      </c>
      <c r="R481" s="400"/>
      <c r="S481" s="400"/>
      <c r="T481" s="401"/>
      <c r="U481" s="401"/>
      <c r="V481" s="401"/>
      <c r="W481" s="400"/>
      <c r="X481" s="400"/>
      <c r="Y481" s="401"/>
      <c r="Z481" s="401"/>
      <c r="AA481" s="401"/>
      <c r="AB481" s="402"/>
      <c r="AC481" s="402"/>
      <c r="AD481" s="402"/>
      <c r="AE481" s="402"/>
      <c r="AF481" s="402"/>
      <c r="AG481" s="332"/>
    </row>
    <row r="482" spans="1:33" s="333" customFormat="1" ht="18" customHeight="1">
      <c r="A482" s="382"/>
      <c r="B482" s="358" t="s">
        <v>1476</v>
      </c>
      <c r="C482" s="359">
        <v>1</v>
      </c>
      <c r="D482" s="359">
        <v>1</v>
      </c>
      <c r="E482" s="359">
        <v>1</v>
      </c>
      <c r="F482" s="359">
        <v>1</v>
      </c>
      <c r="G482" s="360">
        <v>4</v>
      </c>
      <c r="H482" s="360">
        <v>4</v>
      </c>
      <c r="I482" s="361">
        <v>0</v>
      </c>
      <c r="J482" s="361"/>
      <c r="K482" s="361">
        <v>0</v>
      </c>
      <c r="L482" s="361"/>
      <c r="M482" s="361">
        <v>0</v>
      </c>
      <c r="N482" s="361"/>
      <c r="O482" s="361">
        <v>0</v>
      </c>
      <c r="P482" s="361"/>
      <c r="Q482" s="233">
        <v>30</v>
      </c>
      <c r="R482" s="400"/>
      <c r="S482" s="400"/>
      <c r="T482" s="401"/>
      <c r="U482" s="401"/>
      <c r="V482" s="401"/>
      <c r="W482" s="400"/>
      <c r="X482" s="400"/>
      <c r="Y482" s="401"/>
      <c r="Z482" s="401"/>
      <c r="AA482" s="401"/>
      <c r="AB482" s="402"/>
      <c r="AC482" s="402"/>
      <c r="AD482" s="402"/>
      <c r="AE482" s="402"/>
      <c r="AF482" s="402"/>
      <c r="AG482" s="332"/>
    </row>
    <row r="483" spans="1:33" s="333" customFormat="1" ht="18" customHeight="1">
      <c r="A483" s="382"/>
      <c r="B483" s="358" t="s">
        <v>1149</v>
      </c>
      <c r="C483" s="359">
        <v>1</v>
      </c>
      <c r="D483" s="359">
        <v>1</v>
      </c>
      <c r="E483" s="359">
        <v>1</v>
      </c>
      <c r="F483" s="359">
        <v>1</v>
      </c>
      <c r="G483" s="360">
        <v>1</v>
      </c>
      <c r="H483" s="360">
        <v>1</v>
      </c>
      <c r="I483" s="361">
        <v>12</v>
      </c>
      <c r="J483" s="226" t="s">
        <v>1580</v>
      </c>
      <c r="K483" s="361">
        <v>12</v>
      </c>
      <c r="L483" s="226" t="s">
        <v>1580</v>
      </c>
      <c r="M483" s="361">
        <v>12</v>
      </c>
      <c r="N483" s="226" t="s">
        <v>1580</v>
      </c>
      <c r="O483" s="361">
        <v>12</v>
      </c>
      <c r="P483" s="226" t="s">
        <v>1580</v>
      </c>
      <c r="Q483" s="233">
        <v>30</v>
      </c>
      <c r="R483" s="400"/>
      <c r="S483" s="400"/>
      <c r="T483" s="401"/>
      <c r="U483" s="401"/>
      <c r="V483" s="401"/>
      <c r="W483" s="400"/>
      <c r="X483" s="400"/>
      <c r="Y483" s="401"/>
      <c r="Z483" s="401"/>
      <c r="AA483" s="401"/>
      <c r="AB483" s="402"/>
      <c r="AC483" s="402"/>
      <c r="AD483" s="402"/>
      <c r="AE483" s="402"/>
      <c r="AF483" s="402"/>
      <c r="AG483" s="332"/>
    </row>
    <row r="484" spans="1:33" s="333" customFormat="1" ht="18" customHeight="1">
      <c r="A484" s="382"/>
      <c r="B484" s="403" t="s">
        <v>1477</v>
      </c>
      <c r="C484" s="359"/>
      <c r="D484" s="359"/>
      <c r="E484" s="359"/>
      <c r="F484" s="359"/>
      <c r="G484" s="360"/>
      <c r="H484" s="360"/>
      <c r="I484" s="361"/>
      <c r="J484" s="361"/>
      <c r="K484" s="361"/>
      <c r="L484" s="361"/>
      <c r="M484" s="361"/>
      <c r="N484" s="361"/>
      <c r="O484" s="361"/>
      <c r="P484" s="361"/>
      <c r="Q484" s="233"/>
      <c r="R484" s="400"/>
      <c r="S484" s="400"/>
      <c r="T484" s="401"/>
      <c r="U484" s="401"/>
      <c r="V484" s="401"/>
      <c r="W484" s="400"/>
      <c r="X484" s="400"/>
      <c r="Y484" s="401"/>
      <c r="Z484" s="401"/>
      <c r="AA484" s="401"/>
      <c r="AB484" s="402"/>
      <c r="AC484" s="402"/>
      <c r="AD484" s="402"/>
      <c r="AE484" s="402"/>
      <c r="AF484" s="402"/>
      <c r="AG484" s="332"/>
    </row>
    <row r="485" spans="1:33" s="333" customFormat="1" ht="18" customHeight="1">
      <c r="A485" s="382"/>
      <c r="B485" s="358" t="s">
        <v>1457</v>
      </c>
      <c r="C485" s="359">
        <v>2</v>
      </c>
      <c r="D485" s="359">
        <v>2</v>
      </c>
      <c r="E485" s="359">
        <v>2</v>
      </c>
      <c r="F485" s="359">
        <v>2</v>
      </c>
      <c r="G485" s="360">
        <v>0.1</v>
      </c>
      <c r="H485" s="360">
        <v>0.1</v>
      </c>
      <c r="I485" s="361">
        <v>24</v>
      </c>
      <c r="J485" s="226" t="s">
        <v>996</v>
      </c>
      <c r="K485" s="361">
        <v>24</v>
      </c>
      <c r="L485" s="226" t="s">
        <v>996</v>
      </c>
      <c r="M485" s="361">
        <v>24</v>
      </c>
      <c r="N485" s="226" t="s">
        <v>996</v>
      </c>
      <c r="O485" s="361">
        <v>24</v>
      </c>
      <c r="P485" s="226" t="s">
        <v>996</v>
      </c>
      <c r="Q485" s="233">
        <v>30</v>
      </c>
      <c r="R485" s="400"/>
      <c r="S485" s="400"/>
      <c r="T485" s="401"/>
      <c r="U485" s="401"/>
      <c r="V485" s="401"/>
      <c r="W485" s="400"/>
      <c r="X485" s="400"/>
      <c r="Y485" s="401"/>
      <c r="Z485" s="401"/>
      <c r="AA485" s="401"/>
      <c r="AB485" s="402"/>
      <c r="AC485" s="402"/>
      <c r="AD485" s="402"/>
      <c r="AE485" s="402"/>
      <c r="AF485" s="402"/>
      <c r="AG485" s="332"/>
    </row>
    <row r="486" spans="1:33" s="333" customFormat="1" ht="18" customHeight="1">
      <c r="A486" s="382"/>
      <c r="B486" s="358" t="s">
        <v>1478</v>
      </c>
      <c r="C486" s="359">
        <v>1</v>
      </c>
      <c r="D486" s="359">
        <v>1</v>
      </c>
      <c r="E486" s="359">
        <v>1</v>
      </c>
      <c r="F486" s="359">
        <v>1</v>
      </c>
      <c r="G486" s="360">
        <v>4.5</v>
      </c>
      <c r="H486" s="360">
        <v>4.5</v>
      </c>
      <c r="I486" s="361">
        <v>2</v>
      </c>
      <c r="J486" s="404" t="s">
        <v>1292</v>
      </c>
      <c r="K486" s="361">
        <v>2</v>
      </c>
      <c r="L486" s="404" t="s">
        <v>1292</v>
      </c>
      <c r="M486" s="361">
        <v>2</v>
      </c>
      <c r="N486" s="404" t="s">
        <v>1292</v>
      </c>
      <c r="O486" s="361">
        <v>2</v>
      </c>
      <c r="P486" s="404" t="s">
        <v>1292</v>
      </c>
      <c r="Q486" s="233">
        <v>30</v>
      </c>
      <c r="R486" s="400"/>
      <c r="S486" s="400"/>
      <c r="T486" s="401"/>
      <c r="U486" s="401"/>
      <c r="V486" s="401"/>
      <c r="W486" s="400"/>
      <c r="X486" s="400"/>
      <c r="Y486" s="401"/>
      <c r="Z486" s="401"/>
      <c r="AA486" s="401"/>
      <c r="AB486" s="402"/>
      <c r="AC486" s="402"/>
      <c r="AD486" s="402"/>
      <c r="AE486" s="402"/>
      <c r="AF486" s="402"/>
      <c r="AG486" s="332"/>
    </row>
    <row r="487" spans="1:33" s="333" customFormat="1" ht="18" customHeight="1">
      <c r="A487" s="382"/>
      <c r="B487" s="358" t="s">
        <v>1479</v>
      </c>
      <c r="C487" s="359">
        <v>1</v>
      </c>
      <c r="D487" s="359">
        <v>2</v>
      </c>
      <c r="E487" s="359">
        <v>2</v>
      </c>
      <c r="F487" s="359">
        <v>2</v>
      </c>
      <c r="G487" s="360">
        <v>36</v>
      </c>
      <c r="H487" s="360">
        <v>36</v>
      </c>
      <c r="I487" s="361">
        <v>2</v>
      </c>
      <c r="J487" s="404" t="s">
        <v>1292</v>
      </c>
      <c r="K487" s="361">
        <v>2</v>
      </c>
      <c r="L487" s="404" t="s">
        <v>1292</v>
      </c>
      <c r="M487" s="361">
        <v>2</v>
      </c>
      <c r="N487" s="404" t="s">
        <v>1292</v>
      </c>
      <c r="O487" s="361">
        <v>2</v>
      </c>
      <c r="P487" s="404" t="s">
        <v>1292</v>
      </c>
      <c r="Q487" s="233">
        <v>30</v>
      </c>
      <c r="R487" s="400"/>
      <c r="S487" s="400"/>
      <c r="T487" s="401"/>
      <c r="U487" s="401"/>
      <c r="V487" s="401"/>
      <c r="W487" s="400"/>
      <c r="X487" s="400"/>
      <c r="Y487" s="401"/>
      <c r="Z487" s="401"/>
      <c r="AA487" s="401"/>
      <c r="AB487" s="402"/>
      <c r="AC487" s="402"/>
      <c r="AD487" s="402"/>
      <c r="AE487" s="402"/>
      <c r="AF487" s="402"/>
      <c r="AG487" s="332"/>
    </row>
    <row r="488" spans="1:33" s="333" customFormat="1" ht="18" customHeight="1">
      <c r="A488" s="382"/>
      <c r="B488" s="358" t="s">
        <v>1480</v>
      </c>
      <c r="C488" s="359">
        <v>1</v>
      </c>
      <c r="D488" s="359">
        <v>2</v>
      </c>
      <c r="E488" s="359">
        <v>2</v>
      </c>
      <c r="F488" s="359">
        <v>2</v>
      </c>
      <c r="G488" s="360">
        <v>32</v>
      </c>
      <c r="H488" s="360">
        <v>32</v>
      </c>
      <c r="I488" s="361">
        <v>4</v>
      </c>
      <c r="J488" s="359" t="s">
        <v>1122</v>
      </c>
      <c r="K488" s="361">
        <v>4</v>
      </c>
      <c r="L488" s="359" t="s">
        <v>1122</v>
      </c>
      <c r="M488" s="361">
        <v>4</v>
      </c>
      <c r="N488" s="359" t="s">
        <v>1122</v>
      </c>
      <c r="O488" s="361">
        <v>4</v>
      </c>
      <c r="P488" s="359" t="s">
        <v>1122</v>
      </c>
      <c r="Q488" s="233">
        <v>30</v>
      </c>
      <c r="R488" s="400"/>
      <c r="S488" s="400"/>
      <c r="T488" s="401"/>
      <c r="U488" s="401"/>
      <c r="V488" s="401"/>
      <c r="W488" s="400"/>
      <c r="X488" s="400"/>
      <c r="Y488" s="401"/>
      <c r="Z488" s="401"/>
      <c r="AA488" s="401"/>
      <c r="AB488" s="402"/>
      <c r="AC488" s="402"/>
      <c r="AD488" s="402"/>
      <c r="AE488" s="402"/>
      <c r="AF488" s="402"/>
      <c r="AG488" s="332"/>
    </row>
    <row r="489" spans="1:33" s="333" customFormat="1" ht="18" customHeight="1">
      <c r="A489" s="382"/>
      <c r="B489" s="403" t="s">
        <v>1481</v>
      </c>
      <c r="C489" s="359"/>
      <c r="D489" s="359"/>
      <c r="E489" s="359"/>
      <c r="F489" s="359"/>
      <c r="G489" s="360"/>
      <c r="H489" s="360"/>
      <c r="I489" s="361"/>
      <c r="J489" s="361"/>
      <c r="K489" s="361"/>
      <c r="L489" s="361"/>
      <c r="M489" s="361"/>
      <c r="N489" s="361"/>
      <c r="O489" s="361"/>
      <c r="P489" s="361"/>
      <c r="Q489" s="233"/>
      <c r="R489" s="400"/>
      <c r="S489" s="400"/>
      <c r="T489" s="401"/>
      <c r="U489" s="401"/>
      <c r="V489" s="401"/>
      <c r="W489" s="400"/>
      <c r="X489" s="400"/>
      <c r="Y489" s="401"/>
      <c r="Z489" s="401"/>
      <c r="AA489" s="401"/>
      <c r="AB489" s="402"/>
      <c r="AC489" s="402"/>
      <c r="AD489" s="402"/>
      <c r="AE489" s="402"/>
      <c r="AF489" s="402"/>
      <c r="AG489" s="332"/>
    </row>
    <row r="490" spans="1:33" s="333" customFormat="1" ht="18" customHeight="1">
      <c r="A490" s="382"/>
      <c r="B490" s="358" t="s">
        <v>1457</v>
      </c>
      <c r="C490" s="359">
        <v>2</v>
      </c>
      <c r="D490" s="359">
        <v>2</v>
      </c>
      <c r="E490" s="359">
        <v>2</v>
      </c>
      <c r="F490" s="359">
        <v>2</v>
      </c>
      <c r="G490" s="360">
        <v>0.1</v>
      </c>
      <c r="H490" s="360">
        <v>0.1</v>
      </c>
      <c r="I490" s="361">
        <v>24</v>
      </c>
      <c r="J490" s="226" t="s">
        <v>996</v>
      </c>
      <c r="K490" s="361">
        <v>24</v>
      </c>
      <c r="L490" s="226" t="s">
        <v>996</v>
      </c>
      <c r="M490" s="361">
        <v>24</v>
      </c>
      <c r="N490" s="226" t="s">
        <v>996</v>
      </c>
      <c r="O490" s="361">
        <v>24</v>
      </c>
      <c r="P490" s="226" t="s">
        <v>996</v>
      </c>
      <c r="Q490" s="233">
        <v>30</v>
      </c>
      <c r="R490" s="400"/>
      <c r="S490" s="400"/>
      <c r="T490" s="401"/>
      <c r="U490" s="401"/>
      <c r="V490" s="401"/>
      <c r="W490" s="400"/>
      <c r="X490" s="400"/>
      <c r="Y490" s="401"/>
      <c r="Z490" s="401"/>
      <c r="AA490" s="401"/>
      <c r="AB490" s="402"/>
      <c r="AC490" s="402"/>
      <c r="AD490" s="402"/>
      <c r="AE490" s="402"/>
      <c r="AF490" s="402"/>
      <c r="AG490" s="332"/>
    </row>
    <row r="491" spans="1:33" s="333" customFormat="1" ht="18" customHeight="1">
      <c r="A491" s="382"/>
      <c r="B491" s="358" t="s">
        <v>1482</v>
      </c>
      <c r="C491" s="359">
        <v>1</v>
      </c>
      <c r="D491" s="359">
        <v>1</v>
      </c>
      <c r="E491" s="359">
        <v>1</v>
      </c>
      <c r="F491" s="359">
        <v>1</v>
      </c>
      <c r="G491" s="360">
        <v>15.3</v>
      </c>
      <c r="H491" s="360">
        <v>15.3</v>
      </c>
      <c r="I491" s="361">
        <v>4</v>
      </c>
      <c r="J491" s="359" t="s">
        <v>1122</v>
      </c>
      <c r="K491" s="361">
        <v>4</v>
      </c>
      <c r="L491" s="359" t="s">
        <v>1122</v>
      </c>
      <c r="M491" s="361">
        <v>4</v>
      </c>
      <c r="N491" s="359" t="s">
        <v>1122</v>
      </c>
      <c r="O491" s="361">
        <v>4</v>
      </c>
      <c r="P491" s="359" t="s">
        <v>1122</v>
      </c>
      <c r="Q491" s="233">
        <v>30</v>
      </c>
      <c r="R491" s="400"/>
      <c r="S491" s="400"/>
      <c r="T491" s="401"/>
      <c r="U491" s="401"/>
      <c r="V491" s="401"/>
      <c r="W491" s="400"/>
      <c r="X491" s="400"/>
      <c r="Y491" s="401"/>
      <c r="Z491" s="401"/>
      <c r="AA491" s="401"/>
      <c r="AB491" s="402"/>
      <c r="AC491" s="402"/>
      <c r="AD491" s="402"/>
      <c r="AE491" s="402"/>
      <c r="AF491" s="402"/>
      <c r="AG491" s="332"/>
    </row>
    <row r="492" spans="1:33" s="333" customFormat="1" ht="18" customHeight="1">
      <c r="A492" s="382"/>
      <c r="B492" s="403" t="s">
        <v>1483</v>
      </c>
      <c r="C492" s="359"/>
      <c r="D492" s="359"/>
      <c r="E492" s="359"/>
      <c r="F492" s="359"/>
      <c r="G492" s="360"/>
      <c r="H492" s="360"/>
      <c r="I492" s="361"/>
      <c r="J492" s="361"/>
      <c r="K492" s="361"/>
      <c r="L492" s="361"/>
      <c r="M492" s="361"/>
      <c r="N492" s="361"/>
      <c r="O492" s="361"/>
      <c r="P492" s="361"/>
      <c r="Q492" s="233"/>
      <c r="R492" s="400"/>
      <c r="S492" s="400"/>
      <c r="T492" s="401"/>
      <c r="U492" s="401"/>
      <c r="V492" s="401"/>
      <c r="W492" s="400"/>
      <c r="X492" s="400"/>
      <c r="Y492" s="401"/>
      <c r="Z492" s="401"/>
      <c r="AA492" s="401"/>
      <c r="AB492" s="402"/>
      <c r="AC492" s="402"/>
      <c r="AD492" s="402"/>
      <c r="AE492" s="402"/>
      <c r="AF492" s="402"/>
      <c r="AG492" s="332"/>
    </row>
    <row r="493" spans="1:33" s="333" customFormat="1" ht="18" customHeight="1">
      <c r="A493" s="382"/>
      <c r="B493" s="358" t="s">
        <v>1457</v>
      </c>
      <c r="C493" s="359">
        <v>1</v>
      </c>
      <c r="D493" s="359">
        <v>1</v>
      </c>
      <c r="E493" s="359">
        <v>1</v>
      </c>
      <c r="F493" s="359">
        <v>1</v>
      </c>
      <c r="G493" s="360">
        <v>0.1</v>
      </c>
      <c r="H493" s="360">
        <v>0.1</v>
      </c>
      <c r="I493" s="361">
        <v>4</v>
      </c>
      <c r="J493" s="359" t="s">
        <v>1122</v>
      </c>
      <c r="K493" s="361">
        <v>4</v>
      </c>
      <c r="L493" s="359" t="s">
        <v>1122</v>
      </c>
      <c r="M493" s="361">
        <v>4</v>
      </c>
      <c r="N493" s="359" t="s">
        <v>1122</v>
      </c>
      <c r="O493" s="361">
        <v>4</v>
      </c>
      <c r="P493" s="359" t="s">
        <v>1122</v>
      </c>
      <c r="Q493" s="233">
        <v>30</v>
      </c>
      <c r="R493" s="400"/>
      <c r="S493" s="400"/>
      <c r="T493" s="401"/>
      <c r="U493" s="401"/>
      <c r="V493" s="401"/>
      <c r="W493" s="400"/>
      <c r="X493" s="400"/>
      <c r="Y493" s="401"/>
      <c r="Z493" s="401"/>
      <c r="AA493" s="401"/>
      <c r="AB493" s="402"/>
      <c r="AC493" s="402"/>
      <c r="AD493" s="402"/>
      <c r="AE493" s="402"/>
      <c r="AF493" s="402"/>
      <c r="AG493" s="332"/>
    </row>
    <row r="494" spans="1:33" s="333" customFormat="1" ht="18" customHeight="1">
      <c r="A494" s="382"/>
      <c r="B494" s="403" t="s">
        <v>1484</v>
      </c>
      <c r="C494" s="359"/>
      <c r="D494" s="359"/>
      <c r="E494" s="359"/>
      <c r="F494" s="359"/>
      <c r="G494" s="360"/>
      <c r="H494" s="360"/>
      <c r="I494" s="361"/>
      <c r="J494" s="361"/>
      <c r="K494" s="361"/>
      <c r="L494" s="361"/>
      <c r="M494" s="361"/>
      <c r="N494" s="361"/>
      <c r="O494" s="361"/>
      <c r="P494" s="361"/>
      <c r="Q494" s="233"/>
      <c r="R494" s="400"/>
      <c r="S494" s="400"/>
      <c r="T494" s="401"/>
      <c r="U494" s="401"/>
      <c r="V494" s="401"/>
      <c r="W494" s="400"/>
      <c r="X494" s="400"/>
      <c r="Y494" s="401"/>
      <c r="Z494" s="401"/>
      <c r="AA494" s="401"/>
      <c r="AB494" s="402"/>
      <c r="AC494" s="402"/>
      <c r="AD494" s="402"/>
      <c r="AE494" s="402"/>
      <c r="AF494" s="402"/>
      <c r="AG494" s="332"/>
    </row>
    <row r="495" spans="1:33" s="333" customFormat="1" ht="18" customHeight="1">
      <c r="A495" s="382"/>
      <c r="B495" s="358" t="s">
        <v>1457</v>
      </c>
      <c r="C495" s="359">
        <v>3</v>
      </c>
      <c r="D495" s="359">
        <v>3</v>
      </c>
      <c r="E495" s="359">
        <v>3</v>
      </c>
      <c r="F495" s="359">
        <v>3</v>
      </c>
      <c r="G495" s="360">
        <v>0.1</v>
      </c>
      <c r="H495" s="360">
        <v>0.1</v>
      </c>
      <c r="I495" s="361">
        <v>24</v>
      </c>
      <c r="J495" s="226" t="s">
        <v>996</v>
      </c>
      <c r="K495" s="361">
        <v>24</v>
      </c>
      <c r="L495" s="226" t="s">
        <v>996</v>
      </c>
      <c r="M495" s="361">
        <v>24</v>
      </c>
      <c r="N495" s="226" t="s">
        <v>996</v>
      </c>
      <c r="O495" s="361">
        <v>24</v>
      </c>
      <c r="P495" s="226" t="s">
        <v>996</v>
      </c>
      <c r="Q495" s="233">
        <v>30</v>
      </c>
      <c r="R495" s="400"/>
      <c r="S495" s="400"/>
      <c r="T495" s="401"/>
      <c r="U495" s="401"/>
      <c r="V495" s="401"/>
      <c r="W495" s="400"/>
      <c r="X495" s="400"/>
      <c r="Y495" s="401"/>
      <c r="Z495" s="401"/>
      <c r="AA495" s="401"/>
      <c r="AB495" s="402"/>
      <c r="AC495" s="402"/>
      <c r="AD495" s="402"/>
      <c r="AE495" s="402"/>
      <c r="AF495" s="402"/>
      <c r="AG495" s="332"/>
    </row>
    <row r="496" spans="1:33" s="333" customFormat="1" ht="18" customHeight="1">
      <c r="A496" s="382"/>
      <c r="B496" s="358" t="s">
        <v>1463</v>
      </c>
      <c r="C496" s="359">
        <v>1</v>
      </c>
      <c r="D496" s="359">
        <v>1</v>
      </c>
      <c r="E496" s="359">
        <v>1</v>
      </c>
      <c r="F496" s="359">
        <v>1</v>
      </c>
      <c r="G496" s="360">
        <v>0.5</v>
      </c>
      <c r="H496" s="360">
        <v>0.5</v>
      </c>
      <c r="I496" s="361">
        <v>2</v>
      </c>
      <c r="J496" s="404" t="s">
        <v>1292</v>
      </c>
      <c r="K496" s="361">
        <v>2</v>
      </c>
      <c r="L496" s="404" t="s">
        <v>1292</v>
      </c>
      <c r="M496" s="361">
        <v>2</v>
      </c>
      <c r="N496" s="404" t="s">
        <v>1292</v>
      </c>
      <c r="O496" s="361">
        <v>2</v>
      </c>
      <c r="P496" s="404" t="s">
        <v>1292</v>
      </c>
      <c r="Q496" s="233">
        <v>30</v>
      </c>
      <c r="R496" s="400"/>
      <c r="S496" s="400"/>
      <c r="T496" s="401"/>
      <c r="U496" s="401"/>
      <c r="V496" s="401"/>
      <c r="W496" s="400"/>
      <c r="X496" s="400"/>
      <c r="Y496" s="401"/>
      <c r="Z496" s="401"/>
      <c r="AA496" s="401"/>
      <c r="AB496" s="402"/>
      <c r="AC496" s="402"/>
      <c r="AD496" s="402"/>
      <c r="AE496" s="402"/>
      <c r="AF496" s="402"/>
      <c r="AG496" s="332"/>
    </row>
    <row r="497" spans="1:33" s="333" customFormat="1" ht="18" customHeight="1">
      <c r="A497" s="382"/>
      <c r="B497" s="403" t="s">
        <v>1485</v>
      </c>
      <c r="C497" s="359"/>
      <c r="D497" s="359"/>
      <c r="E497" s="359"/>
      <c r="F497" s="359"/>
      <c r="G497" s="360"/>
      <c r="H497" s="360"/>
      <c r="I497" s="361"/>
      <c r="J497" s="361"/>
      <c r="K497" s="361"/>
      <c r="L497" s="361"/>
      <c r="M497" s="361"/>
      <c r="N497" s="361"/>
      <c r="O497" s="361"/>
      <c r="P497" s="361"/>
      <c r="Q497" s="233"/>
      <c r="R497" s="400"/>
      <c r="S497" s="400"/>
      <c r="T497" s="401"/>
      <c r="U497" s="401"/>
      <c r="V497" s="401"/>
      <c r="W497" s="400"/>
      <c r="X497" s="400"/>
      <c r="Y497" s="401"/>
      <c r="Z497" s="401"/>
      <c r="AA497" s="401"/>
      <c r="AB497" s="402"/>
      <c r="AC497" s="402"/>
      <c r="AD497" s="402"/>
      <c r="AE497" s="402"/>
      <c r="AF497" s="402"/>
      <c r="AG497" s="332"/>
    </row>
    <row r="498" spans="1:33" s="333" customFormat="1" ht="18" customHeight="1">
      <c r="A498" s="382"/>
      <c r="B498" s="358" t="s">
        <v>1486</v>
      </c>
      <c r="C498" s="359">
        <v>1</v>
      </c>
      <c r="D498" s="359">
        <v>2</v>
      </c>
      <c r="E498" s="359">
        <v>2</v>
      </c>
      <c r="F498" s="359">
        <v>2</v>
      </c>
      <c r="G498" s="360">
        <v>3.4</v>
      </c>
      <c r="H498" s="360">
        <v>3.4</v>
      </c>
      <c r="I498" s="361">
        <v>12</v>
      </c>
      <c r="J498" s="405" t="s">
        <v>1580</v>
      </c>
      <c r="K498" s="361">
        <v>12</v>
      </c>
      <c r="L498" s="405" t="s">
        <v>1580</v>
      </c>
      <c r="M498" s="361">
        <v>12</v>
      </c>
      <c r="N498" s="405" t="s">
        <v>1580</v>
      </c>
      <c r="O498" s="361">
        <v>12</v>
      </c>
      <c r="P498" s="405" t="s">
        <v>1580</v>
      </c>
      <c r="Q498" s="233">
        <v>30</v>
      </c>
      <c r="R498" s="400"/>
      <c r="S498" s="400"/>
      <c r="T498" s="401"/>
      <c r="U498" s="401"/>
      <c r="V498" s="401"/>
      <c r="W498" s="400"/>
      <c r="X498" s="400"/>
      <c r="Y498" s="401"/>
      <c r="Z498" s="401"/>
      <c r="AA498" s="401"/>
      <c r="AB498" s="402"/>
      <c r="AC498" s="402"/>
      <c r="AD498" s="402"/>
      <c r="AE498" s="402"/>
      <c r="AF498" s="402"/>
      <c r="AG498" s="332"/>
    </row>
    <row r="499" spans="1:33" s="333" customFormat="1" ht="18" customHeight="1">
      <c r="A499" s="382"/>
      <c r="B499" s="358" t="s">
        <v>1487</v>
      </c>
      <c r="C499" s="359">
        <v>1</v>
      </c>
      <c r="D499" s="359">
        <v>1</v>
      </c>
      <c r="E499" s="359">
        <v>1</v>
      </c>
      <c r="F499" s="359"/>
      <c r="G499" s="360">
        <v>3.9</v>
      </c>
      <c r="H499" s="360">
        <v>3.9</v>
      </c>
      <c r="I499" s="361">
        <v>12</v>
      </c>
      <c r="J499" s="226" t="s">
        <v>1580</v>
      </c>
      <c r="K499" s="361">
        <v>12</v>
      </c>
      <c r="L499" s="226" t="s">
        <v>1580</v>
      </c>
      <c r="M499" s="361">
        <v>12</v>
      </c>
      <c r="N499" s="226" t="s">
        <v>1580</v>
      </c>
      <c r="O499" s="361">
        <v>12</v>
      </c>
      <c r="P499" s="226" t="s">
        <v>1580</v>
      </c>
      <c r="Q499" s="233">
        <v>30</v>
      </c>
      <c r="R499" s="400"/>
      <c r="S499" s="400"/>
      <c r="T499" s="401"/>
      <c r="U499" s="401"/>
      <c r="V499" s="401"/>
      <c r="W499" s="400"/>
      <c r="X499" s="400"/>
      <c r="Y499" s="401"/>
      <c r="Z499" s="401"/>
      <c r="AA499" s="401"/>
      <c r="AB499" s="402"/>
      <c r="AC499" s="402"/>
      <c r="AD499" s="402"/>
      <c r="AE499" s="402"/>
      <c r="AF499" s="402"/>
      <c r="AG499" s="332"/>
    </row>
    <row r="500" spans="1:33" s="333" customFormat="1" ht="18" customHeight="1">
      <c r="A500" s="382"/>
      <c r="B500" s="358" t="s">
        <v>1457</v>
      </c>
      <c r="C500" s="359">
        <v>1</v>
      </c>
      <c r="D500" s="359">
        <v>1</v>
      </c>
      <c r="E500" s="359">
        <v>1</v>
      </c>
      <c r="F500" s="359"/>
      <c r="G500" s="360">
        <v>0.1</v>
      </c>
      <c r="H500" s="360">
        <v>0.1</v>
      </c>
      <c r="I500" s="361">
        <v>24</v>
      </c>
      <c r="J500" s="226" t="s">
        <v>996</v>
      </c>
      <c r="K500" s="361">
        <v>24</v>
      </c>
      <c r="L500" s="226" t="s">
        <v>996</v>
      </c>
      <c r="M500" s="361">
        <v>24</v>
      </c>
      <c r="N500" s="226" t="s">
        <v>996</v>
      </c>
      <c r="O500" s="361">
        <v>24</v>
      </c>
      <c r="P500" s="226" t="s">
        <v>996</v>
      </c>
      <c r="Q500" s="233">
        <v>30</v>
      </c>
      <c r="R500" s="400"/>
      <c r="S500" s="400"/>
      <c r="T500" s="401"/>
      <c r="U500" s="401"/>
      <c r="V500" s="401"/>
      <c r="W500" s="400"/>
      <c r="X500" s="400"/>
      <c r="Y500" s="401"/>
      <c r="Z500" s="401"/>
      <c r="AA500" s="401"/>
      <c r="AB500" s="402"/>
      <c r="AC500" s="402"/>
      <c r="AD500" s="402"/>
      <c r="AE500" s="402"/>
      <c r="AF500" s="402"/>
      <c r="AG500" s="332"/>
    </row>
    <row r="501" spans="1:33" s="333" customFormat="1" ht="18" customHeight="1">
      <c r="A501" s="382"/>
      <c r="B501" s="403" t="s">
        <v>1488</v>
      </c>
      <c r="C501" s="359"/>
      <c r="D501" s="359"/>
      <c r="E501" s="359"/>
      <c r="F501" s="359"/>
      <c r="G501" s="360"/>
      <c r="H501" s="360"/>
      <c r="I501" s="361"/>
      <c r="J501" s="361"/>
      <c r="K501" s="361"/>
      <c r="L501" s="361"/>
      <c r="M501" s="361"/>
      <c r="N501" s="361"/>
      <c r="O501" s="361"/>
      <c r="P501" s="361"/>
      <c r="Q501" s="233"/>
      <c r="R501" s="400"/>
      <c r="S501" s="400"/>
      <c r="T501" s="401"/>
      <c r="U501" s="401"/>
      <c r="V501" s="401"/>
      <c r="W501" s="400"/>
      <c r="X501" s="400"/>
      <c r="Y501" s="401"/>
      <c r="Z501" s="401"/>
      <c r="AA501" s="401"/>
      <c r="AB501" s="402"/>
      <c r="AC501" s="402"/>
      <c r="AD501" s="402"/>
      <c r="AE501" s="402"/>
      <c r="AF501" s="402"/>
      <c r="AG501" s="332"/>
    </row>
    <row r="502" spans="1:33" s="333" customFormat="1" ht="18" customHeight="1">
      <c r="A502" s="382"/>
      <c r="B502" s="358" t="s">
        <v>1489</v>
      </c>
      <c r="C502" s="359">
        <v>2</v>
      </c>
      <c r="D502" s="359">
        <v>2</v>
      </c>
      <c r="E502" s="359">
        <v>4</v>
      </c>
      <c r="F502" s="359">
        <v>4</v>
      </c>
      <c r="G502" s="360">
        <v>0.75</v>
      </c>
      <c r="H502" s="360">
        <v>0.75</v>
      </c>
      <c r="I502" s="361">
        <v>0</v>
      </c>
      <c r="J502" s="361"/>
      <c r="K502" s="361">
        <v>0</v>
      </c>
      <c r="L502" s="361"/>
      <c r="M502" s="361">
        <v>0</v>
      </c>
      <c r="N502" s="361"/>
      <c r="O502" s="361">
        <v>0</v>
      </c>
      <c r="P502" s="361"/>
      <c r="Q502" s="233">
        <v>30</v>
      </c>
      <c r="R502" s="400"/>
      <c r="S502" s="400"/>
      <c r="T502" s="401"/>
      <c r="U502" s="401"/>
      <c r="V502" s="401"/>
      <c r="W502" s="400"/>
      <c r="X502" s="400"/>
      <c r="Y502" s="401"/>
      <c r="Z502" s="401"/>
      <c r="AA502" s="401"/>
      <c r="AB502" s="402"/>
      <c r="AC502" s="402"/>
      <c r="AD502" s="402"/>
      <c r="AE502" s="402"/>
      <c r="AF502" s="402"/>
      <c r="AG502" s="332"/>
    </row>
    <row r="503" spans="1:33" s="333" customFormat="1" ht="18" customHeight="1">
      <c r="A503" s="382"/>
      <c r="B503" s="403" t="s">
        <v>1490</v>
      </c>
      <c r="C503" s="359"/>
      <c r="D503" s="359"/>
      <c r="E503" s="359"/>
      <c r="F503" s="359"/>
      <c r="G503" s="360"/>
      <c r="H503" s="360"/>
      <c r="I503" s="361"/>
      <c r="J503" s="361"/>
      <c r="K503" s="361"/>
      <c r="L503" s="361"/>
      <c r="M503" s="361"/>
      <c r="N503" s="361"/>
      <c r="O503" s="361"/>
      <c r="P503" s="361"/>
      <c r="Q503" s="233"/>
      <c r="R503" s="400"/>
      <c r="S503" s="400"/>
      <c r="T503" s="401"/>
      <c r="U503" s="401"/>
      <c r="V503" s="401"/>
      <c r="W503" s="400"/>
      <c r="X503" s="400"/>
      <c r="Y503" s="401"/>
      <c r="Z503" s="401"/>
      <c r="AA503" s="401"/>
      <c r="AB503" s="402"/>
      <c r="AC503" s="402"/>
      <c r="AD503" s="402"/>
      <c r="AE503" s="402"/>
      <c r="AF503" s="402"/>
      <c r="AG503" s="332"/>
    </row>
    <row r="504" spans="1:33" s="333" customFormat="1" ht="18" customHeight="1">
      <c r="A504" s="382"/>
      <c r="B504" s="358" t="s">
        <v>1457</v>
      </c>
      <c r="C504" s="359">
        <v>2</v>
      </c>
      <c r="D504" s="359">
        <v>2</v>
      </c>
      <c r="E504" s="359">
        <v>2</v>
      </c>
      <c r="F504" s="359"/>
      <c r="G504" s="360">
        <v>0.1</v>
      </c>
      <c r="H504" s="360">
        <v>0.1</v>
      </c>
      <c r="I504" s="361">
        <v>24</v>
      </c>
      <c r="J504" s="226" t="s">
        <v>996</v>
      </c>
      <c r="K504" s="361">
        <v>24</v>
      </c>
      <c r="L504" s="226" t="s">
        <v>996</v>
      </c>
      <c r="M504" s="361">
        <v>24</v>
      </c>
      <c r="N504" s="226" t="s">
        <v>996</v>
      </c>
      <c r="O504" s="361">
        <v>24</v>
      </c>
      <c r="P504" s="226" t="s">
        <v>996</v>
      </c>
      <c r="Q504" s="233">
        <v>30</v>
      </c>
      <c r="R504" s="400"/>
      <c r="S504" s="400"/>
      <c r="T504" s="401"/>
      <c r="U504" s="401"/>
      <c r="V504" s="401"/>
      <c r="W504" s="400"/>
      <c r="X504" s="400"/>
      <c r="Y504" s="401"/>
      <c r="Z504" s="401"/>
      <c r="AA504" s="401"/>
      <c r="AB504" s="402"/>
      <c r="AC504" s="402"/>
      <c r="AD504" s="402"/>
      <c r="AE504" s="402"/>
      <c r="AF504" s="402"/>
      <c r="AG504" s="332"/>
    </row>
    <row r="505" spans="1:33" s="333" customFormat="1" ht="18" customHeight="1">
      <c r="A505" s="382"/>
      <c r="B505" s="403" t="s">
        <v>1491</v>
      </c>
      <c r="C505" s="359"/>
      <c r="D505" s="359"/>
      <c r="E505" s="359"/>
      <c r="F505" s="359"/>
      <c r="G505" s="360"/>
      <c r="H505" s="360"/>
      <c r="I505" s="361"/>
      <c r="J505" s="361"/>
      <c r="K505" s="361"/>
      <c r="L505" s="361"/>
      <c r="M505" s="361"/>
      <c r="N505" s="361"/>
      <c r="O505" s="361"/>
      <c r="P505" s="361"/>
      <c r="Q505" s="233"/>
      <c r="R505" s="400"/>
      <c r="S505" s="400"/>
      <c r="T505" s="401"/>
      <c r="U505" s="401"/>
      <c r="V505" s="401"/>
      <c r="W505" s="400"/>
      <c r="X505" s="400"/>
      <c r="Y505" s="401"/>
      <c r="Z505" s="401"/>
      <c r="AA505" s="401"/>
      <c r="AB505" s="402"/>
      <c r="AC505" s="402"/>
      <c r="AD505" s="402"/>
      <c r="AE505" s="402"/>
      <c r="AF505" s="402"/>
      <c r="AG505" s="332"/>
    </row>
    <row r="506" spans="1:33" s="333" customFormat="1" ht="18" customHeight="1">
      <c r="A506" s="382"/>
      <c r="B506" s="358" t="s">
        <v>1457</v>
      </c>
      <c r="C506" s="359">
        <v>1</v>
      </c>
      <c r="D506" s="359">
        <v>1</v>
      </c>
      <c r="E506" s="359">
        <v>1</v>
      </c>
      <c r="F506" s="359">
        <v>1</v>
      </c>
      <c r="G506" s="360">
        <v>0.1</v>
      </c>
      <c r="H506" s="360">
        <v>0.1</v>
      </c>
      <c r="I506" s="361">
        <v>24</v>
      </c>
      <c r="J506" s="226" t="s">
        <v>996</v>
      </c>
      <c r="K506" s="361">
        <v>24</v>
      </c>
      <c r="L506" s="226" t="s">
        <v>996</v>
      </c>
      <c r="M506" s="361">
        <v>24</v>
      </c>
      <c r="N506" s="226" t="s">
        <v>996</v>
      </c>
      <c r="O506" s="361">
        <v>24</v>
      </c>
      <c r="P506" s="226" t="s">
        <v>996</v>
      </c>
      <c r="Q506" s="233">
        <v>30</v>
      </c>
      <c r="R506" s="400"/>
      <c r="S506" s="400"/>
      <c r="T506" s="401"/>
      <c r="U506" s="401"/>
      <c r="V506" s="401"/>
      <c r="W506" s="400"/>
      <c r="X506" s="400"/>
      <c r="Y506" s="401"/>
      <c r="Z506" s="401"/>
      <c r="AA506" s="401"/>
      <c r="AB506" s="402"/>
      <c r="AC506" s="402"/>
      <c r="AD506" s="402"/>
      <c r="AE506" s="402"/>
      <c r="AF506" s="402"/>
      <c r="AG506" s="332"/>
    </row>
    <row r="507" spans="1:33" s="333" customFormat="1" ht="18" customHeight="1">
      <c r="A507" s="382"/>
      <c r="B507" s="358" t="s">
        <v>1492</v>
      </c>
      <c r="C507" s="359">
        <v>1</v>
      </c>
      <c r="D507" s="359">
        <v>1</v>
      </c>
      <c r="E507" s="359">
        <v>1</v>
      </c>
      <c r="F507" s="359">
        <v>1</v>
      </c>
      <c r="G507" s="360">
        <v>1.5</v>
      </c>
      <c r="H507" s="360">
        <v>1.5</v>
      </c>
      <c r="I507" s="361">
        <v>2</v>
      </c>
      <c r="J507" s="404" t="s">
        <v>1292</v>
      </c>
      <c r="K507" s="361">
        <v>2</v>
      </c>
      <c r="L507" s="404" t="s">
        <v>1292</v>
      </c>
      <c r="M507" s="361">
        <v>2</v>
      </c>
      <c r="N507" s="404" t="s">
        <v>1292</v>
      </c>
      <c r="O507" s="361">
        <v>2</v>
      </c>
      <c r="P507" s="404" t="s">
        <v>1292</v>
      </c>
      <c r="Q507" s="233">
        <v>30</v>
      </c>
      <c r="R507" s="400"/>
      <c r="S507" s="400"/>
      <c r="T507" s="401"/>
      <c r="U507" s="401"/>
      <c r="V507" s="401"/>
      <c r="W507" s="400"/>
      <c r="X507" s="400"/>
      <c r="Y507" s="401"/>
      <c r="Z507" s="401"/>
      <c r="AA507" s="401"/>
      <c r="AB507" s="402"/>
      <c r="AC507" s="402"/>
      <c r="AD507" s="402"/>
      <c r="AE507" s="402"/>
      <c r="AF507" s="402"/>
      <c r="AG507" s="332"/>
    </row>
    <row r="508" spans="1:33" s="333" customFormat="1" ht="18" customHeight="1">
      <c r="A508" s="382"/>
      <c r="B508" s="358" t="s">
        <v>1493</v>
      </c>
      <c r="C508" s="359">
        <v>1</v>
      </c>
      <c r="D508" s="359">
        <v>1</v>
      </c>
      <c r="E508" s="359">
        <v>1</v>
      </c>
      <c r="F508" s="359">
        <v>1</v>
      </c>
      <c r="G508" s="360">
        <v>0.75</v>
      </c>
      <c r="H508" s="360">
        <v>0.75</v>
      </c>
      <c r="I508" s="361">
        <v>2</v>
      </c>
      <c r="J508" s="404" t="s">
        <v>1292</v>
      </c>
      <c r="K508" s="361">
        <v>2</v>
      </c>
      <c r="L508" s="404" t="s">
        <v>1292</v>
      </c>
      <c r="M508" s="361">
        <v>2</v>
      </c>
      <c r="N508" s="404" t="s">
        <v>1292</v>
      </c>
      <c r="O508" s="361">
        <v>2</v>
      </c>
      <c r="P508" s="404" t="s">
        <v>1292</v>
      </c>
      <c r="Q508" s="233">
        <v>30</v>
      </c>
      <c r="R508" s="400"/>
      <c r="S508" s="400"/>
      <c r="T508" s="401"/>
      <c r="U508" s="401"/>
      <c r="V508" s="401"/>
      <c r="W508" s="400"/>
      <c r="X508" s="400"/>
      <c r="Y508" s="401"/>
      <c r="Z508" s="401"/>
      <c r="AA508" s="401"/>
      <c r="AB508" s="402"/>
      <c r="AC508" s="402"/>
      <c r="AD508" s="402"/>
      <c r="AE508" s="402"/>
      <c r="AF508" s="402"/>
      <c r="AG508" s="332"/>
    </row>
    <row r="509" spans="1:33" s="333" customFormat="1" ht="18" customHeight="1">
      <c r="A509" s="382"/>
      <c r="B509" s="403" t="s">
        <v>1494</v>
      </c>
      <c r="C509" s="359"/>
      <c r="D509" s="359"/>
      <c r="E509" s="359"/>
      <c r="F509" s="359"/>
      <c r="G509" s="360"/>
      <c r="H509" s="360"/>
      <c r="I509" s="361"/>
      <c r="J509" s="361"/>
      <c r="K509" s="361"/>
      <c r="L509" s="361"/>
      <c r="M509" s="361"/>
      <c r="N509" s="361"/>
      <c r="O509" s="361"/>
      <c r="P509" s="361"/>
      <c r="Q509" s="233"/>
      <c r="R509" s="400"/>
      <c r="S509" s="400"/>
      <c r="T509" s="401"/>
      <c r="U509" s="401"/>
      <c r="V509" s="401"/>
      <c r="W509" s="400"/>
      <c r="X509" s="400"/>
      <c r="Y509" s="401"/>
      <c r="Z509" s="401"/>
      <c r="AA509" s="401"/>
      <c r="AB509" s="402"/>
      <c r="AC509" s="402"/>
      <c r="AD509" s="402"/>
      <c r="AE509" s="402"/>
      <c r="AF509" s="402"/>
      <c r="AG509" s="332"/>
    </row>
    <row r="510" spans="1:33" s="333" customFormat="1" ht="18" customHeight="1">
      <c r="A510" s="382"/>
      <c r="B510" s="358" t="s">
        <v>1495</v>
      </c>
      <c r="C510" s="359">
        <v>1</v>
      </c>
      <c r="D510" s="359">
        <v>1</v>
      </c>
      <c r="E510" s="359">
        <v>1</v>
      </c>
      <c r="F510" s="359">
        <v>1</v>
      </c>
      <c r="G510" s="360">
        <v>6.5</v>
      </c>
      <c r="H510" s="360">
        <v>6.5</v>
      </c>
      <c r="I510" s="361">
        <v>12</v>
      </c>
      <c r="J510" s="404"/>
      <c r="K510" s="361">
        <v>12</v>
      </c>
      <c r="L510" s="404"/>
      <c r="M510" s="361">
        <v>12</v>
      </c>
      <c r="N510" s="404"/>
      <c r="O510" s="361">
        <v>12</v>
      </c>
      <c r="P510" s="404"/>
      <c r="Q510" s="233">
        <v>30</v>
      </c>
      <c r="R510" s="400"/>
      <c r="S510" s="400"/>
      <c r="T510" s="401"/>
      <c r="U510" s="401"/>
      <c r="V510" s="401"/>
      <c r="W510" s="400"/>
      <c r="X510" s="400"/>
      <c r="Y510" s="401"/>
      <c r="Z510" s="401"/>
      <c r="AA510" s="401"/>
      <c r="AB510" s="402"/>
      <c r="AC510" s="402"/>
      <c r="AD510" s="402"/>
      <c r="AE510" s="402"/>
      <c r="AF510" s="402"/>
      <c r="AG510" s="332"/>
    </row>
    <row r="511" spans="1:33" s="333" customFormat="1" ht="18" customHeight="1">
      <c r="A511" s="382"/>
      <c r="B511" s="358" t="s">
        <v>1496</v>
      </c>
      <c r="C511" s="359">
        <v>1</v>
      </c>
      <c r="D511" s="359">
        <v>1</v>
      </c>
      <c r="E511" s="359">
        <v>1</v>
      </c>
      <c r="F511" s="359">
        <v>1</v>
      </c>
      <c r="G511" s="360"/>
      <c r="H511" s="360"/>
      <c r="I511" s="361">
        <v>12</v>
      </c>
      <c r="J511" s="361"/>
      <c r="K511" s="361">
        <v>12</v>
      </c>
      <c r="L511" s="361"/>
      <c r="M511" s="361">
        <v>12</v>
      </c>
      <c r="N511" s="361"/>
      <c r="O511" s="361">
        <v>12</v>
      </c>
      <c r="P511" s="361"/>
      <c r="Q511" s="233">
        <v>30</v>
      </c>
      <c r="R511" s="400"/>
      <c r="S511" s="400"/>
      <c r="T511" s="401"/>
      <c r="U511" s="401"/>
      <c r="V511" s="401"/>
      <c r="W511" s="400"/>
      <c r="X511" s="400"/>
      <c r="Y511" s="401"/>
      <c r="Z511" s="401"/>
      <c r="AA511" s="401"/>
      <c r="AB511" s="402"/>
      <c r="AC511" s="402"/>
      <c r="AD511" s="402"/>
      <c r="AE511" s="402"/>
      <c r="AF511" s="402"/>
      <c r="AG511" s="332"/>
    </row>
    <row r="512" spans="1:33" s="333" customFormat="1" ht="18" customHeight="1">
      <c r="A512" s="382"/>
      <c r="B512" s="403" t="s">
        <v>1497</v>
      </c>
      <c r="C512" s="359"/>
      <c r="D512" s="359"/>
      <c r="E512" s="359"/>
      <c r="F512" s="359"/>
      <c r="G512" s="360"/>
      <c r="H512" s="360"/>
      <c r="I512" s="361"/>
      <c r="J512" s="361"/>
      <c r="K512" s="361"/>
      <c r="L512" s="361"/>
      <c r="M512" s="361"/>
      <c r="N512" s="361"/>
      <c r="O512" s="361"/>
      <c r="P512" s="361"/>
      <c r="Q512" s="233"/>
      <c r="R512" s="400"/>
      <c r="S512" s="400"/>
      <c r="T512" s="401"/>
      <c r="U512" s="401"/>
      <c r="V512" s="401"/>
      <c r="W512" s="400"/>
      <c r="X512" s="400"/>
      <c r="Y512" s="401"/>
      <c r="Z512" s="401"/>
      <c r="AA512" s="401"/>
      <c r="AB512" s="402"/>
      <c r="AC512" s="402"/>
      <c r="AD512" s="402"/>
      <c r="AE512" s="402"/>
      <c r="AF512" s="402"/>
      <c r="AG512" s="332"/>
    </row>
    <row r="513" spans="1:33" s="333" customFormat="1" ht="18" customHeight="1">
      <c r="A513" s="382"/>
      <c r="B513" s="358" t="s">
        <v>1498</v>
      </c>
      <c r="C513" s="359">
        <v>1</v>
      </c>
      <c r="D513" s="359">
        <v>1</v>
      </c>
      <c r="E513" s="359">
        <v>1</v>
      </c>
      <c r="F513" s="359">
        <v>1</v>
      </c>
      <c r="G513" s="360">
        <v>5</v>
      </c>
      <c r="H513" s="360">
        <v>5</v>
      </c>
      <c r="I513" s="361">
        <v>12</v>
      </c>
      <c r="J513" s="404"/>
      <c r="K513" s="361">
        <v>12</v>
      </c>
      <c r="L513" s="404"/>
      <c r="M513" s="361">
        <v>12</v>
      </c>
      <c r="N513" s="404"/>
      <c r="O513" s="361">
        <v>12</v>
      </c>
      <c r="P513" s="404"/>
      <c r="Q513" s="233">
        <v>30</v>
      </c>
      <c r="R513" s="400"/>
      <c r="S513" s="400"/>
      <c r="T513" s="401"/>
      <c r="U513" s="401"/>
      <c r="V513" s="401"/>
      <c r="W513" s="400"/>
      <c r="X513" s="400"/>
      <c r="Y513" s="401"/>
      <c r="Z513" s="401"/>
      <c r="AA513" s="401"/>
      <c r="AB513" s="402"/>
      <c r="AC513" s="402"/>
      <c r="AD513" s="402"/>
      <c r="AE513" s="402"/>
      <c r="AF513" s="402"/>
      <c r="AG513" s="332"/>
    </row>
    <row r="514" spans="1:33" s="333" customFormat="1" ht="18" customHeight="1">
      <c r="A514" s="382"/>
      <c r="B514" s="358" t="s">
        <v>1499</v>
      </c>
      <c r="C514" s="359">
        <v>1</v>
      </c>
      <c r="D514" s="359">
        <v>1</v>
      </c>
      <c r="E514" s="359">
        <v>1</v>
      </c>
      <c r="F514" s="359">
        <v>1</v>
      </c>
      <c r="G514" s="360">
        <v>5</v>
      </c>
      <c r="H514" s="360">
        <v>5</v>
      </c>
      <c r="I514" s="361">
        <v>12</v>
      </c>
      <c r="J514" s="404"/>
      <c r="K514" s="361">
        <v>12</v>
      </c>
      <c r="L514" s="404"/>
      <c r="M514" s="361">
        <v>12</v>
      </c>
      <c r="N514" s="404"/>
      <c r="O514" s="361">
        <v>12</v>
      </c>
      <c r="P514" s="404"/>
      <c r="Q514" s="233">
        <v>30</v>
      </c>
      <c r="R514" s="400"/>
      <c r="S514" s="400"/>
      <c r="T514" s="401"/>
      <c r="U514" s="401"/>
      <c r="V514" s="401"/>
      <c r="W514" s="400"/>
      <c r="X514" s="400"/>
      <c r="Y514" s="401"/>
      <c r="Z514" s="401"/>
      <c r="AA514" s="401"/>
      <c r="AB514" s="402"/>
      <c r="AC514" s="402"/>
      <c r="AD514" s="402"/>
      <c r="AE514" s="402"/>
      <c r="AF514" s="402"/>
      <c r="AG514" s="332"/>
    </row>
    <row r="515" spans="1:33" s="333" customFormat="1" ht="18" customHeight="1">
      <c r="A515" s="382"/>
      <c r="B515" s="403" t="s">
        <v>1500</v>
      </c>
      <c r="C515" s="359"/>
      <c r="D515" s="359"/>
      <c r="E515" s="359"/>
      <c r="F515" s="359"/>
      <c r="G515" s="360"/>
      <c r="H515" s="360"/>
      <c r="I515" s="361"/>
      <c r="J515" s="361"/>
      <c r="K515" s="361"/>
      <c r="L515" s="361"/>
      <c r="M515" s="361"/>
      <c r="N515" s="361"/>
      <c r="O515" s="361"/>
      <c r="P515" s="361"/>
      <c r="Q515" s="233"/>
      <c r="R515" s="400"/>
      <c r="S515" s="400"/>
      <c r="T515" s="401"/>
      <c r="U515" s="401"/>
      <c r="V515" s="401"/>
      <c r="W515" s="400"/>
      <c r="X515" s="400"/>
      <c r="Y515" s="401"/>
      <c r="Z515" s="401"/>
      <c r="AA515" s="401"/>
      <c r="AB515" s="402"/>
      <c r="AC515" s="402"/>
      <c r="AD515" s="402"/>
      <c r="AE515" s="402"/>
      <c r="AF515" s="402"/>
      <c r="AG515" s="332"/>
    </row>
    <row r="516" spans="1:33" s="333" customFormat="1" ht="18" customHeight="1">
      <c r="A516" s="382"/>
      <c r="B516" s="358" t="s">
        <v>1501</v>
      </c>
      <c r="C516" s="359">
        <v>1</v>
      </c>
      <c r="D516" s="359">
        <v>1</v>
      </c>
      <c r="E516" s="359">
        <v>1</v>
      </c>
      <c r="F516" s="359">
        <v>1</v>
      </c>
      <c r="G516" s="360">
        <v>6</v>
      </c>
      <c r="H516" s="360">
        <v>6</v>
      </c>
      <c r="I516" s="361">
        <v>12</v>
      </c>
      <c r="J516" s="404"/>
      <c r="K516" s="361">
        <v>12</v>
      </c>
      <c r="L516" s="404"/>
      <c r="M516" s="361">
        <v>12</v>
      </c>
      <c r="N516" s="404"/>
      <c r="O516" s="361">
        <v>12</v>
      </c>
      <c r="P516" s="404"/>
      <c r="Q516" s="233">
        <v>30</v>
      </c>
      <c r="R516" s="400"/>
      <c r="S516" s="400"/>
      <c r="T516" s="401"/>
      <c r="U516" s="401"/>
      <c r="V516" s="401"/>
      <c r="W516" s="400"/>
      <c r="X516" s="400"/>
      <c r="Y516" s="401"/>
      <c r="Z516" s="401"/>
      <c r="AA516" s="401"/>
      <c r="AB516" s="402"/>
      <c r="AC516" s="402"/>
      <c r="AD516" s="402"/>
      <c r="AE516" s="402"/>
      <c r="AF516" s="402"/>
      <c r="AG516" s="332"/>
    </row>
    <row r="517" spans="1:33" s="333" customFormat="1" ht="18" customHeight="1">
      <c r="A517" s="382"/>
      <c r="B517" s="358" t="s">
        <v>1502</v>
      </c>
      <c r="C517" s="359">
        <v>1</v>
      </c>
      <c r="D517" s="359">
        <v>1</v>
      </c>
      <c r="E517" s="359">
        <v>1</v>
      </c>
      <c r="F517" s="359">
        <v>1</v>
      </c>
      <c r="G517" s="360">
        <v>5</v>
      </c>
      <c r="H517" s="360">
        <v>5</v>
      </c>
      <c r="I517" s="361">
        <v>12</v>
      </c>
      <c r="J517" s="404"/>
      <c r="K517" s="361">
        <v>12</v>
      </c>
      <c r="L517" s="404"/>
      <c r="M517" s="361">
        <v>12</v>
      </c>
      <c r="N517" s="404"/>
      <c r="O517" s="361">
        <v>12</v>
      </c>
      <c r="P517" s="404"/>
      <c r="Q517" s="233">
        <v>30</v>
      </c>
      <c r="R517" s="400"/>
      <c r="S517" s="400"/>
      <c r="T517" s="401"/>
      <c r="U517" s="401"/>
      <c r="V517" s="401"/>
      <c r="W517" s="400"/>
      <c r="X517" s="400"/>
      <c r="Y517" s="401"/>
      <c r="Z517" s="401"/>
      <c r="AA517" s="401"/>
      <c r="AB517" s="402"/>
      <c r="AC517" s="402"/>
      <c r="AD517" s="402"/>
      <c r="AE517" s="402"/>
      <c r="AF517" s="402"/>
      <c r="AG517" s="332"/>
    </row>
    <row r="518" spans="1:33" s="333" customFormat="1" ht="18" customHeight="1">
      <c r="A518" s="382"/>
      <c r="B518" s="358" t="s">
        <v>1457</v>
      </c>
      <c r="C518" s="359">
        <v>1</v>
      </c>
      <c r="D518" s="359">
        <v>1</v>
      </c>
      <c r="E518" s="359">
        <v>1</v>
      </c>
      <c r="F518" s="359">
        <v>1</v>
      </c>
      <c r="G518" s="360">
        <v>0.1</v>
      </c>
      <c r="H518" s="360">
        <v>0.1</v>
      </c>
      <c r="I518" s="361">
        <v>24</v>
      </c>
      <c r="J518" s="226" t="s">
        <v>996</v>
      </c>
      <c r="K518" s="361">
        <v>24</v>
      </c>
      <c r="L518" s="226" t="s">
        <v>996</v>
      </c>
      <c r="M518" s="361">
        <v>24</v>
      </c>
      <c r="N518" s="226" t="s">
        <v>996</v>
      </c>
      <c r="O518" s="361">
        <v>24</v>
      </c>
      <c r="P518" s="226" t="s">
        <v>996</v>
      </c>
      <c r="Q518" s="233">
        <v>30</v>
      </c>
      <c r="R518" s="400"/>
      <c r="S518" s="400"/>
      <c r="T518" s="401"/>
      <c r="U518" s="401"/>
      <c r="V518" s="401"/>
      <c r="W518" s="400"/>
      <c r="X518" s="400"/>
      <c r="Y518" s="401"/>
      <c r="Z518" s="401"/>
      <c r="AA518" s="401"/>
      <c r="AB518" s="402"/>
      <c r="AC518" s="402"/>
      <c r="AD518" s="402"/>
      <c r="AE518" s="402"/>
      <c r="AF518" s="402"/>
      <c r="AG518" s="332"/>
    </row>
    <row r="519" spans="1:33" s="333" customFormat="1" ht="18" customHeight="1">
      <c r="A519" s="382"/>
      <c r="B519" s="403" t="s">
        <v>1503</v>
      </c>
      <c r="C519" s="359"/>
      <c r="D519" s="359"/>
      <c r="E519" s="359"/>
      <c r="F519" s="359"/>
      <c r="G519" s="360"/>
      <c r="H519" s="360"/>
      <c r="I519" s="361"/>
      <c r="J519" s="361"/>
      <c r="K519" s="361"/>
      <c r="L519" s="361"/>
      <c r="M519" s="361"/>
      <c r="N519" s="361"/>
      <c r="O519" s="361"/>
      <c r="P519" s="361"/>
      <c r="Q519" s="233"/>
      <c r="R519" s="400"/>
      <c r="S519" s="400"/>
      <c r="T519" s="401"/>
      <c r="U519" s="401"/>
      <c r="V519" s="401"/>
      <c r="W519" s="400"/>
      <c r="X519" s="400"/>
      <c r="Y519" s="401"/>
      <c r="Z519" s="401"/>
      <c r="AA519" s="401"/>
      <c r="AB519" s="402"/>
      <c r="AC519" s="402"/>
      <c r="AD519" s="402"/>
      <c r="AE519" s="402"/>
      <c r="AF519" s="402"/>
      <c r="AG519" s="332"/>
    </row>
    <row r="520" spans="1:33" s="333" customFormat="1" ht="18" customHeight="1">
      <c r="A520" s="382"/>
      <c r="B520" s="358" t="s">
        <v>1457</v>
      </c>
      <c r="C520" s="359">
        <v>2</v>
      </c>
      <c r="D520" s="359">
        <v>2</v>
      </c>
      <c r="E520" s="359">
        <v>2</v>
      </c>
      <c r="F520" s="359">
        <v>2</v>
      </c>
      <c r="G520" s="360">
        <v>0.1</v>
      </c>
      <c r="H520" s="360">
        <v>0.1</v>
      </c>
      <c r="I520" s="361">
        <v>24</v>
      </c>
      <c r="J520" s="226" t="s">
        <v>996</v>
      </c>
      <c r="K520" s="361">
        <v>24</v>
      </c>
      <c r="L520" s="226" t="s">
        <v>996</v>
      </c>
      <c r="M520" s="361">
        <v>24</v>
      </c>
      <c r="N520" s="226" t="s">
        <v>996</v>
      </c>
      <c r="O520" s="361">
        <v>24</v>
      </c>
      <c r="P520" s="226" t="s">
        <v>996</v>
      </c>
      <c r="Q520" s="233">
        <v>30</v>
      </c>
      <c r="R520" s="400"/>
      <c r="S520" s="400"/>
      <c r="T520" s="401"/>
      <c r="U520" s="401"/>
      <c r="V520" s="401"/>
      <c r="W520" s="400"/>
      <c r="X520" s="400"/>
      <c r="Y520" s="401"/>
      <c r="Z520" s="401"/>
      <c r="AA520" s="401"/>
      <c r="AB520" s="402"/>
      <c r="AC520" s="402"/>
      <c r="AD520" s="402"/>
      <c r="AE520" s="402"/>
      <c r="AF520" s="402"/>
      <c r="AG520" s="332"/>
    </row>
    <row r="521" spans="1:33" s="333" customFormat="1" ht="39" customHeight="1">
      <c r="A521" s="382"/>
      <c r="B521" s="403" t="s">
        <v>1504</v>
      </c>
      <c r="C521" s="359"/>
      <c r="D521" s="359"/>
      <c r="E521" s="359"/>
      <c r="F521" s="359"/>
      <c r="G521" s="360"/>
      <c r="H521" s="360"/>
      <c r="I521" s="361"/>
      <c r="J521" s="361"/>
      <c r="K521" s="361"/>
      <c r="L521" s="361"/>
      <c r="M521" s="361"/>
      <c r="N521" s="361"/>
      <c r="O521" s="361"/>
      <c r="P521" s="361"/>
      <c r="Q521" s="233"/>
      <c r="R521" s="400"/>
      <c r="S521" s="400"/>
      <c r="T521" s="401"/>
      <c r="U521" s="401"/>
      <c r="V521" s="401"/>
      <c r="W521" s="400"/>
      <c r="X521" s="400"/>
      <c r="Y521" s="401"/>
      <c r="Z521" s="401"/>
      <c r="AA521" s="401"/>
      <c r="AB521" s="402"/>
      <c r="AC521" s="402"/>
      <c r="AD521" s="402"/>
      <c r="AE521" s="402"/>
      <c r="AF521" s="402"/>
      <c r="AG521" s="332"/>
    </row>
    <row r="522" spans="1:33" s="333" customFormat="1" ht="18" customHeight="1">
      <c r="A522" s="382"/>
      <c r="B522" s="358" t="s">
        <v>1505</v>
      </c>
      <c r="C522" s="359">
        <v>1</v>
      </c>
      <c r="D522" s="359">
        <v>1</v>
      </c>
      <c r="E522" s="359">
        <v>1</v>
      </c>
      <c r="F522" s="359">
        <v>1</v>
      </c>
      <c r="G522" s="360">
        <v>7.5</v>
      </c>
      <c r="H522" s="360">
        <v>7.5</v>
      </c>
      <c r="I522" s="361">
        <v>12</v>
      </c>
      <c r="J522" s="404"/>
      <c r="K522" s="361">
        <v>12</v>
      </c>
      <c r="L522" s="404"/>
      <c r="M522" s="361">
        <v>12</v>
      </c>
      <c r="N522" s="361"/>
      <c r="O522" s="361">
        <v>12</v>
      </c>
      <c r="P522" s="361"/>
      <c r="Q522" s="233">
        <v>30</v>
      </c>
      <c r="R522" s="400"/>
      <c r="S522" s="400"/>
      <c r="T522" s="401"/>
      <c r="U522" s="401"/>
      <c r="V522" s="401"/>
      <c r="W522" s="400"/>
      <c r="X522" s="400"/>
      <c r="Y522" s="401"/>
      <c r="Z522" s="401"/>
      <c r="AA522" s="401"/>
      <c r="AB522" s="402"/>
      <c r="AC522" s="402"/>
      <c r="AD522" s="402"/>
      <c r="AE522" s="402"/>
      <c r="AF522" s="402"/>
      <c r="AG522" s="332"/>
    </row>
    <row r="523" spans="1:33" s="333" customFormat="1" ht="18" customHeight="1">
      <c r="A523" s="382"/>
      <c r="B523" s="358" t="s">
        <v>1506</v>
      </c>
      <c r="C523" s="359">
        <v>1</v>
      </c>
      <c r="D523" s="359">
        <v>1</v>
      </c>
      <c r="E523" s="359">
        <v>1</v>
      </c>
      <c r="F523" s="359">
        <v>1</v>
      </c>
      <c r="G523" s="360">
        <v>5</v>
      </c>
      <c r="H523" s="360">
        <v>5</v>
      </c>
      <c r="I523" s="361">
        <v>12</v>
      </c>
      <c r="J523" s="404"/>
      <c r="K523" s="361">
        <v>12</v>
      </c>
      <c r="L523" s="404"/>
      <c r="M523" s="361">
        <v>12</v>
      </c>
      <c r="N523" s="361"/>
      <c r="O523" s="361">
        <v>12</v>
      </c>
      <c r="P523" s="361"/>
      <c r="Q523" s="233">
        <v>30</v>
      </c>
      <c r="R523" s="400"/>
      <c r="S523" s="400"/>
      <c r="T523" s="401"/>
      <c r="U523" s="401"/>
      <c r="V523" s="401"/>
      <c r="W523" s="400"/>
      <c r="X523" s="400"/>
      <c r="Y523" s="401"/>
      <c r="Z523" s="401"/>
      <c r="AA523" s="401"/>
      <c r="AB523" s="402"/>
      <c r="AC523" s="402"/>
      <c r="AD523" s="402"/>
      <c r="AE523" s="402"/>
      <c r="AF523" s="402"/>
      <c r="AG523" s="332"/>
    </row>
    <row r="524" spans="1:33" s="333" customFormat="1" ht="30.75" customHeight="1">
      <c r="A524" s="382"/>
      <c r="B524" s="403" t="s">
        <v>1507</v>
      </c>
      <c r="C524" s="359"/>
      <c r="D524" s="359"/>
      <c r="E524" s="359"/>
      <c r="F524" s="359"/>
      <c r="G524" s="360"/>
      <c r="H524" s="360"/>
      <c r="I524" s="361"/>
      <c r="J524" s="361"/>
      <c r="K524" s="361"/>
      <c r="L524" s="361"/>
      <c r="M524" s="361"/>
      <c r="N524" s="361"/>
      <c r="O524" s="361"/>
      <c r="P524" s="361"/>
      <c r="Q524" s="233"/>
      <c r="R524" s="400"/>
      <c r="S524" s="400"/>
      <c r="T524" s="401"/>
      <c r="U524" s="401"/>
      <c r="V524" s="401"/>
      <c r="W524" s="400"/>
      <c r="X524" s="400"/>
      <c r="Y524" s="401"/>
      <c r="Z524" s="401"/>
      <c r="AA524" s="401"/>
      <c r="AB524" s="402"/>
      <c r="AC524" s="402"/>
      <c r="AD524" s="402"/>
      <c r="AE524" s="402"/>
      <c r="AF524" s="402"/>
      <c r="AG524" s="332"/>
    </row>
    <row r="525" spans="1:33" s="333" customFormat="1" ht="18" customHeight="1">
      <c r="A525" s="382"/>
      <c r="B525" s="358" t="s">
        <v>1508</v>
      </c>
      <c r="C525" s="359">
        <v>1</v>
      </c>
      <c r="D525" s="359">
        <v>1</v>
      </c>
      <c r="E525" s="359">
        <v>1</v>
      </c>
      <c r="F525" s="359">
        <v>1</v>
      </c>
      <c r="G525" s="360">
        <v>7.5</v>
      </c>
      <c r="H525" s="360">
        <v>7.5</v>
      </c>
      <c r="I525" s="361">
        <v>12</v>
      </c>
      <c r="J525" s="361"/>
      <c r="K525" s="361">
        <v>12</v>
      </c>
      <c r="L525" s="361"/>
      <c r="M525" s="361">
        <v>12</v>
      </c>
      <c r="N525" s="361"/>
      <c r="O525" s="361">
        <v>12</v>
      </c>
      <c r="P525" s="361"/>
      <c r="Q525" s="233">
        <v>30</v>
      </c>
      <c r="R525" s="400"/>
      <c r="S525" s="400"/>
      <c r="T525" s="401"/>
      <c r="U525" s="401"/>
      <c r="V525" s="401"/>
      <c r="W525" s="400"/>
      <c r="X525" s="400"/>
      <c r="Y525" s="401"/>
      <c r="Z525" s="401"/>
      <c r="AA525" s="401"/>
      <c r="AB525" s="402"/>
      <c r="AC525" s="402"/>
      <c r="AD525" s="402"/>
      <c r="AE525" s="402"/>
      <c r="AF525" s="402"/>
      <c r="AG525" s="332"/>
    </row>
    <row r="526" spans="1:33" s="333" customFormat="1" ht="18" customHeight="1">
      <c r="A526" s="382"/>
      <c r="B526" s="358" t="s">
        <v>1506</v>
      </c>
      <c r="C526" s="359">
        <v>1</v>
      </c>
      <c r="D526" s="359">
        <v>1</v>
      </c>
      <c r="E526" s="359">
        <v>1</v>
      </c>
      <c r="F526" s="359">
        <v>1</v>
      </c>
      <c r="G526" s="360">
        <v>5</v>
      </c>
      <c r="H526" s="360">
        <v>5</v>
      </c>
      <c r="I526" s="361">
        <v>12</v>
      </c>
      <c r="J526" s="361"/>
      <c r="K526" s="361">
        <v>12</v>
      </c>
      <c r="L526" s="361"/>
      <c r="M526" s="361">
        <v>12</v>
      </c>
      <c r="N526" s="361"/>
      <c r="O526" s="361">
        <v>12</v>
      </c>
      <c r="P526" s="361"/>
      <c r="Q526" s="233">
        <v>30</v>
      </c>
      <c r="R526" s="400"/>
      <c r="S526" s="400"/>
      <c r="T526" s="401"/>
      <c r="U526" s="401"/>
      <c r="V526" s="401"/>
      <c r="W526" s="400"/>
      <c r="X526" s="400"/>
      <c r="Y526" s="401"/>
      <c r="Z526" s="401"/>
      <c r="AA526" s="401"/>
      <c r="AB526" s="402"/>
      <c r="AC526" s="402"/>
      <c r="AD526" s="402"/>
      <c r="AE526" s="402"/>
      <c r="AF526" s="402"/>
      <c r="AG526" s="332"/>
    </row>
    <row r="527" spans="1:33" s="333" customFormat="1" ht="18" customHeight="1">
      <c r="A527" s="382"/>
      <c r="B527" s="403" t="s">
        <v>1509</v>
      </c>
      <c r="C527" s="359"/>
      <c r="D527" s="359"/>
      <c r="E527" s="359"/>
      <c r="F527" s="359"/>
      <c r="G527" s="360"/>
      <c r="H527" s="360"/>
      <c r="I527" s="361"/>
      <c r="J527" s="361"/>
      <c r="K527" s="361"/>
      <c r="L527" s="361"/>
      <c r="M527" s="361"/>
      <c r="N527" s="361"/>
      <c r="O527" s="361"/>
      <c r="P527" s="361"/>
      <c r="Q527" s="233"/>
      <c r="R527" s="400"/>
      <c r="S527" s="400"/>
      <c r="T527" s="401"/>
      <c r="U527" s="401"/>
      <c r="V527" s="401"/>
      <c r="W527" s="400"/>
      <c r="X527" s="400"/>
      <c r="Y527" s="401"/>
      <c r="Z527" s="401"/>
      <c r="AA527" s="401"/>
      <c r="AB527" s="402"/>
      <c r="AC527" s="402"/>
      <c r="AD527" s="402"/>
      <c r="AE527" s="402"/>
      <c r="AF527" s="402"/>
      <c r="AG527" s="332"/>
    </row>
    <row r="528" spans="1:33" s="333" customFormat="1" ht="18" customHeight="1">
      <c r="A528" s="382"/>
      <c r="B528" s="358" t="s">
        <v>1510</v>
      </c>
      <c r="C528" s="359">
        <v>1</v>
      </c>
      <c r="D528" s="359">
        <v>1</v>
      </c>
      <c r="E528" s="359">
        <v>1</v>
      </c>
      <c r="F528" s="359">
        <v>1</v>
      </c>
      <c r="G528" s="360">
        <v>7.5</v>
      </c>
      <c r="H528" s="360">
        <v>7.5</v>
      </c>
      <c r="I528" s="361">
        <v>12</v>
      </c>
      <c r="J528" s="361"/>
      <c r="K528" s="361">
        <v>12</v>
      </c>
      <c r="L528" s="361"/>
      <c r="M528" s="361">
        <v>12</v>
      </c>
      <c r="N528" s="361"/>
      <c r="O528" s="361">
        <v>12</v>
      </c>
      <c r="P528" s="361"/>
      <c r="Q528" s="233">
        <v>30</v>
      </c>
      <c r="R528" s="400"/>
      <c r="S528" s="400"/>
      <c r="T528" s="401"/>
      <c r="U528" s="401"/>
      <c r="V528" s="401"/>
      <c r="W528" s="400"/>
      <c r="X528" s="400"/>
      <c r="Y528" s="401"/>
      <c r="Z528" s="401"/>
      <c r="AA528" s="401"/>
      <c r="AB528" s="402"/>
      <c r="AC528" s="402"/>
      <c r="AD528" s="402"/>
      <c r="AE528" s="402"/>
      <c r="AF528" s="402"/>
      <c r="AG528" s="332"/>
    </row>
    <row r="529" spans="1:33" s="333" customFormat="1" ht="18" customHeight="1">
      <c r="A529" s="382"/>
      <c r="B529" s="358" t="s">
        <v>1496</v>
      </c>
      <c r="C529" s="359">
        <v>1</v>
      </c>
      <c r="D529" s="359">
        <v>1</v>
      </c>
      <c r="E529" s="359">
        <v>1</v>
      </c>
      <c r="F529" s="359">
        <v>1</v>
      </c>
      <c r="G529" s="360">
        <v>5</v>
      </c>
      <c r="H529" s="360">
        <v>5</v>
      </c>
      <c r="I529" s="361">
        <v>12</v>
      </c>
      <c r="J529" s="361"/>
      <c r="K529" s="361">
        <v>12</v>
      </c>
      <c r="L529" s="361"/>
      <c r="M529" s="361">
        <v>12</v>
      </c>
      <c r="N529" s="404"/>
      <c r="O529" s="361">
        <v>12</v>
      </c>
      <c r="P529" s="361"/>
      <c r="Q529" s="233">
        <v>30</v>
      </c>
      <c r="R529" s="400"/>
      <c r="S529" s="400"/>
      <c r="T529" s="401"/>
      <c r="U529" s="401"/>
      <c r="V529" s="401"/>
      <c r="W529" s="400"/>
      <c r="X529" s="400"/>
      <c r="Y529" s="401"/>
      <c r="Z529" s="401"/>
      <c r="AA529" s="401"/>
      <c r="AB529" s="402"/>
      <c r="AC529" s="402"/>
      <c r="AD529" s="402"/>
      <c r="AE529" s="402"/>
      <c r="AF529" s="402"/>
      <c r="AG529" s="332"/>
    </row>
    <row r="530" spans="1:33" s="333" customFormat="1" ht="18" customHeight="1">
      <c r="A530" s="382"/>
      <c r="B530" s="403" t="s">
        <v>1511</v>
      </c>
      <c r="C530" s="359"/>
      <c r="D530" s="359"/>
      <c r="E530" s="359"/>
      <c r="F530" s="359"/>
      <c r="G530" s="360"/>
      <c r="H530" s="360"/>
      <c r="I530" s="361"/>
      <c r="J530" s="361"/>
      <c r="K530" s="361"/>
      <c r="L530" s="361"/>
      <c r="M530" s="361"/>
      <c r="N530" s="361"/>
      <c r="O530" s="361"/>
      <c r="P530" s="361"/>
      <c r="Q530" s="233"/>
      <c r="R530" s="400"/>
      <c r="S530" s="400"/>
      <c r="T530" s="401"/>
      <c r="U530" s="401"/>
      <c r="V530" s="401"/>
      <c r="W530" s="400"/>
      <c r="X530" s="400"/>
      <c r="Y530" s="401"/>
      <c r="Z530" s="401"/>
      <c r="AA530" s="401"/>
      <c r="AB530" s="402"/>
      <c r="AC530" s="402"/>
      <c r="AD530" s="402"/>
      <c r="AE530" s="402"/>
      <c r="AF530" s="402"/>
      <c r="AG530" s="332"/>
    </row>
    <row r="531" spans="1:33" s="333" customFormat="1" ht="18" customHeight="1">
      <c r="A531" s="382"/>
      <c r="B531" s="358" t="s">
        <v>1457</v>
      </c>
      <c r="C531" s="359">
        <v>1</v>
      </c>
      <c r="D531" s="359">
        <v>1</v>
      </c>
      <c r="E531" s="359">
        <v>1</v>
      </c>
      <c r="F531" s="359">
        <v>1</v>
      </c>
      <c r="G531" s="360">
        <v>0.1</v>
      </c>
      <c r="H531" s="360">
        <v>0.1</v>
      </c>
      <c r="I531" s="361">
        <v>24</v>
      </c>
      <c r="J531" s="226" t="s">
        <v>996</v>
      </c>
      <c r="K531" s="361">
        <v>24</v>
      </c>
      <c r="L531" s="226" t="s">
        <v>996</v>
      </c>
      <c r="M531" s="361">
        <v>24</v>
      </c>
      <c r="N531" s="226" t="s">
        <v>996</v>
      </c>
      <c r="O531" s="361">
        <v>24</v>
      </c>
      <c r="P531" s="226" t="s">
        <v>996</v>
      </c>
      <c r="Q531" s="233">
        <v>30</v>
      </c>
      <c r="R531" s="400"/>
      <c r="S531" s="400"/>
      <c r="T531" s="401"/>
      <c r="U531" s="401"/>
      <c r="V531" s="401"/>
      <c r="W531" s="400"/>
      <c r="X531" s="400"/>
      <c r="Y531" s="401"/>
      <c r="Z531" s="401"/>
      <c r="AA531" s="401"/>
      <c r="AB531" s="402"/>
      <c r="AC531" s="402"/>
      <c r="AD531" s="402"/>
      <c r="AE531" s="402"/>
      <c r="AF531" s="402"/>
      <c r="AG531" s="332"/>
    </row>
    <row r="532" spans="1:33" s="333" customFormat="1" ht="18" customHeight="1">
      <c r="A532" s="382"/>
      <c r="B532" s="358" t="s">
        <v>1512</v>
      </c>
      <c r="C532" s="359">
        <v>1</v>
      </c>
      <c r="D532" s="359">
        <v>1</v>
      </c>
      <c r="E532" s="359">
        <v>1</v>
      </c>
      <c r="F532" s="359">
        <v>1</v>
      </c>
      <c r="G532" s="360">
        <v>1.5</v>
      </c>
      <c r="H532" s="360">
        <v>1.5</v>
      </c>
      <c r="I532" s="361">
        <v>1</v>
      </c>
      <c r="J532" s="361"/>
      <c r="K532" s="361">
        <v>1</v>
      </c>
      <c r="L532" s="361"/>
      <c r="M532" s="361">
        <v>1</v>
      </c>
      <c r="N532" s="361"/>
      <c r="O532" s="361">
        <v>1</v>
      </c>
      <c r="P532" s="361"/>
      <c r="Q532" s="233">
        <v>30</v>
      </c>
      <c r="R532" s="400"/>
      <c r="S532" s="400"/>
      <c r="T532" s="401"/>
      <c r="U532" s="401"/>
      <c r="V532" s="401"/>
      <c r="W532" s="400"/>
      <c r="X532" s="400"/>
      <c r="Y532" s="401"/>
      <c r="Z532" s="401"/>
      <c r="AA532" s="401"/>
      <c r="AB532" s="402"/>
      <c r="AC532" s="402"/>
      <c r="AD532" s="402"/>
      <c r="AE532" s="402"/>
      <c r="AF532" s="402"/>
      <c r="AG532" s="332"/>
    </row>
    <row r="533" spans="1:33" s="333" customFormat="1" ht="18" customHeight="1">
      <c r="A533" s="382"/>
      <c r="B533" s="358" t="s">
        <v>1513</v>
      </c>
      <c r="C533" s="359">
        <v>1</v>
      </c>
      <c r="D533" s="359">
        <v>1</v>
      </c>
      <c r="E533" s="359">
        <v>1</v>
      </c>
      <c r="F533" s="359">
        <v>1</v>
      </c>
      <c r="G533" s="360">
        <v>5.5</v>
      </c>
      <c r="H533" s="360">
        <v>5.5</v>
      </c>
      <c r="I533" s="361">
        <v>2</v>
      </c>
      <c r="J533" s="404" t="s">
        <v>1292</v>
      </c>
      <c r="K533" s="361">
        <v>2</v>
      </c>
      <c r="L533" s="404" t="s">
        <v>1292</v>
      </c>
      <c r="M533" s="361">
        <v>2</v>
      </c>
      <c r="N533" s="404" t="s">
        <v>1292</v>
      </c>
      <c r="O533" s="361">
        <v>2</v>
      </c>
      <c r="P533" s="404" t="s">
        <v>1292</v>
      </c>
      <c r="Q533" s="233">
        <v>30</v>
      </c>
      <c r="R533" s="400"/>
      <c r="S533" s="400"/>
      <c r="T533" s="401"/>
      <c r="U533" s="401"/>
      <c r="V533" s="401"/>
      <c r="W533" s="400"/>
      <c r="X533" s="400"/>
      <c r="Y533" s="401"/>
      <c r="Z533" s="401"/>
      <c r="AA533" s="401"/>
      <c r="AB533" s="402"/>
      <c r="AC533" s="402"/>
      <c r="AD533" s="402"/>
      <c r="AE533" s="402"/>
      <c r="AF533" s="402"/>
      <c r="AG533" s="332"/>
    </row>
    <row r="534" spans="1:33" s="333" customFormat="1" ht="18" customHeight="1">
      <c r="A534" s="382"/>
      <c r="B534" s="358" t="s">
        <v>1514</v>
      </c>
      <c r="C534" s="359">
        <v>1</v>
      </c>
      <c r="D534" s="359">
        <v>1</v>
      </c>
      <c r="E534" s="359">
        <v>1</v>
      </c>
      <c r="F534" s="359">
        <v>1</v>
      </c>
      <c r="G534" s="360">
        <v>3.7</v>
      </c>
      <c r="H534" s="360">
        <v>3.7</v>
      </c>
      <c r="I534" s="361">
        <v>2</v>
      </c>
      <c r="J534" s="404" t="s">
        <v>1292</v>
      </c>
      <c r="K534" s="361">
        <v>2</v>
      </c>
      <c r="L534" s="404" t="s">
        <v>1292</v>
      </c>
      <c r="M534" s="361">
        <v>2</v>
      </c>
      <c r="N534" s="404" t="s">
        <v>1292</v>
      </c>
      <c r="O534" s="361">
        <v>2</v>
      </c>
      <c r="P534" s="404" t="s">
        <v>1292</v>
      </c>
      <c r="Q534" s="233">
        <v>30</v>
      </c>
      <c r="R534" s="400"/>
      <c r="S534" s="400"/>
      <c r="T534" s="401"/>
      <c r="U534" s="401"/>
      <c r="V534" s="401"/>
      <c r="W534" s="400"/>
      <c r="X534" s="400"/>
      <c r="Y534" s="401"/>
      <c r="Z534" s="401"/>
      <c r="AA534" s="401"/>
      <c r="AB534" s="402"/>
      <c r="AC534" s="402"/>
      <c r="AD534" s="402"/>
      <c r="AE534" s="402"/>
      <c r="AF534" s="402"/>
      <c r="AG534" s="332"/>
    </row>
    <row r="535" spans="1:33" s="333" customFormat="1" ht="18" customHeight="1">
      <c r="A535" s="382"/>
      <c r="B535" s="358" t="s">
        <v>1515</v>
      </c>
      <c r="C535" s="359">
        <v>1</v>
      </c>
      <c r="D535" s="359">
        <v>1</v>
      </c>
      <c r="E535" s="359">
        <v>1</v>
      </c>
      <c r="F535" s="359">
        <v>1</v>
      </c>
      <c r="G535" s="360">
        <v>35</v>
      </c>
      <c r="H535" s="360">
        <v>35</v>
      </c>
      <c r="I535" s="361">
        <v>2</v>
      </c>
      <c r="J535" s="404" t="s">
        <v>1292</v>
      </c>
      <c r="K535" s="361">
        <v>2</v>
      </c>
      <c r="L535" s="404" t="s">
        <v>1292</v>
      </c>
      <c r="M535" s="361">
        <v>2</v>
      </c>
      <c r="N535" s="404" t="s">
        <v>1292</v>
      </c>
      <c r="O535" s="361">
        <v>2</v>
      </c>
      <c r="P535" s="404" t="s">
        <v>1292</v>
      </c>
      <c r="Q535" s="233">
        <v>30</v>
      </c>
      <c r="R535" s="400"/>
      <c r="S535" s="400"/>
      <c r="T535" s="401"/>
      <c r="U535" s="401"/>
      <c r="V535" s="401"/>
      <c r="W535" s="400"/>
      <c r="X535" s="400"/>
      <c r="Y535" s="401"/>
      <c r="Z535" s="401"/>
      <c r="AA535" s="401"/>
      <c r="AB535" s="402"/>
      <c r="AC535" s="402"/>
      <c r="AD535" s="402"/>
      <c r="AE535" s="402"/>
      <c r="AF535" s="402"/>
      <c r="AG535" s="332"/>
    </row>
    <row r="536" spans="1:33" s="333" customFormat="1" ht="18" customHeight="1">
      <c r="A536" s="382"/>
      <c r="B536" s="358" t="s">
        <v>1516</v>
      </c>
      <c r="C536" s="359">
        <v>1</v>
      </c>
      <c r="D536" s="359">
        <v>1</v>
      </c>
      <c r="E536" s="359">
        <v>1</v>
      </c>
      <c r="F536" s="359">
        <v>1</v>
      </c>
      <c r="G536" s="360">
        <v>18</v>
      </c>
      <c r="H536" s="360">
        <v>18</v>
      </c>
      <c r="I536" s="361">
        <v>2</v>
      </c>
      <c r="J536" s="404" t="s">
        <v>1292</v>
      </c>
      <c r="K536" s="361">
        <v>2</v>
      </c>
      <c r="L536" s="404" t="s">
        <v>1292</v>
      </c>
      <c r="M536" s="361">
        <v>2</v>
      </c>
      <c r="N536" s="404" t="s">
        <v>1292</v>
      </c>
      <c r="O536" s="361">
        <v>2</v>
      </c>
      <c r="P536" s="404" t="s">
        <v>1292</v>
      </c>
      <c r="Q536" s="233">
        <v>30</v>
      </c>
      <c r="R536" s="400"/>
      <c r="S536" s="400"/>
      <c r="T536" s="401"/>
      <c r="U536" s="401"/>
      <c r="V536" s="401"/>
      <c r="W536" s="400"/>
      <c r="X536" s="400"/>
      <c r="Y536" s="401"/>
      <c r="Z536" s="401"/>
      <c r="AA536" s="401"/>
      <c r="AB536" s="402"/>
      <c r="AC536" s="402"/>
      <c r="AD536" s="402"/>
      <c r="AE536" s="402"/>
      <c r="AF536" s="402"/>
      <c r="AG536" s="332"/>
    </row>
    <row r="537" spans="1:33" s="333" customFormat="1" ht="18" customHeight="1">
      <c r="A537" s="382"/>
      <c r="B537" s="358" t="s">
        <v>1517</v>
      </c>
      <c r="C537" s="359">
        <v>1</v>
      </c>
      <c r="D537" s="359">
        <v>1</v>
      </c>
      <c r="E537" s="359">
        <v>1</v>
      </c>
      <c r="F537" s="359">
        <v>1</v>
      </c>
      <c r="G537" s="360">
        <v>16</v>
      </c>
      <c r="H537" s="360">
        <v>16</v>
      </c>
      <c r="I537" s="361">
        <v>2</v>
      </c>
      <c r="J537" s="404" t="s">
        <v>1292</v>
      </c>
      <c r="K537" s="361">
        <v>2</v>
      </c>
      <c r="L537" s="404" t="s">
        <v>1292</v>
      </c>
      <c r="M537" s="361">
        <v>2</v>
      </c>
      <c r="N537" s="404" t="s">
        <v>1292</v>
      </c>
      <c r="O537" s="361">
        <v>2</v>
      </c>
      <c r="P537" s="404" t="s">
        <v>1292</v>
      </c>
      <c r="Q537" s="233">
        <v>30</v>
      </c>
      <c r="R537" s="400"/>
      <c r="S537" s="400"/>
      <c r="T537" s="401"/>
      <c r="U537" s="401"/>
      <c r="V537" s="401"/>
      <c r="W537" s="400"/>
      <c r="X537" s="400"/>
      <c r="Y537" s="401"/>
      <c r="Z537" s="401"/>
      <c r="AA537" s="401"/>
      <c r="AB537" s="402"/>
      <c r="AC537" s="402"/>
      <c r="AD537" s="402"/>
      <c r="AE537" s="402"/>
      <c r="AF537" s="402"/>
      <c r="AG537" s="332"/>
    </row>
    <row r="538" spans="1:33" s="333" customFormat="1" ht="18" customHeight="1">
      <c r="A538" s="382"/>
      <c r="B538" s="358" t="s">
        <v>1518</v>
      </c>
      <c r="C538" s="359">
        <v>1</v>
      </c>
      <c r="D538" s="359">
        <v>1</v>
      </c>
      <c r="E538" s="359">
        <v>2</v>
      </c>
      <c r="F538" s="359">
        <v>2</v>
      </c>
      <c r="G538" s="360">
        <v>36</v>
      </c>
      <c r="H538" s="360">
        <v>36</v>
      </c>
      <c r="I538" s="361">
        <v>4</v>
      </c>
      <c r="J538" s="359" t="s">
        <v>1122</v>
      </c>
      <c r="K538" s="361">
        <v>4</v>
      </c>
      <c r="L538" s="359" t="s">
        <v>1122</v>
      </c>
      <c r="M538" s="361">
        <v>4</v>
      </c>
      <c r="N538" s="359" t="s">
        <v>1122</v>
      </c>
      <c r="O538" s="361">
        <v>4</v>
      </c>
      <c r="P538" s="359" t="s">
        <v>1122</v>
      </c>
      <c r="Q538" s="233">
        <v>30</v>
      </c>
      <c r="R538" s="400"/>
      <c r="S538" s="400"/>
      <c r="T538" s="401"/>
      <c r="U538" s="401"/>
      <c r="V538" s="401"/>
      <c r="W538" s="400"/>
      <c r="X538" s="400"/>
      <c r="Y538" s="401"/>
      <c r="Z538" s="401"/>
      <c r="AA538" s="401"/>
      <c r="AB538" s="402"/>
      <c r="AC538" s="402"/>
      <c r="AD538" s="402"/>
      <c r="AE538" s="402"/>
      <c r="AF538" s="402"/>
      <c r="AG538" s="332"/>
    </row>
    <row r="539" spans="1:33" s="333" customFormat="1" ht="18" customHeight="1">
      <c r="A539" s="382"/>
      <c r="B539" s="369" t="s">
        <v>1485</v>
      </c>
      <c r="C539" s="227"/>
      <c r="D539" s="227"/>
      <c r="E539" s="227"/>
      <c r="F539" s="227"/>
      <c r="G539" s="371"/>
      <c r="H539" s="371"/>
      <c r="I539" s="226"/>
      <c r="J539" s="226"/>
      <c r="K539" s="226"/>
      <c r="L539" s="226"/>
      <c r="M539" s="226"/>
      <c r="N539" s="226"/>
      <c r="O539" s="226"/>
      <c r="P539" s="226"/>
      <c r="Q539" s="225"/>
      <c r="R539" s="406"/>
      <c r="S539" s="406"/>
      <c r="T539" s="407"/>
      <c r="U539" s="407"/>
      <c r="V539" s="407"/>
      <c r="W539" s="406"/>
      <c r="X539" s="406"/>
      <c r="Y539" s="407"/>
      <c r="Z539" s="407"/>
      <c r="AA539" s="407"/>
      <c r="AB539" s="408"/>
      <c r="AC539" s="408"/>
      <c r="AD539" s="408"/>
      <c r="AE539" s="408"/>
      <c r="AF539" s="408"/>
      <c r="AG539" s="332"/>
    </row>
    <row r="540" spans="1:33" s="333" customFormat="1" ht="18" customHeight="1">
      <c r="A540" s="382"/>
      <c r="B540" s="358" t="s">
        <v>1164</v>
      </c>
      <c r="C540" s="359">
        <v>1</v>
      </c>
      <c r="D540" s="359">
        <v>1</v>
      </c>
      <c r="E540" s="359">
        <v>1</v>
      </c>
      <c r="F540" s="359">
        <v>1</v>
      </c>
      <c r="G540" s="360">
        <v>3.9</v>
      </c>
      <c r="H540" s="360">
        <v>3.9</v>
      </c>
      <c r="I540" s="361">
        <v>12</v>
      </c>
      <c r="J540" s="361"/>
      <c r="K540" s="361">
        <v>12</v>
      </c>
      <c r="L540" s="361"/>
      <c r="M540" s="361">
        <v>12</v>
      </c>
      <c r="N540" s="361"/>
      <c r="O540" s="361">
        <v>12</v>
      </c>
      <c r="P540" s="361"/>
      <c r="Q540" s="233">
        <v>30</v>
      </c>
      <c r="R540" s="400"/>
      <c r="S540" s="400"/>
      <c r="T540" s="401"/>
      <c r="U540" s="401"/>
      <c r="V540" s="401"/>
      <c r="W540" s="400"/>
      <c r="X540" s="400"/>
      <c r="Y540" s="401"/>
      <c r="Z540" s="401"/>
      <c r="AA540" s="401"/>
      <c r="AB540" s="402"/>
      <c r="AC540" s="402"/>
      <c r="AD540" s="402"/>
      <c r="AE540" s="402"/>
      <c r="AF540" s="402"/>
      <c r="AG540" s="332"/>
    </row>
    <row r="541" spans="1:33" s="333" customFormat="1" ht="18" customHeight="1">
      <c r="A541" s="382"/>
      <c r="B541" s="358" t="s">
        <v>1519</v>
      </c>
      <c r="C541" s="359">
        <v>1</v>
      </c>
      <c r="D541" s="359">
        <v>1</v>
      </c>
      <c r="E541" s="359">
        <v>1</v>
      </c>
      <c r="F541" s="359">
        <v>1</v>
      </c>
      <c r="G541" s="360">
        <v>0.1</v>
      </c>
      <c r="H541" s="360">
        <v>0.1</v>
      </c>
      <c r="I541" s="361">
        <v>12</v>
      </c>
      <c r="J541" s="361"/>
      <c r="K541" s="361">
        <v>12</v>
      </c>
      <c r="L541" s="361"/>
      <c r="M541" s="361">
        <v>12</v>
      </c>
      <c r="N541" s="361"/>
      <c r="O541" s="361">
        <v>12</v>
      </c>
      <c r="P541" s="361"/>
      <c r="Q541" s="233">
        <v>30</v>
      </c>
      <c r="R541" s="400"/>
      <c r="S541" s="400"/>
      <c r="T541" s="401"/>
      <c r="U541" s="401"/>
      <c r="V541" s="401"/>
      <c r="W541" s="400"/>
      <c r="X541" s="400"/>
      <c r="Y541" s="401"/>
      <c r="Z541" s="401"/>
      <c r="AA541" s="401"/>
      <c r="AB541" s="402"/>
      <c r="AC541" s="402"/>
      <c r="AD541" s="402"/>
      <c r="AE541" s="402"/>
      <c r="AF541" s="402"/>
      <c r="AG541" s="332"/>
    </row>
    <row r="542" spans="1:33" s="333" customFormat="1" ht="18" customHeight="1">
      <c r="A542" s="382"/>
      <c r="B542" s="358" t="s">
        <v>1141</v>
      </c>
      <c r="C542" s="359">
        <v>1</v>
      </c>
      <c r="D542" s="359">
        <v>1</v>
      </c>
      <c r="E542" s="359">
        <v>2</v>
      </c>
      <c r="F542" s="359">
        <v>2</v>
      </c>
      <c r="G542" s="360">
        <v>2.5</v>
      </c>
      <c r="H542" s="360">
        <v>2.5</v>
      </c>
      <c r="I542" s="361">
        <v>12</v>
      </c>
      <c r="J542" s="361"/>
      <c r="K542" s="361">
        <v>12</v>
      </c>
      <c r="L542" s="361"/>
      <c r="M542" s="361">
        <v>12</v>
      </c>
      <c r="N542" s="361"/>
      <c r="O542" s="361">
        <v>12</v>
      </c>
      <c r="P542" s="361"/>
      <c r="Q542" s="233">
        <v>30</v>
      </c>
      <c r="R542" s="400"/>
      <c r="S542" s="400"/>
      <c r="T542" s="401"/>
      <c r="U542" s="401"/>
      <c r="V542" s="401"/>
      <c r="W542" s="400"/>
      <c r="X542" s="400"/>
      <c r="Y542" s="401"/>
      <c r="Z542" s="401"/>
      <c r="AA542" s="401"/>
      <c r="AB542" s="402"/>
      <c r="AC542" s="402"/>
      <c r="AD542" s="402"/>
      <c r="AE542" s="402"/>
      <c r="AF542" s="402"/>
      <c r="AG542" s="332"/>
    </row>
    <row r="543" spans="1:33" s="333" customFormat="1" ht="18" customHeight="1">
      <c r="A543" s="382"/>
      <c r="B543" s="358" t="s">
        <v>1457</v>
      </c>
      <c r="C543" s="359">
        <v>1</v>
      </c>
      <c r="D543" s="359">
        <v>1</v>
      </c>
      <c r="E543" s="359">
        <v>1</v>
      </c>
      <c r="F543" s="359">
        <v>1</v>
      </c>
      <c r="G543" s="360">
        <v>0.1</v>
      </c>
      <c r="H543" s="360">
        <v>0.1</v>
      </c>
      <c r="I543" s="361">
        <v>4</v>
      </c>
      <c r="J543" s="359" t="s">
        <v>1122</v>
      </c>
      <c r="K543" s="361">
        <v>4</v>
      </c>
      <c r="L543" s="359" t="s">
        <v>1122</v>
      </c>
      <c r="M543" s="361">
        <v>4</v>
      </c>
      <c r="N543" s="359" t="s">
        <v>1122</v>
      </c>
      <c r="O543" s="361">
        <v>4</v>
      </c>
      <c r="P543" s="359" t="s">
        <v>1122</v>
      </c>
      <c r="Q543" s="233">
        <v>30</v>
      </c>
      <c r="R543" s="400"/>
      <c r="S543" s="400"/>
      <c r="T543" s="401"/>
      <c r="U543" s="401"/>
      <c r="V543" s="401"/>
      <c r="W543" s="400"/>
      <c r="X543" s="400"/>
      <c r="Y543" s="401"/>
      <c r="Z543" s="401"/>
      <c r="AA543" s="401"/>
      <c r="AB543" s="402"/>
      <c r="AC543" s="402"/>
      <c r="AD543" s="402"/>
      <c r="AE543" s="402"/>
      <c r="AF543" s="402"/>
      <c r="AG543" s="332"/>
    </row>
    <row r="544" spans="1:33" s="333" customFormat="1" ht="18" customHeight="1">
      <c r="A544" s="382"/>
      <c r="B544" s="403" t="s">
        <v>1520</v>
      </c>
      <c r="C544" s="359"/>
      <c r="D544" s="359"/>
      <c r="E544" s="359"/>
      <c r="F544" s="359"/>
      <c r="G544" s="360"/>
      <c r="H544" s="360"/>
      <c r="I544" s="361"/>
      <c r="J544" s="361"/>
      <c r="K544" s="361"/>
      <c r="L544" s="361"/>
      <c r="M544" s="361"/>
      <c r="N544" s="361"/>
      <c r="O544" s="361"/>
      <c r="P544" s="361"/>
      <c r="Q544" s="233"/>
      <c r="R544" s="400"/>
      <c r="S544" s="400"/>
      <c r="T544" s="401"/>
      <c r="U544" s="401"/>
      <c r="V544" s="401"/>
      <c r="W544" s="400"/>
      <c r="X544" s="400"/>
      <c r="Y544" s="401"/>
      <c r="Z544" s="401"/>
      <c r="AA544" s="401"/>
      <c r="AB544" s="402"/>
      <c r="AC544" s="402"/>
      <c r="AD544" s="402"/>
      <c r="AE544" s="402"/>
      <c r="AF544" s="402"/>
      <c r="AG544" s="332"/>
    </row>
    <row r="545" spans="1:33" s="333" customFormat="1" ht="18" customHeight="1">
      <c r="A545" s="382"/>
      <c r="B545" s="358" t="s">
        <v>1457</v>
      </c>
      <c r="C545" s="359">
        <v>1</v>
      </c>
      <c r="D545" s="359">
        <v>1</v>
      </c>
      <c r="E545" s="359">
        <v>1</v>
      </c>
      <c r="F545" s="359">
        <v>1</v>
      </c>
      <c r="G545" s="360">
        <v>0.1</v>
      </c>
      <c r="H545" s="360">
        <v>0.1</v>
      </c>
      <c r="I545" s="361">
        <v>4</v>
      </c>
      <c r="J545" s="359" t="s">
        <v>1122</v>
      </c>
      <c r="K545" s="361">
        <v>4</v>
      </c>
      <c r="L545" s="359" t="s">
        <v>1122</v>
      </c>
      <c r="M545" s="361">
        <v>4</v>
      </c>
      <c r="N545" s="359" t="s">
        <v>1122</v>
      </c>
      <c r="O545" s="361">
        <v>4</v>
      </c>
      <c r="P545" s="359" t="s">
        <v>1122</v>
      </c>
      <c r="Q545" s="233">
        <v>30</v>
      </c>
      <c r="R545" s="400"/>
      <c r="S545" s="400"/>
      <c r="T545" s="401"/>
      <c r="U545" s="401"/>
      <c r="V545" s="401"/>
      <c r="W545" s="400"/>
      <c r="X545" s="400"/>
      <c r="Y545" s="401"/>
      <c r="Z545" s="401"/>
      <c r="AA545" s="401"/>
      <c r="AB545" s="402"/>
      <c r="AC545" s="402"/>
      <c r="AD545" s="402"/>
      <c r="AE545" s="402"/>
      <c r="AF545" s="402"/>
      <c r="AG545" s="332"/>
    </row>
    <row r="546" spans="1:33" s="333" customFormat="1" ht="18" customHeight="1">
      <c r="A546" s="382"/>
      <c r="B546" s="358" t="s">
        <v>1521</v>
      </c>
      <c r="C546" s="359">
        <v>1</v>
      </c>
      <c r="D546" s="359">
        <v>2</v>
      </c>
      <c r="E546" s="359">
        <v>2</v>
      </c>
      <c r="F546" s="359"/>
      <c r="G546" s="360">
        <v>1.6</v>
      </c>
      <c r="H546" s="360">
        <v>1.6</v>
      </c>
      <c r="I546" s="361">
        <v>12</v>
      </c>
      <c r="J546" s="404"/>
      <c r="K546" s="361">
        <v>12</v>
      </c>
      <c r="L546" s="404"/>
      <c r="M546" s="361">
        <v>12</v>
      </c>
      <c r="N546" s="404"/>
      <c r="O546" s="361">
        <v>12</v>
      </c>
      <c r="P546" s="404"/>
      <c r="Q546" s="233">
        <v>30</v>
      </c>
      <c r="R546" s="400"/>
      <c r="S546" s="400"/>
      <c r="T546" s="401"/>
      <c r="U546" s="401"/>
      <c r="V546" s="401"/>
      <c r="W546" s="400"/>
      <c r="X546" s="400"/>
      <c r="Y546" s="401"/>
      <c r="Z546" s="401"/>
      <c r="AA546" s="401"/>
      <c r="AB546" s="402"/>
      <c r="AC546" s="402"/>
      <c r="AD546" s="402"/>
      <c r="AE546" s="402"/>
      <c r="AF546" s="402"/>
      <c r="AG546" s="332"/>
    </row>
    <row r="547" spans="1:33" s="333" customFormat="1" ht="18" customHeight="1">
      <c r="A547" s="382"/>
      <c r="B547" s="358" t="s">
        <v>1457</v>
      </c>
      <c r="C547" s="359">
        <v>1</v>
      </c>
      <c r="D547" s="359">
        <v>1</v>
      </c>
      <c r="E547" s="359">
        <v>1</v>
      </c>
      <c r="F547" s="359">
        <v>1</v>
      </c>
      <c r="G547" s="360">
        <v>0.1</v>
      </c>
      <c r="H547" s="360">
        <v>0.1</v>
      </c>
      <c r="I547" s="361">
        <v>24</v>
      </c>
      <c r="J547" s="226" t="s">
        <v>996</v>
      </c>
      <c r="K547" s="361">
        <v>24</v>
      </c>
      <c r="L547" s="226" t="s">
        <v>996</v>
      </c>
      <c r="M547" s="361">
        <v>24</v>
      </c>
      <c r="N547" s="226" t="s">
        <v>996</v>
      </c>
      <c r="O547" s="361">
        <v>24</v>
      </c>
      <c r="P547" s="226" t="s">
        <v>996</v>
      </c>
      <c r="Q547" s="233">
        <v>30</v>
      </c>
      <c r="R547" s="400"/>
      <c r="S547" s="400"/>
      <c r="T547" s="401"/>
      <c r="U547" s="401"/>
      <c r="V547" s="401"/>
      <c r="W547" s="400"/>
      <c r="X547" s="400"/>
      <c r="Y547" s="401"/>
      <c r="Z547" s="401"/>
      <c r="AA547" s="401"/>
      <c r="AB547" s="402"/>
      <c r="AC547" s="402"/>
      <c r="AD547" s="402"/>
      <c r="AE547" s="402"/>
      <c r="AF547" s="402"/>
      <c r="AG547" s="332"/>
    </row>
    <row r="548" spans="1:33" s="333" customFormat="1" ht="18" customHeight="1">
      <c r="A548" s="382"/>
      <c r="B548" s="403" t="s">
        <v>1522</v>
      </c>
      <c r="C548" s="359"/>
      <c r="D548" s="359"/>
      <c r="E548" s="359"/>
      <c r="F548" s="359"/>
      <c r="G548" s="360"/>
      <c r="H548" s="360"/>
      <c r="I548" s="361"/>
      <c r="J548" s="361"/>
      <c r="K548" s="361"/>
      <c r="L548" s="361"/>
      <c r="M548" s="361"/>
      <c r="N548" s="361"/>
      <c r="O548" s="361"/>
      <c r="P548" s="361"/>
      <c r="Q548" s="233"/>
      <c r="R548" s="400"/>
      <c r="S548" s="400"/>
      <c r="T548" s="401"/>
      <c r="U548" s="401"/>
      <c r="V548" s="401"/>
      <c r="W548" s="400"/>
      <c r="X548" s="400"/>
      <c r="Y548" s="401"/>
      <c r="Z548" s="401"/>
      <c r="AA548" s="401"/>
      <c r="AB548" s="402"/>
      <c r="AC548" s="402"/>
      <c r="AD548" s="402"/>
      <c r="AE548" s="402"/>
      <c r="AF548" s="402"/>
      <c r="AG548" s="332"/>
    </row>
    <row r="549" spans="1:33" s="333" customFormat="1" ht="18" customHeight="1">
      <c r="A549" s="382"/>
      <c r="B549" s="358" t="s">
        <v>1290</v>
      </c>
      <c r="C549" s="359">
        <v>1</v>
      </c>
      <c r="D549" s="359">
        <v>1</v>
      </c>
      <c r="E549" s="359">
        <v>1</v>
      </c>
      <c r="F549" s="359">
        <v>1</v>
      </c>
      <c r="G549" s="360">
        <v>18</v>
      </c>
      <c r="H549" s="360">
        <v>18</v>
      </c>
      <c r="I549" s="361">
        <v>4</v>
      </c>
      <c r="J549" s="359" t="s">
        <v>1122</v>
      </c>
      <c r="K549" s="361">
        <v>4</v>
      </c>
      <c r="L549" s="359" t="s">
        <v>1122</v>
      </c>
      <c r="M549" s="361">
        <v>4</v>
      </c>
      <c r="N549" s="359" t="s">
        <v>1122</v>
      </c>
      <c r="O549" s="361">
        <v>4</v>
      </c>
      <c r="P549" s="359" t="s">
        <v>1122</v>
      </c>
      <c r="Q549" s="233">
        <v>30</v>
      </c>
      <c r="R549" s="400"/>
      <c r="S549" s="400"/>
      <c r="T549" s="401"/>
      <c r="U549" s="401"/>
      <c r="V549" s="401"/>
      <c r="W549" s="400"/>
      <c r="X549" s="400"/>
      <c r="Y549" s="401"/>
      <c r="Z549" s="401"/>
      <c r="AA549" s="401"/>
      <c r="AB549" s="402"/>
      <c r="AC549" s="402"/>
      <c r="AD549" s="402"/>
      <c r="AE549" s="402"/>
      <c r="AF549" s="402"/>
      <c r="AG549" s="332"/>
    </row>
    <row r="550" spans="1:33" s="333" customFormat="1" ht="18" customHeight="1">
      <c r="A550" s="382"/>
      <c r="B550" s="358" t="s">
        <v>1472</v>
      </c>
      <c r="C550" s="359">
        <v>1</v>
      </c>
      <c r="D550" s="359">
        <v>1</v>
      </c>
      <c r="E550" s="359">
        <v>1</v>
      </c>
      <c r="F550" s="359">
        <v>1</v>
      </c>
      <c r="G550" s="360">
        <v>1</v>
      </c>
      <c r="H550" s="360">
        <v>1</v>
      </c>
      <c r="I550" s="361">
        <v>12</v>
      </c>
      <c r="J550" s="404"/>
      <c r="K550" s="361">
        <v>12</v>
      </c>
      <c r="L550" s="404"/>
      <c r="M550" s="361">
        <v>12</v>
      </c>
      <c r="N550" s="404"/>
      <c r="O550" s="361">
        <v>12</v>
      </c>
      <c r="P550" s="404"/>
      <c r="Q550" s="233">
        <v>30</v>
      </c>
      <c r="R550" s="400"/>
      <c r="S550" s="400"/>
      <c r="T550" s="401"/>
      <c r="U550" s="401"/>
      <c r="V550" s="401"/>
      <c r="W550" s="400"/>
      <c r="X550" s="400"/>
      <c r="Y550" s="401"/>
      <c r="Z550" s="401"/>
      <c r="AA550" s="401"/>
      <c r="AB550" s="402"/>
      <c r="AC550" s="402"/>
      <c r="AD550" s="402"/>
      <c r="AE550" s="402"/>
      <c r="AF550" s="402"/>
      <c r="AG550" s="332"/>
    </row>
    <row r="551" spans="1:33" s="333" customFormat="1" ht="18" customHeight="1">
      <c r="A551" s="382"/>
      <c r="B551" s="358" t="s">
        <v>427</v>
      </c>
      <c r="C551" s="359">
        <v>1</v>
      </c>
      <c r="D551" s="359">
        <v>1</v>
      </c>
      <c r="E551" s="359">
        <v>1</v>
      </c>
      <c r="F551" s="359">
        <v>1</v>
      </c>
      <c r="G551" s="360">
        <v>1</v>
      </c>
      <c r="H551" s="360">
        <v>1</v>
      </c>
      <c r="I551" s="361">
        <v>12</v>
      </c>
      <c r="J551" s="404"/>
      <c r="K551" s="361">
        <v>12</v>
      </c>
      <c r="L551" s="404"/>
      <c r="M551" s="361">
        <v>12</v>
      </c>
      <c r="N551" s="404"/>
      <c r="O551" s="361">
        <v>12</v>
      </c>
      <c r="P551" s="404"/>
      <c r="Q551" s="233">
        <v>30</v>
      </c>
      <c r="R551" s="400"/>
      <c r="S551" s="400"/>
      <c r="T551" s="401"/>
      <c r="U551" s="401"/>
      <c r="V551" s="401"/>
      <c r="W551" s="400"/>
      <c r="X551" s="400"/>
      <c r="Y551" s="401"/>
      <c r="Z551" s="401"/>
      <c r="AA551" s="401"/>
      <c r="AB551" s="402"/>
      <c r="AC551" s="402"/>
      <c r="AD551" s="402"/>
      <c r="AE551" s="402"/>
      <c r="AF551" s="402"/>
      <c r="AG551" s="332"/>
    </row>
    <row r="552" spans="1:33" s="333" customFormat="1" ht="18" customHeight="1">
      <c r="A552" s="382"/>
      <c r="B552" s="358" t="s">
        <v>1457</v>
      </c>
      <c r="C552" s="359">
        <v>1</v>
      </c>
      <c r="D552" s="359">
        <v>1</v>
      </c>
      <c r="E552" s="359">
        <v>1</v>
      </c>
      <c r="F552" s="359">
        <v>1</v>
      </c>
      <c r="G552" s="360">
        <v>0.1</v>
      </c>
      <c r="H552" s="360">
        <v>0.1</v>
      </c>
      <c r="I552" s="361">
        <v>4</v>
      </c>
      <c r="J552" s="359" t="s">
        <v>1122</v>
      </c>
      <c r="K552" s="361">
        <v>4</v>
      </c>
      <c r="L552" s="359" t="s">
        <v>1122</v>
      </c>
      <c r="M552" s="361">
        <v>4</v>
      </c>
      <c r="N552" s="359" t="s">
        <v>1122</v>
      </c>
      <c r="O552" s="361">
        <v>4</v>
      </c>
      <c r="P552" s="359" t="s">
        <v>1122</v>
      </c>
      <c r="Q552" s="233">
        <v>30</v>
      </c>
      <c r="R552" s="400"/>
      <c r="S552" s="400"/>
      <c r="T552" s="401"/>
      <c r="U552" s="401"/>
      <c r="V552" s="401"/>
      <c r="W552" s="400"/>
      <c r="X552" s="400"/>
      <c r="Y552" s="401"/>
      <c r="Z552" s="401"/>
      <c r="AA552" s="401"/>
      <c r="AB552" s="402"/>
      <c r="AC552" s="402"/>
      <c r="AD552" s="402"/>
      <c r="AE552" s="402"/>
      <c r="AF552" s="402"/>
      <c r="AG552" s="332"/>
    </row>
    <row r="553" spans="1:33" s="333" customFormat="1" ht="18" customHeight="1">
      <c r="A553" s="382"/>
      <c r="B553" s="403" t="s">
        <v>1523</v>
      </c>
      <c r="C553" s="359"/>
      <c r="D553" s="359"/>
      <c r="E553" s="359"/>
      <c r="F553" s="359"/>
      <c r="G553" s="360"/>
      <c r="H553" s="360"/>
      <c r="I553" s="361"/>
      <c r="J553" s="361"/>
      <c r="K553" s="361"/>
      <c r="L553" s="361"/>
      <c r="M553" s="361"/>
      <c r="N553" s="359"/>
      <c r="O553" s="359"/>
      <c r="P553" s="233"/>
      <c r="Q553" s="233">
        <v>30</v>
      </c>
      <c r="R553" s="400"/>
      <c r="S553" s="400"/>
      <c r="T553" s="401"/>
      <c r="U553" s="401"/>
      <c r="V553" s="401"/>
      <c r="W553" s="400"/>
      <c r="X553" s="400"/>
      <c r="Y553" s="401"/>
      <c r="Z553" s="401"/>
      <c r="AA553" s="401"/>
      <c r="AB553" s="402"/>
      <c r="AC553" s="402"/>
      <c r="AD553" s="402"/>
      <c r="AE553" s="402"/>
      <c r="AF553" s="402"/>
      <c r="AG553" s="332"/>
    </row>
    <row r="554" spans="1:33" s="333" customFormat="1" ht="18" customHeight="1">
      <c r="A554" s="382"/>
      <c r="B554" s="358" t="s">
        <v>1457</v>
      </c>
      <c r="C554" s="359">
        <v>2</v>
      </c>
      <c r="D554" s="359">
        <v>2</v>
      </c>
      <c r="E554" s="359">
        <v>2</v>
      </c>
      <c r="F554" s="359">
        <v>2</v>
      </c>
      <c r="G554" s="360">
        <v>0.1</v>
      </c>
      <c r="H554" s="360">
        <v>0.1</v>
      </c>
      <c r="I554" s="361">
        <v>24</v>
      </c>
      <c r="J554" s="226" t="s">
        <v>996</v>
      </c>
      <c r="K554" s="361">
        <v>24</v>
      </c>
      <c r="L554" s="226" t="s">
        <v>996</v>
      </c>
      <c r="M554" s="361">
        <v>24</v>
      </c>
      <c r="N554" s="226" t="s">
        <v>996</v>
      </c>
      <c r="O554" s="361">
        <v>24</v>
      </c>
      <c r="P554" s="226" t="s">
        <v>996</v>
      </c>
      <c r="Q554" s="233">
        <v>30</v>
      </c>
      <c r="R554" s="400"/>
      <c r="S554" s="400"/>
      <c r="T554" s="401"/>
      <c r="U554" s="401"/>
      <c r="V554" s="401"/>
      <c r="W554" s="400"/>
      <c r="X554" s="400"/>
      <c r="Y554" s="401"/>
      <c r="Z554" s="401"/>
      <c r="AA554" s="401"/>
      <c r="AB554" s="402"/>
      <c r="AC554" s="402"/>
      <c r="AD554" s="402"/>
      <c r="AE554" s="402"/>
      <c r="AF554" s="402"/>
      <c r="AG554" s="332"/>
    </row>
    <row r="555" spans="1:33" s="333" customFormat="1" ht="18" customHeight="1">
      <c r="A555" s="382"/>
      <c r="B555" s="358" t="s">
        <v>1518</v>
      </c>
      <c r="C555" s="359">
        <v>1</v>
      </c>
      <c r="D555" s="359">
        <v>1</v>
      </c>
      <c r="E555" s="359">
        <v>2</v>
      </c>
      <c r="F555" s="359">
        <v>2</v>
      </c>
      <c r="G555" s="360">
        <v>36</v>
      </c>
      <c r="H555" s="360">
        <v>36</v>
      </c>
      <c r="I555" s="361">
        <v>0</v>
      </c>
      <c r="J555" s="361"/>
      <c r="K555" s="361">
        <v>2</v>
      </c>
      <c r="L555" s="359" t="s">
        <v>1460</v>
      </c>
      <c r="M555" s="361">
        <v>2</v>
      </c>
      <c r="N555" s="359" t="s">
        <v>1460</v>
      </c>
      <c r="O555" s="361">
        <v>2</v>
      </c>
      <c r="P555" s="359" t="s">
        <v>1460</v>
      </c>
      <c r="Q555" s="233">
        <v>30</v>
      </c>
      <c r="R555" s="400"/>
      <c r="S555" s="400"/>
      <c r="T555" s="401"/>
      <c r="U555" s="401"/>
      <c r="V555" s="401"/>
      <c r="W555" s="400"/>
      <c r="X555" s="400"/>
      <c r="Y555" s="401"/>
      <c r="Z555" s="401"/>
      <c r="AA555" s="401"/>
      <c r="AB555" s="402"/>
      <c r="AC555" s="402"/>
      <c r="AD555" s="402"/>
      <c r="AE555" s="402"/>
      <c r="AF555" s="402"/>
      <c r="AG555" s="332"/>
    </row>
    <row r="556" spans="1:33" s="333" customFormat="1" ht="18" customHeight="1">
      <c r="A556" s="382"/>
      <c r="B556" s="358" t="s">
        <v>1524</v>
      </c>
      <c r="C556" s="359">
        <v>2</v>
      </c>
      <c r="D556" s="359">
        <v>3</v>
      </c>
      <c r="E556" s="359">
        <v>4</v>
      </c>
      <c r="F556" s="359">
        <v>4</v>
      </c>
      <c r="G556" s="360">
        <v>18</v>
      </c>
      <c r="H556" s="360">
        <v>18</v>
      </c>
      <c r="I556" s="361">
        <v>0</v>
      </c>
      <c r="J556" s="361"/>
      <c r="K556" s="361">
        <v>2</v>
      </c>
      <c r="L556" s="359" t="s">
        <v>1460</v>
      </c>
      <c r="M556" s="361">
        <v>2</v>
      </c>
      <c r="N556" s="359" t="s">
        <v>1460</v>
      </c>
      <c r="O556" s="361">
        <v>2</v>
      </c>
      <c r="P556" s="359" t="s">
        <v>1460</v>
      </c>
      <c r="Q556" s="233">
        <v>30</v>
      </c>
      <c r="R556" s="400"/>
      <c r="S556" s="400"/>
      <c r="T556" s="401"/>
      <c r="U556" s="401"/>
      <c r="V556" s="401"/>
      <c r="W556" s="400"/>
      <c r="X556" s="400"/>
      <c r="Y556" s="401"/>
      <c r="Z556" s="401"/>
      <c r="AA556" s="401"/>
      <c r="AB556" s="402"/>
      <c r="AC556" s="402"/>
      <c r="AD556" s="402"/>
      <c r="AE556" s="402"/>
      <c r="AF556" s="402"/>
      <c r="AG556" s="332"/>
    </row>
    <row r="557" spans="1:33" s="333" customFormat="1" ht="18" customHeight="1">
      <c r="A557" s="382"/>
      <c r="B557" s="358" t="s">
        <v>1525</v>
      </c>
      <c r="C557" s="359">
        <v>1</v>
      </c>
      <c r="D557" s="359">
        <v>1</v>
      </c>
      <c r="E557" s="359">
        <v>2</v>
      </c>
      <c r="F557" s="359">
        <v>2</v>
      </c>
      <c r="G557" s="360">
        <v>1.1000000000000001</v>
      </c>
      <c r="H557" s="360">
        <v>1.1000000000000001</v>
      </c>
      <c r="I557" s="361">
        <v>0</v>
      </c>
      <c r="J557" s="361"/>
      <c r="K557" s="361">
        <v>4</v>
      </c>
      <c r="L557" s="359" t="s">
        <v>1122</v>
      </c>
      <c r="M557" s="361">
        <v>4</v>
      </c>
      <c r="N557" s="359" t="s">
        <v>1122</v>
      </c>
      <c r="O557" s="361">
        <v>4</v>
      </c>
      <c r="P557" s="359" t="s">
        <v>1122</v>
      </c>
      <c r="Q557" s="233">
        <v>30</v>
      </c>
      <c r="R557" s="400"/>
      <c r="S557" s="400"/>
      <c r="T557" s="401"/>
      <c r="U557" s="401"/>
      <c r="V557" s="401"/>
      <c r="W557" s="400"/>
      <c r="X557" s="400"/>
      <c r="Y557" s="401"/>
      <c r="Z557" s="401"/>
      <c r="AA557" s="401"/>
      <c r="AB557" s="402"/>
      <c r="AC557" s="402"/>
      <c r="AD557" s="402"/>
      <c r="AE557" s="402"/>
      <c r="AF557" s="402"/>
      <c r="AG557" s="332"/>
    </row>
    <row r="558" spans="1:33" s="333" customFormat="1" ht="18" customHeight="1">
      <c r="A558" s="382"/>
      <c r="B558" s="358" t="s">
        <v>1526</v>
      </c>
      <c r="C558" s="359">
        <v>1</v>
      </c>
      <c r="D558" s="359">
        <v>1</v>
      </c>
      <c r="E558" s="359">
        <v>1</v>
      </c>
      <c r="F558" s="359">
        <v>1</v>
      </c>
      <c r="G558" s="360">
        <v>1.5</v>
      </c>
      <c r="H558" s="360">
        <v>1.5</v>
      </c>
      <c r="I558" s="361">
        <v>0</v>
      </c>
      <c r="J558" s="361"/>
      <c r="K558" s="361">
        <v>4</v>
      </c>
      <c r="L558" s="359" t="s">
        <v>1122</v>
      </c>
      <c r="M558" s="361">
        <v>4</v>
      </c>
      <c r="N558" s="359" t="s">
        <v>1122</v>
      </c>
      <c r="O558" s="361">
        <v>4</v>
      </c>
      <c r="P558" s="359" t="s">
        <v>1122</v>
      </c>
      <c r="Q558" s="233">
        <v>30</v>
      </c>
      <c r="R558" s="400"/>
      <c r="S558" s="400"/>
      <c r="T558" s="401"/>
      <c r="U558" s="401"/>
      <c r="V558" s="401"/>
      <c r="W558" s="400"/>
      <c r="X558" s="400"/>
      <c r="Y558" s="401"/>
      <c r="Z558" s="401"/>
      <c r="AA558" s="401"/>
      <c r="AB558" s="402"/>
      <c r="AC558" s="402"/>
      <c r="AD558" s="402"/>
      <c r="AE558" s="402"/>
      <c r="AF558" s="402"/>
      <c r="AG558" s="332"/>
    </row>
    <row r="559" spans="1:33" s="333" customFormat="1" ht="18" customHeight="1">
      <c r="A559" s="382"/>
      <c r="B559" s="358" t="s">
        <v>1525</v>
      </c>
      <c r="C559" s="359">
        <v>1</v>
      </c>
      <c r="D559" s="359">
        <v>1</v>
      </c>
      <c r="E559" s="359">
        <v>2</v>
      </c>
      <c r="F559" s="359">
        <v>2</v>
      </c>
      <c r="G559" s="360">
        <v>1.1000000000000001</v>
      </c>
      <c r="H559" s="360">
        <v>1.1000000000000001</v>
      </c>
      <c r="I559" s="361">
        <v>0</v>
      </c>
      <c r="J559" s="361"/>
      <c r="K559" s="361">
        <v>4</v>
      </c>
      <c r="L559" s="359" t="s">
        <v>1122</v>
      </c>
      <c r="M559" s="361">
        <v>4</v>
      </c>
      <c r="N559" s="359" t="s">
        <v>1122</v>
      </c>
      <c r="O559" s="361">
        <v>4</v>
      </c>
      <c r="P559" s="359" t="s">
        <v>1122</v>
      </c>
      <c r="Q559" s="233">
        <v>30</v>
      </c>
      <c r="R559" s="400"/>
      <c r="S559" s="400"/>
      <c r="T559" s="401"/>
      <c r="U559" s="401"/>
      <c r="V559" s="401"/>
      <c r="W559" s="400"/>
      <c r="X559" s="400"/>
      <c r="Y559" s="401"/>
      <c r="Z559" s="401"/>
      <c r="AA559" s="401"/>
      <c r="AB559" s="402"/>
      <c r="AC559" s="402"/>
      <c r="AD559" s="402"/>
      <c r="AE559" s="402"/>
      <c r="AF559" s="402"/>
      <c r="AG559" s="332"/>
    </row>
    <row r="560" spans="1:33" s="333" customFormat="1" ht="18" customHeight="1">
      <c r="A560" s="382"/>
      <c r="B560" s="358" t="s">
        <v>1526</v>
      </c>
      <c r="C560" s="359">
        <v>1</v>
      </c>
      <c r="D560" s="359">
        <v>1</v>
      </c>
      <c r="E560" s="359">
        <v>1</v>
      </c>
      <c r="F560" s="359"/>
      <c r="G560" s="360">
        <v>1.5</v>
      </c>
      <c r="H560" s="360">
        <v>1.5</v>
      </c>
      <c r="I560" s="361">
        <v>0</v>
      </c>
      <c r="J560" s="361"/>
      <c r="K560" s="361">
        <v>6</v>
      </c>
      <c r="L560" s="359"/>
      <c r="M560" s="361">
        <v>6</v>
      </c>
      <c r="N560" s="359"/>
      <c r="O560" s="361">
        <v>6</v>
      </c>
      <c r="P560" s="233"/>
      <c r="Q560" s="233">
        <v>30</v>
      </c>
      <c r="R560" s="400"/>
      <c r="S560" s="400"/>
      <c r="T560" s="401"/>
      <c r="U560" s="401"/>
      <c r="V560" s="401"/>
      <c r="W560" s="400"/>
      <c r="X560" s="400"/>
      <c r="Y560" s="401"/>
      <c r="Z560" s="401"/>
      <c r="AA560" s="401"/>
      <c r="AB560" s="402"/>
      <c r="AC560" s="402"/>
      <c r="AD560" s="402"/>
      <c r="AE560" s="402"/>
      <c r="AF560" s="402"/>
      <c r="AG560" s="332"/>
    </row>
    <row r="561" spans="1:33" s="333" customFormat="1" ht="18" customHeight="1">
      <c r="A561" s="382"/>
      <c r="B561" s="358" t="s">
        <v>1525</v>
      </c>
      <c r="C561" s="359">
        <v>2</v>
      </c>
      <c r="D561" s="359">
        <v>2</v>
      </c>
      <c r="E561" s="359">
        <v>2</v>
      </c>
      <c r="F561" s="359">
        <v>2</v>
      </c>
      <c r="G561" s="360">
        <v>1.1000000000000001</v>
      </c>
      <c r="H561" s="360">
        <v>1.1000000000000001</v>
      </c>
      <c r="I561" s="361">
        <v>0</v>
      </c>
      <c r="J561" s="361"/>
      <c r="K561" s="361">
        <v>4</v>
      </c>
      <c r="L561" s="359" t="s">
        <v>1122</v>
      </c>
      <c r="M561" s="361">
        <v>4</v>
      </c>
      <c r="N561" s="359" t="s">
        <v>1122</v>
      </c>
      <c r="O561" s="361">
        <v>4</v>
      </c>
      <c r="P561" s="359" t="s">
        <v>1122</v>
      </c>
      <c r="Q561" s="233">
        <v>30</v>
      </c>
      <c r="R561" s="400"/>
      <c r="S561" s="400"/>
      <c r="T561" s="401"/>
      <c r="U561" s="401"/>
      <c r="V561" s="401"/>
      <c r="W561" s="400"/>
      <c r="X561" s="400"/>
      <c r="Y561" s="401"/>
      <c r="Z561" s="401"/>
      <c r="AA561" s="401"/>
      <c r="AB561" s="402"/>
      <c r="AC561" s="402"/>
      <c r="AD561" s="402"/>
      <c r="AE561" s="402"/>
      <c r="AF561" s="402"/>
      <c r="AG561" s="332"/>
    </row>
    <row r="562" spans="1:33" s="333" customFormat="1" ht="18" customHeight="1">
      <c r="A562" s="382"/>
      <c r="B562" s="358" t="s">
        <v>1527</v>
      </c>
      <c r="C562" s="359">
        <v>1</v>
      </c>
      <c r="D562" s="359">
        <v>1</v>
      </c>
      <c r="E562" s="359">
        <v>1</v>
      </c>
      <c r="F562" s="359">
        <v>1</v>
      </c>
      <c r="G562" s="360">
        <v>1.5</v>
      </c>
      <c r="H562" s="360">
        <v>1.5</v>
      </c>
      <c r="I562" s="361">
        <v>0</v>
      </c>
      <c r="J562" s="361"/>
      <c r="K562" s="361">
        <v>4</v>
      </c>
      <c r="L562" s="359" t="s">
        <v>1122</v>
      </c>
      <c r="M562" s="361">
        <v>4</v>
      </c>
      <c r="N562" s="359" t="s">
        <v>1122</v>
      </c>
      <c r="O562" s="361">
        <v>4</v>
      </c>
      <c r="P562" s="359" t="s">
        <v>1122</v>
      </c>
      <c r="Q562" s="233">
        <v>30</v>
      </c>
      <c r="R562" s="400"/>
      <c r="S562" s="400"/>
      <c r="T562" s="401"/>
      <c r="U562" s="401"/>
      <c r="V562" s="401"/>
      <c r="W562" s="400"/>
      <c r="X562" s="400"/>
      <c r="Y562" s="401"/>
      <c r="Z562" s="401"/>
      <c r="AA562" s="401"/>
      <c r="AB562" s="402"/>
      <c r="AC562" s="402"/>
      <c r="AD562" s="402"/>
      <c r="AE562" s="402"/>
      <c r="AF562" s="402"/>
      <c r="AG562" s="332"/>
    </row>
    <row r="563" spans="1:33" s="333" customFormat="1" ht="18" customHeight="1">
      <c r="A563" s="382"/>
      <c r="B563" s="358" t="s">
        <v>1525</v>
      </c>
      <c r="C563" s="359">
        <v>1</v>
      </c>
      <c r="D563" s="359">
        <v>1</v>
      </c>
      <c r="E563" s="359">
        <v>2</v>
      </c>
      <c r="F563" s="359">
        <v>2</v>
      </c>
      <c r="G563" s="360">
        <v>1.1000000000000001</v>
      </c>
      <c r="H563" s="360">
        <v>1.1000000000000001</v>
      </c>
      <c r="I563" s="361">
        <v>0</v>
      </c>
      <c r="J563" s="361"/>
      <c r="K563" s="361">
        <v>4</v>
      </c>
      <c r="L563" s="359" t="s">
        <v>1122</v>
      </c>
      <c r="M563" s="361">
        <v>4</v>
      </c>
      <c r="N563" s="359" t="s">
        <v>1122</v>
      </c>
      <c r="O563" s="361">
        <v>4</v>
      </c>
      <c r="P563" s="359" t="s">
        <v>1122</v>
      </c>
      <c r="Q563" s="233">
        <v>30</v>
      </c>
      <c r="R563" s="400"/>
      <c r="S563" s="400"/>
      <c r="T563" s="401"/>
      <c r="U563" s="401"/>
      <c r="V563" s="401"/>
      <c r="W563" s="400"/>
      <c r="X563" s="400"/>
      <c r="Y563" s="401"/>
      <c r="Z563" s="401"/>
      <c r="AA563" s="401"/>
      <c r="AB563" s="402"/>
      <c r="AC563" s="402"/>
      <c r="AD563" s="402"/>
      <c r="AE563" s="402"/>
      <c r="AF563" s="402"/>
      <c r="AG563" s="332"/>
    </row>
    <row r="564" spans="1:33" s="333" customFormat="1" ht="18" customHeight="1">
      <c r="A564" s="382"/>
      <c r="B564" s="358" t="s">
        <v>1528</v>
      </c>
      <c r="C564" s="359">
        <v>2</v>
      </c>
      <c r="D564" s="359">
        <v>2</v>
      </c>
      <c r="E564" s="359">
        <v>4</v>
      </c>
      <c r="F564" s="359">
        <v>4</v>
      </c>
      <c r="G564" s="360">
        <v>15</v>
      </c>
      <c r="H564" s="360">
        <v>15</v>
      </c>
      <c r="I564" s="361">
        <v>0</v>
      </c>
      <c r="J564" s="361"/>
      <c r="K564" s="361">
        <v>4</v>
      </c>
      <c r="L564" s="359" t="s">
        <v>1122</v>
      </c>
      <c r="M564" s="361">
        <v>4</v>
      </c>
      <c r="N564" s="359" t="s">
        <v>1122</v>
      </c>
      <c r="O564" s="361">
        <v>4</v>
      </c>
      <c r="P564" s="359" t="s">
        <v>1122</v>
      </c>
      <c r="Q564" s="233">
        <v>30</v>
      </c>
      <c r="R564" s="400"/>
      <c r="S564" s="400"/>
      <c r="T564" s="401"/>
      <c r="U564" s="401"/>
      <c r="V564" s="401"/>
      <c r="W564" s="400"/>
      <c r="X564" s="400"/>
      <c r="Y564" s="401"/>
      <c r="Z564" s="401"/>
      <c r="AA564" s="401"/>
      <c r="AB564" s="402"/>
      <c r="AC564" s="402"/>
      <c r="AD564" s="402"/>
      <c r="AE564" s="402"/>
      <c r="AF564" s="402"/>
      <c r="AG564" s="332"/>
    </row>
    <row r="565" spans="1:33" s="333" customFormat="1" ht="18" customHeight="1">
      <c r="A565" s="382"/>
      <c r="B565" s="358" t="s">
        <v>1529</v>
      </c>
      <c r="C565" s="359">
        <v>1</v>
      </c>
      <c r="D565" s="359">
        <v>1</v>
      </c>
      <c r="E565" s="359">
        <v>1</v>
      </c>
      <c r="F565" s="359">
        <v>1</v>
      </c>
      <c r="G565" s="360">
        <v>18</v>
      </c>
      <c r="H565" s="360">
        <v>18</v>
      </c>
      <c r="I565" s="361">
        <v>0</v>
      </c>
      <c r="J565" s="361"/>
      <c r="K565" s="361">
        <v>4</v>
      </c>
      <c r="L565" s="359" t="s">
        <v>1122</v>
      </c>
      <c r="M565" s="361">
        <v>4</v>
      </c>
      <c r="N565" s="359" t="s">
        <v>1122</v>
      </c>
      <c r="O565" s="361">
        <v>4</v>
      </c>
      <c r="P565" s="359" t="s">
        <v>1122</v>
      </c>
      <c r="Q565" s="233">
        <v>30</v>
      </c>
      <c r="R565" s="400"/>
      <c r="S565" s="400"/>
      <c r="T565" s="401"/>
      <c r="U565" s="401"/>
      <c r="V565" s="401"/>
      <c r="W565" s="400"/>
      <c r="X565" s="400"/>
      <c r="Y565" s="401"/>
      <c r="Z565" s="401"/>
      <c r="AA565" s="401"/>
      <c r="AB565" s="402"/>
      <c r="AC565" s="402"/>
      <c r="AD565" s="402"/>
      <c r="AE565" s="402"/>
      <c r="AF565" s="402"/>
      <c r="AG565" s="332"/>
    </row>
    <row r="566" spans="1:33" s="333" customFormat="1" ht="18" customHeight="1">
      <c r="A566" s="382"/>
      <c r="B566" s="358" t="s">
        <v>1530</v>
      </c>
      <c r="C566" s="359">
        <v>1</v>
      </c>
      <c r="D566" s="359">
        <v>1</v>
      </c>
      <c r="E566" s="359">
        <v>1</v>
      </c>
      <c r="F566" s="359">
        <v>1</v>
      </c>
      <c r="G566" s="360">
        <v>36</v>
      </c>
      <c r="H566" s="360">
        <v>36</v>
      </c>
      <c r="I566" s="361">
        <v>0</v>
      </c>
      <c r="J566" s="361"/>
      <c r="K566" s="361">
        <v>4</v>
      </c>
      <c r="L566" s="359" t="s">
        <v>1122</v>
      </c>
      <c r="M566" s="361">
        <v>4</v>
      </c>
      <c r="N566" s="359" t="s">
        <v>1122</v>
      </c>
      <c r="O566" s="361">
        <v>4</v>
      </c>
      <c r="P566" s="359" t="s">
        <v>1122</v>
      </c>
      <c r="Q566" s="233">
        <v>30</v>
      </c>
      <c r="R566" s="400"/>
      <c r="S566" s="400"/>
      <c r="T566" s="401"/>
      <c r="U566" s="401"/>
      <c r="V566" s="401"/>
      <c r="W566" s="400"/>
      <c r="X566" s="400"/>
      <c r="Y566" s="401"/>
      <c r="Z566" s="401"/>
      <c r="AA566" s="401"/>
      <c r="AB566" s="402"/>
      <c r="AC566" s="402"/>
      <c r="AD566" s="402"/>
      <c r="AE566" s="402"/>
      <c r="AF566" s="402"/>
      <c r="AG566" s="332"/>
    </row>
    <row r="567" spans="1:33" s="333" customFormat="1" ht="18" customHeight="1">
      <c r="A567" s="382"/>
      <c r="B567" s="358" t="s">
        <v>1149</v>
      </c>
      <c r="C567" s="359">
        <v>2</v>
      </c>
      <c r="D567" s="359">
        <v>3</v>
      </c>
      <c r="E567" s="359">
        <v>3</v>
      </c>
      <c r="F567" s="359">
        <v>3</v>
      </c>
      <c r="G567" s="360">
        <v>1</v>
      </c>
      <c r="H567" s="360">
        <v>1</v>
      </c>
      <c r="I567" s="361">
        <v>0</v>
      </c>
      <c r="J567" s="361"/>
      <c r="K567" s="361">
        <v>4</v>
      </c>
      <c r="L567" s="359" t="s">
        <v>1122</v>
      </c>
      <c r="M567" s="361">
        <v>4</v>
      </c>
      <c r="N567" s="359" t="s">
        <v>1122</v>
      </c>
      <c r="O567" s="361">
        <v>4</v>
      </c>
      <c r="P567" s="359" t="s">
        <v>1122</v>
      </c>
      <c r="Q567" s="233">
        <v>30</v>
      </c>
      <c r="R567" s="400"/>
      <c r="S567" s="400"/>
      <c r="T567" s="401"/>
      <c r="U567" s="401"/>
      <c r="V567" s="401"/>
      <c r="W567" s="400"/>
      <c r="X567" s="400"/>
      <c r="Y567" s="401"/>
      <c r="Z567" s="401"/>
      <c r="AA567" s="401"/>
      <c r="AB567" s="402"/>
      <c r="AC567" s="402"/>
      <c r="AD567" s="402"/>
      <c r="AE567" s="402"/>
      <c r="AF567" s="402"/>
      <c r="AG567" s="332"/>
    </row>
    <row r="568" spans="1:33" s="333" customFormat="1" ht="18" customHeight="1">
      <c r="A568" s="382"/>
      <c r="B568" s="358" t="s">
        <v>1531</v>
      </c>
      <c r="C568" s="359">
        <v>1</v>
      </c>
      <c r="D568" s="359">
        <v>1</v>
      </c>
      <c r="E568" s="359">
        <v>1</v>
      </c>
      <c r="F568" s="359">
        <v>1</v>
      </c>
      <c r="G568" s="360">
        <v>16</v>
      </c>
      <c r="H568" s="360">
        <v>16</v>
      </c>
      <c r="I568" s="361">
        <v>0</v>
      </c>
      <c r="J568" s="361"/>
      <c r="K568" s="361">
        <v>2</v>
      </c>
      <c r="L568" s="404" t="s">
        <v>1292</v>
      </c>
      <c r="M568" s="361">
        <v>2</v>
      </c>
      <c r="N568" s="404" t="s">
        <v>1292</v>
      </c>
      <c r="O568" s="361">
        <v>2</v>
      </c>
      <c r="P568" s="404" t="s">
        <v>1292</v>
      </c>
      <c r="Q568" s="233">
        <v>30</v>
      </c>
      <c r="R568" s="400"/>
      <c r="S568" s="400"/>
      <c r="T568" s="401"/>
      <c r="U568" s="401"/>
      <c r="V568" s="401"/>
      <c r="W568" s="400"/>
      <c r="X568" s="400"/>
      <c r="Y568" s="401"/>
      <c r="Z568" s="401"/>
      <c r="AA568" s="401"/>
      <c r="AB568" s="402"/>
      <c r="AC568" s="402"/>
      <c r="AD568" s="402"/>
      <c r="AE568" s="402"/>
      <c r="AF568" s="402"/>
      <c r="AG568" s="332"/>
    </row>
    <row r="569" spans="1:33" s="333" customFormat="1" ht="18" customHeight="1">
      <c r="A569" s="382"/>
      <c r="B569" s="358" t="s">
        <v>1532</v>
      </c>
      <c r="C569" s="359">
        <v>2</v>
      </c>
      <c r="D569" s="359">
        <v>2</v>
      </c>
      <c r="E569" s="359">
        <v>2</v>
      </c>
      <c r="F569" s="359">
        <v>2</v>
      </c>
      <c r="G569" s="360">
        <v>15</v>
      </c>
      <c r="H569" s="360">
        <v>15</v>
      </c>
      <c r="I569" s="361">
        <v>0</v>
      </c>
      <c r="J569" s="361"/>
      <c r="K569" s="361">
        <v>2</v>
      </c>
      <c r="L569" s="404" t="s">
        <v>1292</v>
      </c>
      <c r="M569" s="361">
        <v>2</v>
      </c>
      <c r="N569" s="404" t="s">
        <v>1292</v>
      </c>
      <c r="O569" s="361">
        <v>2</v>
      </c>
      <c r="P569" s="404" t="s">
        <v>1292</v>
      </c>
      <c r="Q569" s="233">
        <v>30</v>
      </c>
      <c r="R569" s="400"/>
      <c r="S569" s="400"/>
      <c r="T569" s="401"/>
      <c r="U569" s="401"/>
      <c r="V569" s="401"/>
      <c r="W569" s="400"/>
      <c r="X569" s="400"/>
      <c r="Y569" s="401"/>
      <c r="Z569" s="401"/>
      <c r="AA569" s="401"/>
      <c r="AB569" s="402"/>
      <c r="AC569" s="402"/>
      <c r="AD569" s="402"/>
      <c r="AE569" s="402"/>
      <c r="AF569" s="402"/>
      <c r="AG569" s="332"/>
    </row>
    <row r="570" spans="1:33" s="333" customFormat="1" ht="18" customHeight="1">
      <c r="A570" s="382"/>
      <c r="B570" s="358" t="s">
        <v>1533</v>
      </c>
      <c r="C570" s="359">
        <v>2</v>
      </c>
      <c r="D570" s="359">
        <v>2</v>
      </c>
      <c r="E570" s="359">
        <v>2</v>
      </c>
      <c r="F570" s="359">
        <v>2</v>
      </c>
      <c r="G570" s="360">
        <v>24</v>
      </c>
      <c r="H570" s="360">
        <v>24</v>
      </c>
      <c r="I570" s="361">
        <v>0</v>
      </c>
      <c r="J570" s="361"/>
      <c r="K570" s="361">
        <v>2</v>
      </c>
      <c r="L570" s="404" t="s">
        <v>1292</v>
      </c>
      <c r="M570" s="361">
        <v>2</v>
      </c>
      <c r="N570" s="404" t="s">
        <v>1292</v>
      </c>
      <c r="O570" s="361">
        <v>2</v>
      </c>
      <c r="P570" s="404" t="s">
        <v>1292</v>
      </c>
      <c r="Q570" s="233">
        <v>30</v>
      </c>
      <c r="R570" s="400"/>
      <c r="S570" s="400"/>
      <c r="T570" s="401"/>
      <c r="U570" s="401"/>
      <c r="V570" s="401"/>
      <c r="W570" s="400"/>
      <c r="X570" s="400"/>
      <c r="Y570" s="401"/>
      <c r="Z570" s="401"/>
      <c r="AA570" s="401"/>
      <c r="AB570" s="402"/>
      <c r="AC570" s="402"/>
      <c r="AD570" s="402"/>
      <c r="AE570" s="402"/>
      <c r="AF570" s="402"/>
      <c r="AG570" s="332"/>
    </row>
    <row r="571" spans="1:33" s="333" customFormat="1" ht="18" customHeight="1">
      <c r="A571" s="382"/>
      <c r="B571" s="358" t="s">
        <v>1534</v>
      </c>
      <c r="C571" s="359">
        <v>1</v>
      </c>
      <c r="D571" s="359">
        <v>1</v>
      </c>
      <c r="E571" s="359">
        <v>2</v>
      </c>
      <c r="F571" s="359">
        <v>2</v>
      </c>
      <c r="G571" s="360">
        <v>4</v>
      </c>
      <c r="H571" s="360">
        <v>4</v>
      </c>
      <c r="I571" s="361">
        <v>0</v>
      </c>
      <c r="J571" s="361"/>
      <c r="K571" s="361">
        <v>2</v>
      </c>
      <c r="L571" s="404" t="s">
        <v>1292</v>
      </c>
      <c r="M571" s="361">
        <v>2</v>
      </c>
      <c r="N571" s="404" t="s">
        <v>1292</v>
      </c>
      <c r="O571" s="361">
        <v>2</v>
      </c>
      <c r="P571" s="404" t="s">
        <v>1292</v>
      </c>
      <c r="Q571" s="233">
        <v>30</v>
      </c>
      <c r="R571" s="400"/>
      <c r="S571" s="400"/>
      <c r="T571" s="401"/>
      <c r="U571" s="401"/>
      <c r="V571" s="401"/>
      <c r="W571" s="400"/>
      <c r="X571" s="400"/>
      <c r="Y571" s="401"/>
      <c r="Z571" s="401"/>
      <c r="AA571" s="401"/>
      <c r="AB571" s="402"/>
      <c r="AC571" s="402"/>
      <c r="AD571" s="402"/>
      <c r="AE571" s="402"/>
      <c r="AF571" s="402"/>
      <c r="AG571" s="332"/>
    </row>
    <row r="572" spans="1:33" s="333" customFormat="1" ht="18" customHeight="1">
      <c r="A572" s="382"/>
      <c r="B572" s="358" t="s">
        <v>1535</v>
      </c>
      <c r="C572" s="359">
        <v>1</v>
      </c>
      <c r="D572" s="359">
        <v>2</v>
      </c>
      <c r="E572" s="359">
        <v>2</v>
      </c>
      <c r="F572" s="359">
        <v>2</v>
      </c>
      <c r="G572" s="360">
        <v>64.5</v>
      </c>
      <c r="H572" s="360">
        <v>64.5</v>
      </c>
      <c r="I572" s="361">
        <v>0</v>
      </c>
      <c r="J572" s="361"/>
      <c r="K572" s="361">
        <v>2</v>
      </c>
      <c r="L572" s="404" t="s">
        <v>1292</v>
      </c>
      <c r="M572" s="361">
        <v>2</v>
      </c>
      <c r="N572" s="404" t="s">
        <v>1292</v>
      </c>
      <c r="O572" s="361">
        <v>2</v>
      </c>
      <c r="P572" s="404" t="s">
        <v>1292</v>
      </c>
      <c r="Q572" s="233">
        <v>30</v>
      </c>
      <c r="R572" s="400"/>
      <c r="S572" s="400"/>
      <c r="T572" s="401"/>
      <c r="U572" s="401"/>
      <c r="V572" s="401"/>
      <c r="W572" s="400"/>
      <c r="X572" s="400"/>
      <c r="Y572" s="401"/>
      <c r="Z572" s="401"/>
      <c r="AA572" s="401"/>
      <c r="AB572" s="402"/>
      <c r="AC572" s="402"/>
      <c r="AD572" s="402"/>
      <c r="AE572" s="402"/>
      <c r="AF572" s="402"/>
      <c r="AG572" s="332"/>
    </row>
    <row r="573" spans="1:33" s="333" customFormat="1" ht="18" customHeight="1">
      <c r="A573" s="382"/>
      <c r="B573" s="403" t="s">
        <v>1536</v>
      </c>
      <c r="C573" s="359"/>
      <c r="D573" s="359"/>
      <c r="E573" s="359"/>
      <c r="F573" s="359"/>
      <c r="G573" s="360"/>
      <c r="H573" s="360"/>
      <c r="I573" s="361">
        <v>0</v>
      </c>
      <c r="J573" s="361"/>
      <c r="K573" s="361"/>
      <c r="L573" s="359"/>
      <c r="M573" s="361"/>
      <c r="N573" s="359"/>
      <c r="O573" s="361"/>
      <c r="P573" s="233"/>
      <c r="Q573" s="233">
        <v>30</v>
      </c>
      <c r="R573" s="400"/>
      <c r="S573" s="400"/>
      <c r="T573" s="401"/>
      <c r="U573" s="401"/>
      <c r="V573" s="401"/>
      <c r="W573" s="400"/>
      <c r="X573" s="400"/>
      <c r="Y573" s="401"/>
      <c r="Z573" s="401"/>
      <c r="AA573" s="401"/>
      <c r="AB573" s="402"/>
      <c r="AC573" s="402"/>
      <c r="AD573" s="402"/>
      <c r="AE573" s="402"/>
      <c r="AF573" s="402"/>
      <c r="AG573" s="332"/>
    </row>
    <row r="574" spans="1:33" s="333" customFormat="1" ht="18" customHeight="1">
      <c r="A574" s="382"/>
      <c r="B574" s="358" t="s">
        <v>1457</v>
      </c>
      <c r="C574" s="359">
        <v>1</v>
      </c>
      <c r="D574" s="359">
        <v>1</v>
      </c>
      <c r="E574" s="359">
        <v>1</v>
      </c>
      <c r="F574" s="359">
        <v>1</v>
      </c>
      <c r="G574" s="360">
        <v>0.1</v>
      </c>
      <c r="H574" s="360">
        <v>0.1</v>
      </c>
      <c r="I574" s="361">
        <v>0</v>
      </c>
      <c r="J574" s="361"/>
      <c r="K574" s="361">
        <v>4</v>
      </c>
      <c r="L574" s="359" t="s">
        <v>1122</v>
      </c>
      <c r="M574" s="361">
        <v>4</v>
      </c>
      <c r="N574" s="359" t="s">
        <v>1122</v>
      </c>
      <c r="O574" s="361">
        <v>4</v>
      </c>
      <c r="P574" s="359" t="s">
        <v>1122</v>
      </c>
      <c r="Q574" s="233">
        <v>30</v>
      </c>
      <c r="R574" s="400"/>
      <c r="S574" s="400"/>
      <c r="T574" s="401"/>
      <c r="U574" s="401"/>
      <c r="V574" s="401"/>
      <c r="W574" s="400"/>
      <c r="X574" s="400"/>
      <c r="Y574" s="401"/>
      <c r="Z574" s="401"/>
      <c r="AA574" s="401"/>
      <c r="AB574" s="402"/>
      <c r="AC574" s="402"/>
      <c r="AD574" s="402"/>
      <c r="AE574" s="402"/>
      <c r="AF574" s="402"/>
      <c r="AG574" s="332"/>
    </row>
    <row r="575" spans="1:33" s="333" customFormat="1" ht="18" customHeight="1">
      <c r="A575" s="382"/>
      <c r="B575" s="358" t="s">
        <v>1149</v>
      </c>
      <c r="C575" s="359">
        <v>2</v>
      </c>
      <c r="D575" s="359">
        <v>2</v>
      </c>
      <c r="E575" s="359">
        <v>2</v>
      </c>
      <c r="F575" s="359">
        <v>2</v>
      </c>
      <c r="G575" s="360">
        <v>1</v>
      </c>
      <c r="H575" s="360">
        <v>1</v>
      </c>
      <c r="I575" s="361">
        <v>0</v>
      </c>
      <c r="J575" s="361"/>
      <c r="K575" s="361">
        <v>12</v>
      </c>
      <c r="L575" s="409"/>
      <c r="M575" s="361">
        <v>12</v>
      </c>
      <c r="N575" s="409"/>
      <c r="O575" s="361">
        <v>12</v>
      </c>
      <c r="P575" s="409"/>
      <c r="Q575" s="233">
        <v>30</v>
      </c>
      <c r="R575" s="400"/>
      <c r="S575" s="400"/>
      <c r="T575" s="401"/>
      <c r="U575" s="401"/>
      <c r="V575" s="401"/>
      <c r="W575" s="400"/>
      <c r="X575" s="400"/>
      <c r="Y575" s="401"/>
      <c r="Z575" s="401"/>
      <c r="AA575" s="401"/>
      <c r="AB575" s="402"/>
      <c r="AC575" s="402"/>
      <c r="AD575" s="402"/>
      <c r="AE575" s="402"/>
      <c r="AF575" s="402"/>
      <c r="AG575" s="332"/>
    </row>
    <row r="576" spans="1:33" s="333" customFormat="1" ht="18" customHeight="1">
      <c r="A576" s="382"/>
      <c r="B576" s="358" t="s">
        <v>1537</v>
      </c>
      <c r="C576" s="359">
        <v>1</v>
      </c>
      <c r="D576" s="359">
        <v>1</v>
      </c>
      <c r="E576" s="359">
        <v>1</v>
      </c>
      <c r="F576" s="359">
        <v>1</v>
      </c>
      <c r="G576" s="360">
        <v>0.3</v>
      </c>
      <c r="H576" s="360">
        <v>0.3</v>
      </c>
      <c r="I576" s="361">
        <v>0</v>
      </c>
      <c r="J576" s="361"/>
      <c r="K576" s="361">
        <v>2</v>
      </c>
      <c r="L576" s="359"/>
      <c r="M576" s="361">
        <v>2</v>
      </c>
      <c r="N576" s="359"/>
      <c r="O576" s="361">
        <v>2</v>
      </c>
      <c r="P576" s="233"/>
      <c r="Q576" s="233">
        <v>30</v>
      </c>
      <c r="R576" s="400"/>
      <c r="S576" s="400"/>
      <c r="T576" s="401"/>
      <c r="U576" s="401"/>
      <c r="V576" s="401"/>
      <c r="W576" s="400"/>
      <c r="X576" s="400"/>
      <c r="Y576" s="401"/>
      <c r="Z576" s="401"/>
      <c r="AA576" s="401"/>
      <c r="AB576" s="402"/>
      <c r="AC576" s="402"/>
      <c r="AD576" s="402"/>
      <c r="AE576" s="402"/>
      <c r="AF576" s="402"/>
      <c r="AG576" s="332"/>
    </row>
    <row r="577" spans="1:33" s="333" customFormat="1" ht="18" customHeight="1">
      <c r="A577" s="382"/>
      <c r="B577" s="358" t="s">
        <v>1538</v>
      </c>
      <c r="C577" s="359">
        <v>1</v>
      </c>
      <c r="D577" s="359">
        <v>1</v>
      </c>
      <c r="E577" s="359">
        <v>1</v>
      </c>
      <c r="F577" s="359">
        <v>1</v>
      </c>
      <c r="G577" s="360">
        <v>5.5</v>
      </c>
      <c r="H577" s="360">
        <v>5.5</v>
      </c>
      <c r="I577" s="361">
        <v>0</v>
      </c>
      <c r="J577" s="361"/>
      <c r="K577" s="361">
        <v>12</v>
      </c>
      <c r="L577" s="409"/>
      <c r="M577" s="361">
        <v>12</v>
      </c>
      <c r="N577" s="409"/>
      <c r="O577" s="361">
        <v>12</v>
      </c>
      <c r="P577" s="409"/>
      <c r="Q577" s="233">
        <v>30</v>
      </c>
      <c r="R577" s="400"/>
      <c r="S577" s="400"/>
      <c r="T577" s="401"/>
      <c r="U577" s="401"/>
      <c r="V577" s="401"/>
      <c r="W577" s="400"/>
      <c r="X577" s="400"/>
      <c r="Y577" s="401"/>
      <c r="Z577" s="401"/>
      <c r="AA577" s="401"/>
      <c r="AB577" s="402"/>
      <c r="AC577" s="402"/>
      <c r="AD577" s="402"/>
      <c r="AE577" s="402"/>
      <c r="AF577" s="402"/>
      <c r="AG577" s="332"/>
    </row>
    <row r="578" spans="1:33" s="333" customFormat="1" ht="18" customHeight="1">
      <c r="A578" s="382"/>
      <c r="B578" s="403" t="s">
        <v>1539</v>
      </c>
      <c r="C578" s="359"/>
      <c r="D578" s="359"/>
      <c r="E578" s="359"/>
      <c r="F578" s="359"/>
      <c r="G578" s="360"/>
      <c r="H578" s="360"/>
      <c r="I578" s="361">
        <v>0</v>
      </c>
      <c r="J578" s="361"/>
      <c r="K578" s="361"/>
      <c r="L578" s="359"/>
      <c r="M578" s="361"/>
      <c r="N578" s="359"/>
      <c r="O578" s="361"/>
      <c r="P578" s="233"/>
      <c r="Q578" s="233">
        <v>30</v>
      </c>
      <c r="R578" s="400"/>
      <c r="S578" s="400"/>
      <c r="T578" s="401"/>
      <c r="U578" s="401"/>
      <c r="V578" s="401"/>
      <c r="W578" s="400"/>
      <c r="X578" s="400"/>
      <c r="Y578" s="401"/>
      <c r="Z578" s="401"/>
      <c r="AA578" s="401"/>
      <c r="AB578" s="402"/>
      <c r="AC578" s="402"/>
      <c r="AD578" s="402"/>
      <c r="AE578" s="402"/>
      <c r="AF578" s="402"/>
      <c r="AG578" s="332"/>
    </row>
    <row r="579" spans="1:33" s="333" customFormat="1" ht="18" customHeight="1">
      <c r="A579" s="382"/>
      <c r="B579" s="358" t="s">
        <v>1149</v>
      </c>
      <c r="C579" s="359">
        <v>2</v>
      </c>
      <c r="D579" s="359">
        <v>2</v>
      </c>
      <c r="E579" s="359">
        <v>2</v>
      </c>
      <c r="F579" s="359">
        <v>2</v>
      </c>
      <c r="G579" s="360">
        <v>1</v>
      </c>
      <c r="H579" s="360">
        <v>1</v>
      </c>
      <c r="I579" s="361">
        <v>0</v>
      </c>
      <c r="J579" s="361"/>
      <c r="K579" s="361">
        <v>12</v>
      </c>
      <c r="L579" s="409"/>
      <c r="M579" s="361">
        <v>12</v>
      </c>
      <c r="N579" s="409"/>
      <c r="O579" s="361">
        <v>12</v>
      </c>
      <c r="P579" s="409"/>
      <c r="Q579" s="233">
        <v>30</v>
      </c>
      <c r="R579" s="400"/>
      <c r="S579" s="400"/>
      <c r="T579" s="401"/>
      <c r="U579" s="401"/>
      <c r="V579" s="401"/>
      <c r="W579" s="400"/>
      <c r="X579" s="400"/>
      <c r="Y579" s="401"/>
      <c r="Z579" s="401"/>
      <c r="AA579" s="401"/>
      <c r="AB579" s="402"/>
      <c r="AC579" s="402"/>
      <c r="AD579" s="402"/>
      <c r="AE579" s="402"/>
      <c r="AF579" s="402"/>
      <c r="AG579" s="332"/>
    </row>
    <row r="580" spans="1:33" s="333" customFormat="1" ht="18" customHeight="1">
      <c r="A580" s="382"/>
      <c r="B580" s="358" t="s">
        <v>1540</v>
      </c>
      <c r="C580" s="359">
        <v>2</v>
      </c>
      <c r="D580" s="359">
        <v>3</v>
      </c>
      <c r="E580" s="359">
        <v>3</v>
      </c>
      <c r="F580" s="359">
        <v>3</v>
      </c>
      <c r="G580" s="360">
        <v>2.2000000000000002</v>
      </c>
      <c r="H580" s="360">
        <v>2.2000000000000002</v>
      </c>
      <c r="I580" s="361">
        <v>0</v>
      </c>
      <c r="J580" s="361"/>
      <c r="K580" s="361">
        <v>4</v>
      </c>
      <c r="L580" s="359"/>
      <c r="M580" s="361">
        <v>4</v>
      </c>
      <c r="N580" s="359"/>
      <c r="O580" s="361">
        <v>4</v>
      </c>
      <c r="P580" s="233"/>
      <c r="Q580" s="233">
        <v>30</v>
      </c>
      <c r="R580" s="400"/>
      <c r="S580" s="400"/>
      <c r="T580" s="401"/>
      <c r="U580" s="401"/>
      <c r="V580" s="401"/>
      <c r="W580" s="400"/>
      <c r="X580" s="400"/>
      <c r="Y580" s="401"/>
      <c r="Z580" s="401"/>
      <c r="AA580" s="401"/>
      <c r="AB580" s="402"/>
      <c r="AC580" s="402"/>
      <c r="AD580" s="402"/>
      <c r="AE580" s="402"/>
      <c r="AF580" s="402"/>
      <c r="AG580" s="332"/>
    </row>
    <row r="581" spans="1:33" s="333" customFormat="1" ht="18" customHeight="1">
      <c r="A581" s="382"/>
      <c r="B581" s="358" t="s">
        <v>1541</v>
      </c>
      <c r="C581" s="359">
        <v>1</v>
      </c>
      <c r="D581" s="359">
        <v>1</v>
      </c>
      <c r="E581" s="359">
        <v>1</v>
      </c>
      <c r="F581" s="359">
        <v>1</v>
      </c>
      <c r="G581" s="360">
        <v>4.8</v>
      </c>
      <c r="H581" s="360">
        <v>4.8</v>
      </c>
      <c r="I581" s="361">
        <v>0</v>
      </c>
      <c r="J581" s="361"/>
      <c r="K581" s="361">
        <v>2</v>
      </c>
      <c r="L581" s="404" t="s">
        <v>1292</v>
      </c>
      <c r="M581" s="361">
        <v>2</v>
      </c>
      <c r="N581" s="404" t="s">
        <v>1292</v>
      </c>
      <c r="O581" s="361">
        <v>2</v>
      </c>
      <c r="P581" s="404" t="s">
        <v>1292</v>
      </c>
      <c r="Q581" s="233">
        <v>30</v>
      </c>
      <c r="R581" s="400"/>
      <c r="S581" s="400"/>
      <c r="T581" s="401"/>
      <c r="U581" s="401"/>
      <c r="V581" s="401"/>
      <c r="W581" s="400"/>
      <c r="X581" s="400"/>
      <c r="Y581" s="401"/>
      <c r="Z581" s="401"/>
      <c r="AA581" s="401"/>
      <c r="AB581" s="402"/>
      <c r="AC581" s="402"/>
      <c r="AD581" s="402"/>
      <c r="AE581" s="402"/>
      <c r="AF581" s="402"/>
      <c r="AG581" s="332"/>
    </row>
    <row r="582" spans="1:33" s="333" customFormat="1" ht="18" customHeight="1">
      <c r="A582" s="382"/>
      <c r="B582" s="358" t="s">
        <v>1542</v>
      </c>
      <c r="C582" s="359">
        <v>1</v>
      </c>
      <c r="D582" s="359">
        <v>1</v>
      </c>
      <c r="E582" s="359">
        <v>1</v>
      </c>
      <c r="F582" s="359">
        <v>1</v>
      </c>
      <c r="G582" s="360">
        <v>4.8</v>
      </c>
      <c r="H582" s="360">
        <v>4.8</v>
      </c>
      <c r="I582" s="361">
        <v>0</v>
      </c>
      <c r="J582" s="361"/>
      <c r="K582" s="361">
        <v>2</v>
      </c>
      <c r="L582" s="404" t="s">
        <v>1292</v>
      </c>
      <c r="M582" s="361">
        <v>2</v>
      </c>
      <c r="N582" s="404" t="s">
        <v>1292</v>
      </c>
      <c r="O582" s="361">
        <v>2</v>
      </c>
      <c r="P582" s="404" t="s">
        <v>1292</v>
      </c>
      <c r="Q582" s="233">
        <v>30</v>
      </c>
      <c r="R582" s="400"/>
      <c r="S582" s="400"/>
      <c r="T582" s="401"/>
      <c r="U582" s="401"/>
      <c r="V582" s="401"/>
      <c r="W582" s="400"/>
      <c r="X582" s="400"/>
      <c r="Y582" s="401"/>
      <c r="Z582" s="401"/>
      <c r="AA582" s="401"/>
      <c r="AB582" s="402"/>
      <c r="AC582" s="402"/>
      <c r="AD582" s="402"/>
      <c r="AE582" s="402"/>
      <c r="AF582" s="402"/>
      <c r="AG582" s="332"/>
    </row>
    <row r="583" spans="1:33" s="333" customFormat="1" ht="18" customHeight="1">
      <c r="A583" s="382"/>
      <c r="B583" s="358" t="s">
        <v>1543</v>
      </c>
      <c r="C583" s="359">
        <v>1</v>
      </c>
      <c r="D583" s="359">
        <v>1</v>
      </c>
      <c r="E583" s="359">
        <v>1</v>
      </c>
      <c r="F583" s="359">
        <v>1</v>
      </c>
      <c r="G583" s="360">
        <v>4.8</v>
      </c>
      <c r="H583" s="360">
        <v>4.8</v>
      </c>
      <c r="I583" s="361">
        <v>0</v>
      </c>
      <c r="J583" s="361"/>
      <c r="K583" s="361">
        <v>2</v>
      </c>
      <c r="L583" s="404" t="s">
        <v>1292</v>
      </c>
      <c r="M583" s="361">
        <v>2</v>
      </c>
      <c r="N583" s="404" t="s">
        <v>1292</v>
      </c>
      <c r="O583" s="361">
        <v>2</v>
      </c>
      <c r="P583" s="404" t="s">
        <v>1292</v>
      </c>
      <c r="Q583" s="233">
        <v>30</v>
      </c>
      <c r="R583" s="400"/>
      <c r="S583" s="400"/>
      <c r="T583" s="401"/>
      <c r="U583" s="401"/>
      <c r="V583" s="401"/>
      <c r="W583" s="400"/>
      <c r="X583" s="400"/>
      <c r="Y583" s="401"/>
      <c r="Z583" s="401"/>
      <c r="AA583" s="401"/>
      <c r="AB583" s="402"/>
      <c r="AC583" s="402"/>
      <c r="AD583" s="402"/>
      <c r="AE583" s="402"/>
      <c r="AF583" s="402"/>
      <c r="AG583" s="332"/>
    </row>
    <row r="584" spans="1:33" s="333" customFormat="1" ht="18" customHeight="1">
      <c r="A584" s="382"/>
      <c r="B584" s="358" t="s">
        <v>1529</v>
      </c>
      <c r="C584" s="359">
        <v>1</v>
      </c>
      <c r="D584" s="359">
        <v>1</v>
      </c>
      <c r="E584" s="359">
        <v>1</v>
      </c>
      <c r="F584" s="359">
        <v>1</v>
      </c>
      <c r="G584" s="360">
        <v>16</v>
      </c>
      <c r="H584" s="360">
        <v>16</v>
      </c>
      <c r="I584" s="361">
        <v>0</v>
      </c>
      <c r="J584" s="361"/>
      <c r="K584" s="361">
        <v>2</v>
      </c>
      <c r="L584" s="404" t="s">
        <v>1292</v>
      </c>
      <c r="M584" s="361">
        <v>2</v>
      </c>
      <c r="N584" s="404" t="s">
        <v>1292</v>
      </c>
      <c r="O584" s="361">
        <v>2</v>
      </c>
      <c r="P584" s="404" t="s">
        <v>1292</v>
      </c>
      <c r="Q584" s="233">
        <v>30</v>
      </c>
      <c r="R584" s="400"/>
      <c r="S584" s="400"/>
      <c r="T584" s="401"/>
      <c r="U584" s="401"/>
      <c r="V584" s="401"/>
      <c r="W584" s="400"/>
      <c r="X584" s="400"/>
      <c r="Y584" s="401"/>
      <c r="Z584" s="401"/>
      <c r="AA584" s="401"/>
      <c r="AB584" s="402"/>
      <c r="AC584" s="402"/>
      <c r="AD584" s="402"/>
      <c r="AE584" s="402"/>
      <c r="AF584" s="402"/>
      <c r="AG584" s="332"/>
    </row>
    <row r="585" spans="1:33" s="333" customFormat="1" ht="18" customHeight="1">
      <c r="A585" s="382"/>
      <c r="B585" s="358" t="s">
        <v>1544</v>
      </c>
      <c r="C585" s="410">
        <v>1</v>
      </c>
      <c r="D585" s="410">
        <v>1</v>
      </c>
      <c r="E585" s="410">
        <v>1</v>
      </c>
      <c r="F585" s="410">
        <v>1</v>
      </c>
      <c r="G585" s="360">
        <v>12</v>
      </c>
      <c r="H585" s="360">
        <v>12</v>
      </c>
      <c r="I585" s="361">
        <v>0</v>
      </c>
      <c r="J585" s="361"/>
      <c r="K585" s="361">
        <v>2</v>
      </c>
      <c r="L585" s="404" t="s">
        <v>1292</v>
      </c>
      <c r="M585" s="361">
        <v>2</v>
      </c>
      <c r="N585" s="404" t="s">
        <v>1292</v>
      </c>
      <c r="O585" s="361">
        <v>2</v>
      </c>
      <c r="P585" s="404" t="s">
        <v>1292</v>
      </c>
      <c r="Q585" s="233">
        <v>30</v>
      </c>
      <c r="R585" s="400"/>
      <c r="S585" s="400"/>
      <c r="T585" s="401"/>
      <c r="U585" s="401"/>
      <c r="V585" s="401"/>
      <c r="W585" s="400"/>
      <c r="X585" s="400"/>
      <c r="Y585" s="401"/>
      <c r="Z585" s="401"/>
      <c r="AA585" s="401"/>
      <c r="AB585" s="402"/>
      <c r="AC585" s="402"/>
      <c r="AD585" s="402"/>
      <c r="AE585" s="402"/>
      <c r="AF585" s="402"/>
      <c r="AG585" s="332"/>
    </row>
    <row r="586" spans="1:33" s="333" customFormat="1" ht="18" customHeight="1">
      <c r="A586" s="382"/>
      <c r="B586" s="358" t="s">
        <v>1545</v>
      </c>
      <c r="C586" s="410">
        <v>1</v>
      </c>
      <c r="D586" s="410">
        <v>1</v>
      </c>
      <c r="E586" s="410">
        <v>1</v>
      </c>
      <c r="F586" s="410">
        <v>1</v>
      </c>
      <c r="G586" s="360">
        <v>0.4</v>
      </c>
      <c r="H586" s="360">
        <v>0.4</v>
      </c>
      <c r="I586" s="361">
        <v>0</v>
      </c>
      <c r="J586" s="361"/>
      <c r="K586" s="361">
        <v>2</v>
      </c>
      <c r="L586" s="404" t="s">
        <v>1292</v>
      </c>
      <c r="M586" s="361">
        <v>2</v>
      </c>
      <c r="N586" s="404" t="s">
        <v>1292</v>
      </c>
      <c r="O586" s="361">
        <v>2</v>
      </c>
      <c r="P586" s="404" t="s">
        <v>1292</v>
      </c>
      <c r="Q586" s="233">
        <v>30</v>
      </c>
      <c r="R586" s="400"/>
      <c r="S586" s="400"/>
      <c r="T586" s="401"/>
      <c r="U586" s="401"/>
      <c r="V586" s="401"/>
      <c r="W586" s="400"/>
      <c r="X586" s="400"/>
      <c r="Y586" s="401"/>
      <c r="Z586" s="401"/>
      <c r="AA586" s="401"/>
      <c r="AB586" s="402"/>
      <c r="AC586" s="402"/>
      <c r="AD586" s="402"/>
      <c r="AE586" s="402"/>
      <c r="AF586" s="402"/>
      <c r="AG586" s="332"/>
    </row>
    <row r="587" spans="1:33" s="333" customFormat="1" ht="18" customHeight="1">
      <c r="A587" s="382"/>
      <c r="B587" s="358" t="s">
        <v>1546</v>
      </c>
      <c r="C587" s="410">
        <v>1</v>
      </c>
      <c r="D587" s="410">
        <v>1</v>
      </c>
      <c r="E587" s="410">
        <v>1</v>
      </c>
      <c r="F587" s="410">
        <v>1</v>
      </c>
      <c r="G587" s="360">
        <v>0.5</v>
      </c>
      <c r="H587" s="360">
        <v>0.5</v>
      </c>
      <c r="I587" s="361">
        <v>0</v>
      </c>
      <c r="J587" s="361"/>
      <c r="K587" s="361">
        <v>2</v>
      </c>
      <c r="L587" s="404" t="s">
        <v>1292</v>
      </c>
      <c r="M587" s="361">
        <v>2</v>
      </c>
      <c r="N587" s="404" t="s">
        <v>1292</v>
      </c>
      <c r="O587" s="361">
        <v>2</v>
      </c>
      <c r="P587" s="404" t="s">
        <v>1292</v>
      </c>
      <c r="Q587" s="233">
        <v>30</v>
      </c>
      <c r="R587" s="400"/>
      <c r="S587" s="400"/>
      <c r="T587" s="401"/>
      <c r="U587" s="401"/>
      <c r="V587" s="401"/>
      <c r="W587" s="400"/>
      <c r="X587" s="400"/>
      <c r="Y587" s="401"/>
      <c r="Z587" s="401"/>
      <c r="AA587" s="401"/>
      <c r="AB587" s="402"/>
      <c r="AC587" s="402"/>
      <c r="AD587" s="402"/>
      <c r="AE587" s="402"/>
      <c r="AF587" s="402"/>
      <c r="AG587" s="332"/>
    </row>
    <row r="588" spans="1:33" s="333" customFormat="1" ht="18" customHeight="1">
      <c r="A588" s="382"/>
      <c r="B588" s="358" t="s">
        <v>1547</v>
      </c>
      <c r="C588" s="410">
        <v>2</v>
      </c>
      <c r="D588" s="410">
        <v>2</v>
      </c>
      <c r="E588" s="410">
        <v>2</v>
      </c>
      <c r="F588" s="410">
        <v>2</v>
      </c>
      <c r="G588" s="360">
        <v>2.4</v>
      </c>
      <c r="H588" s="360">
        <v>2.4</v>
      </c>
      <c r="I588" s="361">
        <v>0</v>
      </c>
      <c r="J588" s="361"/>
      <c r="K588" s="361">
        <v>2</v>
      </c>
      <c r="L588" s="404" t="s">
        <v>1292</v>
      </c>
      <c r="M588" s="361">
        <v>2</v>
      </c>
      <c r="N588" s="404" t="s">
        <v>1292</v>
      </c>
      <c r="O588" s="361">
        <v>2</v>
      </c>
      <c r="P588" s="404" t="s">
        <v>1292</v>
      </c>
      <c r="Q588" s="233">
        <v>30</v>
      </c>
      <c r="R588" s="400"/>
      <c r="S588" s="400"/>
      <c r="T588" s="401"/>
      <c r="U588" s="401"/>
      <c r="V588" s="401"/>
      <c r="W588" s="400"/>
      <c r="X588" s="400"/>
      <c r="Y588" s="401"/>
      <c r="Z588" s="401"/>
      <c r="AA588" s="401"/>
      <c r="AB588" s="402"/>
      <c r="AC588" s="402"/>
      <c r="AD588" s="402"/>
      <c r="AE588" s="402"/>
      <c r="AF588" s="402"/>
      <c r="AG588" s="332"/>
    </row>
    <row r="589" spans="1:33" s="333" customFormat="1" ht="18" customHeight="1">
      <c r="A589" s="382"/>
      <c r="B589" s="358" t="s">
        <v>1548</v>
      </c>
      <c r="C589" s="410">
        <v>2</v>
      </c>
      <c r="D589" s="410">
        <v>2</v>
      </c>
      <c r="E589" s="410">
        <v>2</v>
      </c>
      <c r="F589" s="410">
        <v>2</v>
      </c>
      <c r="G589" s="360">
        <v>4.8</v>
      </c>
      <c r="H589" s="360">
        <v>4.8</v>
      </c>
      <c r="I589" s="361">
        <v>0</v>
      </c>
      <c r="J589" s="361"/>
      <c r="K589" s="361">
        <v>2</v>
      </c>
      <c r="L589" s="404" t="s">
        <v>1292</v>
      </c>
      <c r="M589" s="361">
        <v>2</v>
      </c>
      <c r="N589" s="404" t="s">
        <v>1292</v>
      </c>
      <c r="O589" s="361">
        <v>2</v>
      </c>
      <c r="P589" s="404" t="s">
        <v>1292</v>
      </c>
      <c r="Q589" s="233">
        <v>30</v>
      </c>
      <c r="R589" s="400"/>
      <c r="S589" s="400"/>
      <c r="T589" s="401"/>
      <c r="U589" s="401"/>
      <c r="V589" s="401"/>
      <c r="W589" s="400"/>
      <c r="X589" s="400"/>
      <c r="Y589" s="401"/>
      <c r="Z589" s="401"/>
      <c r="AA589" s="401"/>
      <c r="AB589" s="402"/>
      <c r="AC589" s="402"/>
      <c r="AD589" s="402"/>
      <c r="AE589" s="402"/>
      <c r="AF589" s="402"/>
      <c r="AG589" s="332"/>
    </row>
    <row r="590" spans="1:33" s="333" customFormat="1" ht="18" customHeight="1">
      <c r="A590" s="382"/>
      <c r="B590" s="358" t="s">
        <v>1549</v>
      </c>
      <c r="C590" s="410">
        <v>1</v>
      </c>
      <c r="D590" s="410">
        <v>1</v>
      </c>
      <c r="E590" s="410">
        <v>1</v>
      </c>
      <c r="F590" s="410">
        <v>1</v>
      </c>
      <c r="G590" s="360">
        <v>1.5</v>
      </c>
      <c r="H590" s="360">
        <v>1.5</v>
      </c>
      <c r="I590" s="361">
        <v>0</v>
      </c>
      <c r="J590" s="361"/>
      <c r="K590" s="361"/>
      <c r="L590" s="359"/>
      <c r="M590" s="361"/>
      <c r="N590" s="359"/>
      <c r="O590" s="361"/>
      <c r="P590" s="233"/>
      <c r="Q590" s="233">
        <v>30</v>
      </c>
      <c r="R590" s="400"/>
      <c r="S590" s="400"/>
      <c r="T590" s="401"/>
      <c r="U590" s="401"/>
      <c r="V590" s="401"/>
      <c r="W590" s="400"/>
      <c r="X590" s="400"/>
      <c r="Y590" s="401"/>
      <c r="Z590" s="401"/>
      <c r="AA590" s="401"/>
      <c r="AB590" s="402"/>
      <c r="AC590" s="402"/>
      <c r="AD590" s="402"/>
      <c r="AE590" s="402"/>
      <c r="AF590" s="402"/>
      <c r="AG590" s="332"/>
    </row>
    <row r="591" spans="1:33" s="333" customFormat="1" ht="18" customHeight="1">
      <c r="A591" s="382"/>
      <c r="B591" s="358" t="s">
        <v>1457</v>
      </c>
      <c r="C591" s="410">
        <v>1</v>
      </c>
      <c r="D591" s="410">
        <v>1</v>
      </c>
      <c r="E591" s="410">
        <v>1</v>
      </c>
      <c r="F591" s="410">
        <v>1</v>
      </c>
      <c r="G591" s="360">
        <v>0.1</v>
      </c>
      <c r="H591" s="360">
        <v>0.1</v>
      </c>
      <c r="I591" s="361">
        <v>0</v>
      </c>
      <c r="J591" s="226"/>
      <c r="K591" s="361">
        <v>24</v>
      </c>
      <c r="L591" s="226" t="s">
        <v>996</v>
      </c>
      <c r="M591" s="361">
        <v>24</v>
      </c>
      <c r="N591" s="226" t="s">
        <v>996</v>
      </c>
      <c r="O591" s="361">
        <v>24</v>
      </c>
      <c r="P591" s="226" t="s">
        <v>996</v>
      </c>
      <c r="Q591" s="233">
        <v>30</v>
      </c>
      <c r="R591" s="400"/>
      <c r="S591" s="400"/>
      <c r="T591" s="401"/>
      <c r="U591" s="401"/>
      <c r="V591" s="401"/>
      <c r="W591" s="400"/>
      <c r="X591" s="400"/>
      <c r="Y591" s="401"/>
      <c r="Z591" s="401"/>
      <c r="AA591" s="401"/>
      <c r="AB591" s="402"/>
      <c r="AC591" s="402"/>
      <c r="AD591" s="402"/>
      <c r="AE591" s="402"/>
      <c r="AF591" s="402"/>
      <c r="AG591" s="332"/>
    </row>
    <row r="592" spans="1:33" s="333" customFormat="1" ht="18" customHeight="1">
      <c r="A592" s="382"/>
      <c r="B592" s="358" t="s">
        <v>1546</v>
      </c>
      <c r="C592" s="410">
        <v>1</v>
      </c>
      <c r="D592" s="410">
        <v>1</v>
      </c>
      <c r="E592" s="410">
        <v>1</v>
      </c>
      <c r="F592" s="410">
        <v>1</v>
      </c>
      <c r="G592" s="360">
        <v>0.5</v>
      </c>
      <c r="H592" s="360">
        <v>0.5</v>
      </c>
      <c r="I592" s="361">
        <v>0</v>
      </c>
      <c r="J592" s="361"/>
      <c r="K592" s="361">
        <v>4</v>
      </c>
      <c r="L592" s="359" t="s">
        <v>1122</v>
      </c>
      <c r="M592" s="361">
        <v>4</v>
      </c>
      <c r="N592" s="359" t="s">
        <v>1122</v>
      </c>
      <c r="O592" s="361">
        <v>4</v>
      </c>
      <c r="P592" s="359" t="s">
        <v>1122</v>
      </c>
      <c r="Q592" s="233">
        <v>30</v>
      </c>
      <c r="R592" s="400"/>
      <c r="S592" s="400"/>
      <c r="T592" s="401"/>
      <c r="U592" s="401"/>
      <c r="V592" s="401"/>
      <c r="W592" s="400"/>
      <c r="X592" s="400"/>
      <c r="Y592" s="401"/>
      <c r="Z592" s="401"/>
      <c r="AA592" s="401"/>
      <c r="AB592" s="402"/>
      <c r="AC592" s="402"/>
      <c r="AD592" s="402"/>
      <c r="AE592" s="402"/>
      <c r="AF592" s="402"/>
      <c r="AG592" s="332"/>
    </row>
    <row r="593" spans="1:33" s="333" customFormat="1" ht="18" customHeight="1">
      <c r="A593" s="382"/>
      <c r="B593" s="403" t="s">
        <v>1550</v>
      </c>
      <c r="C593" s="359"/>
      <c r="D593" s="359"/>
      <c r="E593" s="359"/>
      <c r="F593" s="359"/>
      <c r="G593" s="360"/>
      <c r="H593" s="360"/>
      <c r="I593" s="361">
        <v>0</v>
      </c>
      <c r="J593" s="361"/>
      <c r="K593" s="361"/>
      <c r="L593" s="359"/>
      <c r="M593" s="361"/>
      <c r="N593" s="359"/>
      <c r="O593" s="361"/>
      <c r="P593" s="233"/>
      <c r="Q593" s="233">
        <v>30</v>
      </c>
      <c r="R593" s="400"/>
      <c r="S593" s="400"/>
      <c r="T593" s="401"/>
      <c r="U593" s="401"/>
      <c r="V593" s="401"/>
      <c r="W593" s="400"/>
      <c r="X593" s="400"/>
      <c r="Y593" s="401"/>
      <c r="Z593" s="401"/>
      <c r="AA593" s="401"/>
      <c r="AB593" s="402"/>
      <c r="AC593" s="402"/>
      <c r="AD593" s="402"/>
      <c r="AE593" s="402"/>
      <c r="AF593" s="402"/>
      <c r="AG593" s="332"/>
    </row>
    <row r="594" spans="1:33" s="333" customFormat="1" ht="18" customHeight="1">
      <c r="A594" s="382"/>
      <c r="B594" s="358" t="s">
        <v>1457</v>
      </c>
      <c r="C594" s="410">
        <v>1</v>
      </c>
      <c r="D594" s="410">
        <v>1</v>
      </c>
      <c r="E594" s="410">
        <v>1</v>
      </c>
      <c r="F594" s="410">
        <v>1</v>
      </c>
      <c r="G594" s="360">
        <v>0.1</v>
      </c>
      <c r="H594" s="360">
        <v>0.1</v>
      </c>
      <c r="I594" s="361">
        <v>0</v>
      </c>
      <c r="J594" s="361"/>
      <c r="K594" s="361">
        <v>4</v>
      </c>
      <c r="L594" s="359" t="s">
        <v>1122</v>
      </c>
      <c r="M594" s="361">
        <v>4</v>
      </c>
      <c r="N594" s="359" t="s">
        <v>1122</v>
      </c>
      <c r="O594" s="361">
        <v>4</v>
      </c>
      <c r="P594" s="359" t="s">
        <v>1122</v>
      </c>
      <c r="Q594" s="233">
        <v>30</v>
      </c>
      <c r="R594" s="400"/>
      <c r="S594" s="400"/>
      <c r="T594" s="401"/>
      <c r="U594" s="401"/>
      <c r="V594" s="401"/>
      <c r="W594" s="400"/>
      <c r="X594" s="400"/>
      <c r="Y594" s="401"/>
      <c r="Z594" s="401"/>
      <c r="AA594" s="401"/>
      <c r="AB594" s="402"/>
      <c r="AC594" s="402"/>
      <c r="AD594" s="402"/>
      <c r="AE594" s="402"/>
      <c r="AF594" s="402"/>
      <c r="AG594" s="332"/>
    </row>
    <row r="595" spans="1:33" s="333" customFormat="1" ht="18" customHeight="1">
      <c r="A595" s="382"/>
      <c r="B595" s="403" t="s">
        <v>1551</v>
      </c>
      <c r="C595" s="359"/>
      <c r="D595" s="359"/>
      <c r="E595" s="359"/>
      <c r="F595" s="359"/>
      <c r="G595" s="360"/>
      <c r="H595" s="360"/>
      <c r="I595" s="361">
        <v>0</v>
      </c>
      <c r="J595" s="361"/>
      <c r="K595" s="361"/>
      <c r="L595" s="359"/>
      <c r="M595" s="361"/>
      <c r="N595" s="359"/>
      <c r="O595" s="361"/>
      <c r="P595" s="233"/>
      <c r="Q595" s="233">
        <v>30</v>
      </c>
      <c r="R595" s="400"/>
      <c r="S595" s="400"/>
      <c r="T595" s="401"/>
      <c r="U595" s="401"/>
      <c r="V595" s="401"/>
      <c r="W595" s="400"/>
      <c r="X595" s="400"/>
      <c r="Y595" s="401"/>
      <c r="Z595" s="401"/>
      <c r="AA595" s="401"/>
      <c r="AB595" s="402"/>
      <c r="AC595" s="402"/>
      <c r="AD595" s="402"/>
      <c r="AE595" s="402"/>
      <c r="AF595" s="402"/>
      <c r="AG595" s="332"/>
    </row>
    <row r="596" spans="1:33" s="333" customFormat="1" ht="18" customHeight="1">
      <c r="A596" s="382"/>
      <c r="B596" s="358" t="s">
        <v>1457</v>
      </c>
      <c r="C596" s="410">
        <v>1</v>
      </c>
      <c r="D596" s="410">
        <v>1</v>
      </c>
      <c r="E596" s="410">
        <v>1</v>
      </c>
      <c r="F596" s="410">
        <v>1</v>
      </c>
      <c r="G596" s="360">
        <v>0.1</v>
      </c>
      <c r="H596" s="360">
        <v>0.1</v>
      </c>
      <c r="I596" s="361">
        <v>0</v>
      </c>
      <c r="J596" s="361"/>
      <c r="K596" s="361">
        <v>24</v>
      </c>
      <c r="L596" s="226" t="s">
        <v>996</v>
      </c>
      <c r="M596" s="361">
        <v>24</v>
      </c>
      <c r="N596" s="226" t="s">
        <v>996</v>
      </c>
      <c r="O596" s="361">
        <v>24</v>
      </c>
      <c r="P596" s="226" t="s">
        <v>996</v>
      </c>
      <c r="Q596" s="361">
        <v>24</v>
      </c>
      <c r="R596" s="226" t="s">
        <v>996</v>
      </c>
      <c r="S596" s="400"/>
      <c r="T596" s="401"/>
      <c r="U596" s="401"/>
      <c r="V596" s="401"/>
      <c r="W596" s="400"/>
      <c r="X596" s="400"/>
      <c r="Y596" s="401"/>
      <c r="Z596" s="401"/>
      <c r="AA596" s="401"/>
      <c r="AB596" s="402"/>
      <c r="AC596" s="402"/>
      <c r="AD596" s="402"/>
      <c r="AE596" s="402"/>
      <c r="AF596" s="402"/>
      <c r="AG596" s="332"/>
    </row>
    <row r="597" spans="1:33" s="333" customFormat="1" ht="18" customHeight="1">
      <c r="A597" s="382"/>
      <c r="B597" s="358" t="s">
        <v>1445</v>
      </c>
      <c r="C597" s="410">
        <v>1</v>
      </c>
      <c r="D597" s="410">
        <v>1</v>
      </c>
      <c r="E597" s="410">
        <v>1</v>
      </c>
      <c r="F597" s="410">
        <v>1</v>
      </c>
      <c r="G597" s="360">
        <v>62.8</v>
      </c>
      <c r="H597" s="360">
        <v>62.8</v>
      </c>
      <c r="I597" s="361">
        <v>0</v>
      </c>
      <c r="J597" s="361"/>
      <c r="K597" s="361">
        <v>4</v>
      </c>
      <c r="L597" s="359" t="s">
        <v>1122</v>
      </c>
      <c r="M597" s="361">
        <v>4</v>
      </c>
      <c r="N597" s="359" t="s">
        <v>1122</v>
      </c>
      <c r="O597" s="361">
        <v>4</v>
      </c>
      <c r="P597" s="359" t="s">
        <v>1122</v>
      </c>
      <c r="Q597" s="233">
        <v>30</v>
      </c>
      <c r="R597" s="400"/>
      <c r="S597" s="400"/>
      <c r="T597" s="401"/>
      <c r="U597" s="401"/>
      <c r="V597" s="401"/>
      <c r="W597" s="400"/>
      <c r="X597" s="400"/>
      <c r="Y597" s="401"/>
      <c r="Z597" s="401"/>
      <c r="AA597" s="401"/>
      <c r="AB597" s="402"/>
      <c r="AC597" s="402"/>
      <c r="AD597" s="402"/>
      <c r="AE597" s="402"/>
      <c r="AF597" s="402"/>
      <c r="AG597" s="332"/>
    </row>
    <row r="598" spans="1:33" s="333" customFormat="1" ht="18" customHeight="1">
      <c r="A598" s="382"/>
      <c r="B598" s="358" t="s">
        <v>1457</v>
      </c>
      <c r="C598" s="410">
        <v>1</v>
      </c>
      <c r="D598" s="410">
        <v>1</v>
      </c>
      <c r="E598" s="410">
        <v>1</v>
      </c>
      <c r="F598" s="410">
        <v>1</v>
      </c>
      <c r="G598" s="360">
        <v>0.1</v>
      </c>
      <c r="H598" s="360">
        <v>0.1</v>
      </c>
      <c r="I598" s="361">
        <v>0</v>
      </c>
      <c r="J598" s="361"/>
      <c r="K598" s="361">
        <v>4</v>
      </c>
      <c r="L598" s="359" t="s">
        <v>1122</v>
      </c>
      <c r="M598" s="361">
        <v>4</v>
      </c>
      <c r="N598" s="359" t="s">
        <v>1122</v>
      </c>
      <c r="O598" s="361">
        <v>4</v>
      </c>
      <c r="P598" s="359" t="s">
        <v>1122</v>
      </c>
      <c r="Q598" s="233">
        <v>30</v>
      </c>
      <c r="R598" s="400"/>
      <c r="S598" s="400"/>
      <c r="T598" s="401"/>
      <c r="U598" s="401"/>
      <c r="V598" s="401"/>
      <c r="W598" s="400"/>
      <c r="X598" s="400"/>
      <c r="Y598" s="401"/>
      <c r="Z598" s="401"/>
      <c r="AA598" s="401"/>
      <c r="AB598" s="402"/>
      <c r="AC598" s="402"/>
      <c r="AD598" s="402"/>
      <c r="AE598" s="402"/>
      <c r="AF598" s="402"/>
      <c r="AG598" s="332"/>
    </row>
    <row r="599" spans="1:33" s="333" customFormat="1" ht="18" customHeight="1">
      <c r="A599" s="382"/>
      <c r="B599" s="358" t="s">
        <v>1154</v>
      </c>
      <c r="C599" s="410">
        <v>1</v>
      </c>
      <c r="D599" s="410">
        <v>1</v>
      </c>
      <c r="E599" s="410">
        <v>2</v>
      </c>
      <c r="F599" s="410">
        <v>2</v>
      </c>
      <c r="G599" s="360">
        <v>14.8</v>
      </c>
      <c r="H599" s="360">
        <v>14.8</v>
      </c>
      <c r="I599" s="361">
        <v>0</v>
      </c>
      <c r="J599" s="361"/>
      <c r="K599" s="361">
        <v>4</v>
      </c>
      <c r="L599" s="359" t="s">
        <v>1122</v>
      </c>
      <c r="M599" s="361">
        <v>4</v>
      </c>
      <c r="N599" s="359" t="s">
        <v>1122</v>
      </c>
      <c r="O599" s="361">
        <v>4</v>
      </c>
      <c r="P599" s="359" t="s">
        <v>1122</v>
      </c>
      <c r="Q599" s="233">
        <v>30</v>
      </c>
      <c r="R599" s="400"/>
      <c r="S599" s="400"/>
      <c r="T599" s="401"/>
      <c r="U599" s="401"/>
      <c r="V599" s="401"/>
      <c r="W599" s="400"/>
      <c r="X599" s="400"/>
      <c r="Y599" s="401"/>
      <c r="Z599" s="401"/>
      <c r="AA599" s="401"/>
      <c r="AB599" s="402"/>
      <c r="AC599" s="402"/>
      <c r="AD599" s="402"/>
      <c r="AE599" s="402"/>
      <c r="AF599" s="402"/>
      <c r="AG599" s="332"/>
    </row>
    <row r="600" spans="1:33" s="333" customFormat="1" ht="18" customHeight="1">
      <c r="A600" s="382"/>
      <c r="B600" s="403" t="s">
        <v>1552</v>
      </c>
      <c r="C600" s="359"/>
      <c r="D600" s="359"/>
      <c r="E600" s="359"/>
      <c r="F600" s="359"/>
      <c r="G600" s="360"/>
      <c r="H600" s="360"/>
      <c r="I600" s="361">
        <v>0</v>
      </c>
      <c r="J600" s="361"/>
      <c r="K600" s="361"/>
      <c r="L600" s="359"/>
      <c r="M600" s="361"/>
      <c r="N600" s="359"/>
      <c r="O600" s="361"/>
      <c r="P600" s="233"/>
      <c r="Q600" s="233">
        <v>30</v>
      </c>
      <c r="R600" s="400"/>
      <c r="S600" s="400"/>
      <c r="T600" s="401"/>
      <c r="U600" s="401"/>
      <c r="V600" s="401"/>
      <c r="W600" s="400"/>
      <c r="X600" s="400"/>
      <c r="Y600" s="401"/>
      <c r="Z600" s="401"/>
      <c r="AA600" s="401"/>
      <c r="AB600" s="402"/>
      <c r="AC600" s="402"/>
      <c r="AD600" s="402"/>
      <c r="AE600" s="402"/>
      <c r="AF600" s="402"/>
      <c r="AG600" s="332"/>
    </row>
    <row r="601" spans="1:33" s="333" customFormat="1" ht="18" customHeight="1">
      <c r="A601" s="382"/>
      <c r="B601" s="358" t="s">
        <v>1553</v>
      </c>
      <c r="C601" s="410">
        <v>9</v>
      </c>
      <c r="D601" s="410">
        <v>9</v>
      </c>
      <c r="E601" s="410">
        <v>9</v>
      </c>
      <c r="F601" s="410">
        <v>9</v>
      </c>
      <c r="G601" s="360">
        <v>1.3</v>
      </c>
      <c r="H601" s="360">
        <v>1.3</v>
      </c>
      <c r="I601" s="361">
        <v>0</v>
      </c>
      <c r="J601" s="361"/>
      <c r="K601" s="361">
        <v>4</v>
      </c>
      <c r="L601" s="359" t="s">
        <v>1122</v>
      </c>
      <c r="M601" s="361">
        <v>4</v>
      </c>
      <c r="N601" s="359" t="s">
        <v>1122</v>
      </c>
      <c r="O601" s="361">
        <v>4</v>
      </c>
      <c r="P601" s="359" t="s">
        <v>1122</v>
      </c>
      <c r="Q601" s="233">
        <v>30</v>
      </c>
      <c r="R601" s="400"/>
      <c r="S601" s="400"/>
      <c r="T601" s="401"/>
      <c r="U601" s="401"/>
      <c r="V601" s="401"/>
      <c r="W601" s="400"/>
      <c r="X601" s="400"/>
      <c r="Y601" s="401"/>
      <c r="Z601" s="401"/>
      <c r="AA601" s="401"/>
      <c r="AB601" s="402"/>
      <c r="AC601" s="402"/>
      <c r="AD601" s="402"/>
      <c r="AE601" s="402"/>
      <c r="AF601" s="402"/>
      <c r="AG601" s="332"/>
    </row>
    <row r="602" spans="1:33" s="333" customFormat="1" ht="18" customHeight="1">
      <c r="A602" s="382"/>
      <c r="B602" s="358" t="s">
        <v>1547</v>
      </c>
      <c r="C602" s="410">
        <v>32</v>
      </c>
      <c r="D602" s="410">
        <v>32</v>
      </c>
      <c r="E602" s="410">
        <v>32</v>
      </c>
      <c r="F602" s="410">
        <v>32</v>
      </c>
      <c r="G602" s="360">
        <v>2.4</v>
      </c>
      <c r="H602" s="360">
        <v>2.4</v>
      </c>
      <c r="I602" s="361">
        <v>0</v>
      </c>
      <c r="J602" s="361"/>
      <c r="K602" s="361">
        <v>4</v>
      </c>
      <c r="L602" s="359" t="s">
        <v>1122</v>
      </c>
      <c r="M602" s="361">
        <v>4</v>
      </c>
      <c r="N602" s="359" t="s">
        <v>1122</v>
      </c>
      <c r="O602" s="361">
        <v>4</v>
      </c>
      <c r="P602" s="359" t="s">
        <v>1122</v>
      </c>
      <c r="Q602" s="233">
        <v>30</v>
      </c>
      <c r="R602" s="400"/>
      <c r="S602" s="400"/>
      <c r="T602" s="401"/>
      <c r="U602" s="401"/>
      <c r="V602" s="401"/>
      <c r="W602" s="400"/>
      <c r="X602" s="400"/>
      <c r="Y602" s="401"/>
      <c r="Z602" s="401"/>
      <c r="AA602" s="401"/>
      <c r="AB602" s="402"/>
      <c r="AC602" s="402"/>
      <c r="AD602" s="402"/>
      <c r="AE602" s="402"/>
      <c r="AF602" s="402"/>
      <c r="AG602" s="332"/>
    </row>
    <row r="603" spans="1:33" s="333" customFormat="1" ht="18" customHeight="1">
      <c r="A603" s="382"/>
      <c r="B603" s="358" t="s">
        <v>1547</v>
      </c>
      <c r="C603" s="410">
        <v>1</v>
      </c>
      <c r="D603" s="410">
        <v>1</v>
      </c>
      <c r="E603" s="410">
        <v>1</v>
      </c>
      <c r="F603" s="410">
        <v>1</v>
      </c>
      <c r="G603" s="360">
        <v>2.4</v>
      </c>
      <c r="H603" s="360">
        <v>2.4</v>
      </c>
      <c r="I603" s="361">
        <v>0</v>
      </c>
      <c r="J603" s="361"/>
      <c r="K603" s="361">
        <v>4</v>
      </c>
      <c r="L603" s="359" t="s">
        <v>1122</v>
      </c>
      <c r="M603" s="361">
        <v>4</v>
      </c>
      <c r="N603" s="359" t="s">
        <v>1122</v>
      </c>
      <c r="O603" s="361">
        <v>4</v>
      </c>
      <c r="P603" s="359" t="s">
        <v>1122</v>
      </c>
      <c r="Q603" s="233">
        <v>30</v>
      </c>
      <c r="R603" s="400"/>
      <c r="S603" s="400"/>
      <c r="T603" s="401"/>
      <c r="U603" s="401"/>
      <c r="V603" s="401"/>
      <c r="W603" s="400"/>
      <c r="X603" s="400"/>
      <c r="Y603" s="401"/>
      <c r="Z603" s="401"/>
      <c r="AA603" s="401"/>
      <c r="AB603" s="402"/>
      <c r="AC603" s="402"/>
      <c r="AD603" s="402"/>
      <c r="AE603" s="402"/>
      <c r="AF603" s="402"/>
      <c r="AG603" s="332"/>
    </row>
    <row r="604" spans="1:33" s="333" customFormat="1" ht="18" customHeight="1">
      <c r="A604" s="382"/>
      <c r="B604" s="403" t="s">
        <v>1554</v>
      </c>
      <c r="C604" s="359"/>
      <c r="D604" s="359"/>
      <c r="E604" s="359"/>
      <c r="F604" s="359"/>
      <c r="G604" s="360"/>
      <c r="H604" s="360"/>
      <c r="I604" s="361">
        <v>0</v>
      </c>
      <c r="J604" s="361"/>
      <c r="K604" s="361"/>
      <c r="L604" s="359"/>
      <c r="M604" s="361"/>
      <c r="N604" s="359"/>
      <c r="O604" s="361"/>
      <c r="P604" s="233"/>
      <c r="Q604" s="233">
        <v>30</v>
      </c>
      <c r="R604" s="400"/>
      <c r="S604" s="400"/>
      <c r="T604" s="401"/>
      <c r="U604" s="401"/>
      <c r="V604" s="401"/>
      <c r="W604" s="400"/>
      <c r="X604" s="400"/>
      <c r="Y604" s="401"/>
      <c r="Z604" s="401"/>
      <c r="AA604" s="401"/>
      <c r="AB604" s="402"/>
      <c r="AC604" s="402"/>
      <c r="AD604" s="402"/>
      <c r="AE604" s="402"/>
      <c r="AF604" s="402"/>
      <c r="AG604" s="332"/>
    </row>
    <row r="605" spans="1:33" s="333" customFormat="1" ht="18" customHeight="1">
      <c r="A605" s="382"/>
      <c r="B605" s="358" t="s">
        <v>1555</v>
      </c>
      <c r="C605" s="410">
        <v>2</v>
      </c>
      <c r="D605" s="410">
        <v>2</v>
      </c>
      <c r="E605" s="410">
        <v>2</v>
      </c>
      <c r="F605" s="410">
        <v>2</v>
      </c>
      <c r="G605" s="360">
        <v>2.2999999999999998</v>
      </c>
      <c r="H605" s="360">
        <v>2.2999999999999998</v>
      </c>
      <c r="I605" s="361">
        <v>0</v>
      </c>
      <c r="J605" s="361"/>
      <c r="K605" s="361">
        <v>4</v>
      </c>
      <c r="L605" s="359" t="s">
        <v>1122</v>
      </c>
      <c r="M605" s="361">
        <v>4</v>
      </c>
      <c r="N605" s="359" t="s">
        <v>1122</v>
      </c>
      <c r="O605" s="361">
        <v>4</v>
      </c>
      <c r="P605" s="359" t="s">
        <v>1122</v>
      </c>
      <c r="Q605" s="233">
        <v>30</v>
      </c>
      <c r="R605" s="400"/>
      <c r="S605" s="400"/>
      <c r="T605" s="401"/>
      <c r="U605" s="401"/>
      <c r="V605" s="401"/>
      <c r="W605" s="400"/>
      <c r="X605" s="400"/>
      <c r="Y605" s="401"/>
      <c r="Z605" s="401"/>
      <c r="AA605" s="401"/>
      <c r="AB605" s="402"/>
      <c r="AC605" s="402"/>
      <c r="AD605" s="402"/>
      <c r="AE605" s="402"/>
      <c r="AF605" s="402"/>
      <c r="AG605" s="332"/>
    </row>
    <row r="606" spans="1:33" s="333" customFormat="1" ht="18" customHeight="1">
      <c r="A606" s="382"/>
      <c r="B606" s="403" t="s">
        <v>1556</v>
      </c>
      <c r="C606" s="359"/>
      <c r="D606" s="359"/>
      <c r="E606" s="359"/>
      <c r="F606" s="359"/>
      <c r="G606" s="360"/>
      <c r="H606" s="360"/>
      <c r="I606" s="361">
        <v>0</v>
      </c>
      <c r="J606" s="361"/>
      <c r="K606" s="361"/>
      <c r="L606" s="359"/>
      <c r="M606" s="361"/>
      <c r="N606" s="359"/>
      <c r="O606" s="361"/>
      <c r="P606" s="233"/>
      <c r="Q606" s="233">
        <v>30</v>
      </c>
      <c r="R606" s="400"/>
      <c r="S606" s="400"/>
      <c r="T606" s="401"/>
      <c r="U606" s="401"/>
      <c r="V606" s="401"/>
      <c r="W606" s="400"/>
      <c r="X606" s="400"/>
      <c r="Y606" s="401"/>
      <c r="Z606" s="401"/>
      <c r="AA606" s="401"/>
      <c r="AB606" s="402"/>
      <c r="AC606" s="402"/>
      <c r="AD606" s="402"/>
      <c r="AE606" s="402"/>
      <c r="AF606" s="402"/>
      <c r="AG606" s="332"/>
    </row>
    <row r="607" spans="1:33" s="333" customFormat="1" ht="18" customHeight="1">
      <c r="A607" s="382"/>
      <c r="B607" s="358" t="s">
        <v>1457</v>
      </c>
      <c r="C607" s="410">
        <v>2</v>
      </c>
      <c r="D607" s="410">
        <v>2</v>
      </c>
      <c r="E607" s="410">
        <v>2</v>
      </c>
      <c r="F607" s="410">
        <v>2</v>
      </c>
      <c r="G607" s="360">
        <v>0.1</v>
      </c>
      <c r="H607" s="360">
        <v>0.1</v>
      </c>
      <c r="I607" s="361">
        <v>0</v>
      </c>
      <c r="J607" s="361"/>
      <c r="K607" s="361">
        <v>24</v>
      </c>
      <c r="L607" s="226" t="s">
        <v>996</v>
      </c>
      <c r="M607" s="361">
        <v>24</v>
      </c>
      <c r="N607" s="226" t="s">
        <v>996</v>
      </c>
      <c r="O607" s="361">
        <v>24</v>
      </c>
      <c r="P607" s="226" t="s">
        <v>996</v>
      </c>
      <c r="Q607" s="361">
        <v>24</v>
      </c>
      <c r="R607" s="226" t="s">
        <v>996</v>
      </c>
      <c r="S607" s="400"/>
      <c r="T607" s="401"/>
      <c r="U607" s="401"/>
      <c r="V607" s="401"/>
      <c r="W607" s="400"/>
      <c r="X607" s="400"/>
      <c r="Y607" s="401"/>
      <c r="Z607" s="401"/>
      <c r="AA607" s="401"/>
      <c r="AB607" s="402"/>
      <c r="AC607" s="402"/>
      <c r="AD607" s="402"/>
      <c r="AE607" s="402"/>
      <c r="AF607" s="402"/>
      <c r="AG607" s="332"/>
    </row>
    <row r="608" spans="1:33" s="333" customFormat="1" ht="18" customHeight="1">
      <c r="A608" s="382"/>
      <c r="B608" s="403" t="s">
        <v>1520</v>
      </c>
      <c r="C608" s="359"/>
      <c r="D608" s="359"/>
      <c r="E608" s="359"/>
      <c r="F608" s="359"/>
      <c r="G608" s="360"/>
      <c r="H608" s="360"/>
      <c r="I608" s="361">
        <v>0</v>
      </c>
      <c r="J608" s="361"/>
      <c r="K608" s="361"/>
      <c r="L608" s="359"/>
      <c r="M608" s="361"/>
      <c r="N608" s="359"/>
      <c r="O608" s="361"/>
      <c r="P608" s="233"/>
      <c r="Q608" s="233">
        <v>30</v>
      </c>
      <c r="R608" s="400"/>
      <c r="S608" s="400"/>
      <c r="T608" s="401"/>
      <c r="U608" s="401"/>
      <c r="V608" s="401"/>
      <c r="W608" s="400"/>
      <c r="X608" s="400"/>
      <c r="Y608" s="401"/>
      <c r="Z608" s="401"/>
      <c r="AA608" s="401"/>
      <c r="AB608" s="402"/>
      <c r="AC608" s="402"/>
      <c r="AD608" s="402"/>
      <c r="AE608" s="402"/>
      <c r="AF608" s="402"/>
      <c r="AG608" s="332"/>
    </row>
    <row r="609" spans="1:33" s="333" customFormat="1" ht="18" customHeight="1">
      <c r="A609" s="382"/>
      <c r="B609" s="358" t="s">
        <v>1457</v>
      </c>
      <c r="C609" s="410">
        <v>2</v>
      </c>
      <c r="D609" s="410">
        <v>2</v>
      </c>
      <c r="E609" s="410">
        <v>2</v>
      </c>
      <c r="F609" s="410">
        <v>2</v>
      </c>
      <c r="G609" s="360">
        <v>0.1</v>
      </c>
      <c r="H609" s="360">
        <v>0.1</v>
      </c>
      <c r="I609" s="361">
        <v>0</v>
      </c>
      <c r="J609" s="361"/>
      <c r="K609" s="361">
        <v>24</v>
      </c>
      <c r="L609" s="226" t="s">
        <v>996</v>
      </c>
      <c r="M609" s="361">
        <v>24</v>
      </c>
      <c r="N609" s="226" t="s">
        <v>996</v>
      </c>
      <c r="O609" s="361">
        <v>24</v>
      </c>
      <c r="P609" s="226" t="s">
        <v>996</v>
      </c>
      <c r="Q609" s="361">
        <v>24</v>
      </c>
      <c r="R609" s="226" t="s">
        <v>996</v>
      </c>
      <c r="S609" s="400"/>
      <c r="T609" s="401"/>
      <c r="U609" s="401"/>
      <c r="V609" s="401"/>
      <c r="W609" s="400"/>
      <c r="X609" s="400"/>
      <c r="Y609" s="401"/>
      <c r="Z609" s="401"/>
      <c r="AA609" s="401"/>
      <c r="AB609" s="402"/>
      <c r="AC609" s="402"/>
      <c r="AD609" s="402"/>
      <c r="AE609" s="402"/>
      <c r="AF609" s="402"/>
      <c r="AG609" s="332"/>
    </row>
    <row r="610" spans="1:33" s="333" customFormat="1" ht="18" customHeight="1">
      <c r="A610" s="382"/>
      <c r="B610" s="358" t="s">
        <v>1521</v>
      </c>
      <c r="C610" s="410">
        <v>2</v>
      </c>
      <c r="D610" s="410">
        <v>2</v>
      </c>
      <c r="E610" s="410">
        <v>2</v>
      </c>
      <c r="F610" s="410">
        <v>2</v>
      </c>
      <c r="G610" s="360">
        <v>1.6</v>
      </c>
      <c r="H610" s="360">
        <v>1.6</v>
      </c>
      <c r="I610" s="361">
        <v>0</v>
      </c>
      <c r="J610" s="361"/>
      <c r="K610" s="361">
        <v>12</v>
      </c>
      <c r="L610" s="411"/>
      <c r="M610" s="361">
        <v>12</v>
      </c>
      <c r="N610" s="411"/>
      <c r="O610" s="361">
        <v>12</v>
      </c>
      <c r="P610" s="411"/>
      <c r="Q610" s="233">
        <v>30</v>
      </c>
      <c r="R610" s="400"/>
      <c r="S610" s="400"/>
      <c r="T610" s="401"/>
      <c r="U610" s="401"/>
      <c r="V610" s="401"/>
      <c r="W610" s="400"/>
      <c r="X610" s="400"/>
      <c r="Y610" s="401"/>
      <c r="Z610" s="401"/>
      <c r="AA610" s="401"/>
      <c r="AB610" s="402"/>
      <c r="AC610" s="402"/>
      <c r="AD610" s="402"/>
      <c r="AE610" s="402"/>
      <c r="AF610" s="402"/>
      <c r="AG610" s="332"/>
    </row>
    <row r="611" spans="1:33" s="333" customFormat="1" ht="18" customHeight="1">
      <c r="A611" s="382"/>
      <c r="B611" s="403" t="s">
        <v>1485</v>
      </c>
      <c r="C611" s="359"/>
      <c r="D611" s="359"/>
      <c r="E611" s="359"/>
      <c r="F611" s="359"/>
      <c r="G611" s="360"/>
      <c r="H611" s="360"/>
      <c r="I611" s="361">
        <v>0</v>
      </c>
      <c r="J611" s="361"/>
      <c r="K611" s="361"/>
      <c r="L611" s="359"/>
      <c r="M611" s="361"/>
      <c r="N611" s="359"/>
      <c r="O611" s="361"/>
      <c r="P611" s="233"/>
      <c r="Q611" s="233">
        <v>30</v>
      </c>
      <c r="R611" s="400"/>
      <c r="S611" s="400"/>
      <c r="T611" s="401"/>
      <c r="U611" s="401"/>
      <c r="V611" s="401"/>
      <c r="W611" s="400"/>
      <c r="X611" s="400"/>
      <c r="Y611" s="401"/>
      <c r="Z611" s="401"/>
      <c r="AA611" s="401"/>
      <c r="AB611" s="402"/>
      <c r="AC611" s="402"/>
      <c r="AD611" s="402"/>
      <c r="AE611" s="402"/>
      <c r="AF611" s="402"/>
      <c r="AG611" s="332"/>
    </row>
    <row r="612" spans="1:33" s="333" customFormat="1" ht="18" customHeight="1">
      <c r="A612" s="382"/>
      <c r="B612" s="358" t="s">
        <v>1141</v>
      </c>
      <c r="C612" s="359">
        <v>1</v>
      </c>
      <c r="D612" s="359">
        <v>1</v>
      </c>
      <c r="E612" s="359">
        <v>1</v>
      </c>
      <c r="F612" s="359">
        <v>1</v>
      </c>
      <c r="G612" s="360">
        <v>3.4</v>
      </c>
      <c r="H612" s="360">
        <v>3.4</v>
      </c>
      <c r="I612" s="361">
        <v>0</v>
      </c>
      <c r="J612" s="361"/>
      <c r="K612" s="361">
        <v>12</v>
      </c>
      <c r="L612" s="411"/>
      <c r="M612" s="361">
        <v>12</v>
      </c>
      <c r="N612" s="411"/>
      <c r="O612" s="361">
        <v>12</v>
      </c>
      <c r="P612" s="411"/>
      <c r="Q612" s="233">
        <v>30</v>
      </c>
      <c r="R612" s="400"/>
      <c r="S612" s="400"/>
      <c r="T612" s="401"/>
      <c r="U612" s="401"/>
      <c r="V612" s="401"/>
      <c r="W612" s="400"/>
      <c r="X612" s="400"/>
      <c r="Y612" s="401"/>
      <c r="Z612" s="401"/>
      <c r="AA612" s="401"/>
      <c r="AB612" s="402"/>
      <c r="AC612" s="402"/>
      <c r="AD612" s="402"/>
      <c r="AE612" s="402"/>
      <c r="AF612" s="402"/>
      <c r="AG612" s="332"/>
    </row>
    <row r="613" spans="1:33" s="333" customFormat="1" ht="18" customHeight="1">
      <c r="A613" s="382"/>
      <c r="B613" s="358" t="s">
        <v>1143</v>
      </c>
      <c r="C613" s="359">
        <v>1</v>
      </c>
      <c r="D613" s="359">
        <v>1</v>
      </c>
      <c r="E613" s="359">
        <v>1</v>
      </c>
      <c r="F613" s="359">
        <v>1</v>
      </c>
      <c r="G613" s="360">
        <v>2</v>
      </c>
      <c r="H613" s="360">
        <v>2</v>
      </c>
      <c r="I613" s="361">
        <v>0</v>
      </c>
      <c r="J613" s="361"/>
      <c r="K613" s="361">
        <v>12</v>
      </c>
      <c r="L613" s="411"/>
      <c r="M613" s="361">
        <v>12</v>
      </c>
      <c r="N613" s="411"/>
      <c r="O613" s="361">
        <v>12</v>
      </c>
      <c r="P613" s="411"/>
      <c r="Q613" s="233">
        <v>30</v>
      </c>
      <c r="R613" s="400"/>
      <c r="S613" s="400"/>
      <c r="T613" s="401"/>
      <c r="U613" s="401"/>
      <c r="V613" s="401"/>
      <c r="W613" s="400"/>
      <c r="X613" s="400"/>
      <c r="Y613" s="401"/>
      <c r="Z613" s="401"/>
      <c r="AA613" s="401"/>
      <c r="AB613" s="402"/>
      <c r="AC613" s="402"/>
      <c r="AD613" s="402"/>
      <c r="AE613" s="402"/>
      <c r="AF613" s="402"/>
      <c r="AG613" s="332"/>
    </row>
    <row r="614" spans="1:33" s="333" customFormat="1" ht="18" customHeight="1">
      <c r="A614" s="382"/>
      <c r="B614" s="403" t="s">
        <v>1536</v>
      </c>
      <c r="C614" s="359"/>
      <c r="D614" s="359"/>
      <c r="E614" s="359"/>
      <c r="F614" s="359"/>
      <c r="G614" s="360"/>
      <c r="H614" s="360"/>
      <c r="I614" s="361">
        <v>0</v>
      </c>
      <c r="J614" s="361"/>
      <c r="K614" s="361"/>
      <c r="L614" s="359"/>
      <c r="M614" s="361"/>
      <c r="N614" s="359"/>
      <c r="O614" s="361"/>
      <c r="P614" s="233"/>
      <c r="Q614" s="233">
        <v>30</v>
      </c>
      <c r="R614" s="400"/>
      <c r="S614" s="400"/>
      <c r="T614" s="401"/>
      <c r="U614" s="401"/>
      <c r="V614" s="401"/>
      <c r="W614" s="400"/>
      <c r="X614" s="400"/>
      <c r="Y614" s="401"/>
      <c r="Z614" s="401"/>
      <c r="AA614" s="401"/>
      <c r="AB614" s="402"/>
      <c r="AC614" s="402"/>
      <c r="AD614" s="402"/>
      <c r="AE614" s="402"/>
      <c r="AF614" s="402"/>
      <c r="AG614" s="332"/>
    </row>
    <row r="615" spans="1:33" s="333" customFormat="1" ht="18" customHeight="1">
      <c r="A615" s="382"/>
      <c r="B615" s="358" t="s">
        <v>1457</v>
      </c>
      <c r="C615" s="359">
        <v>1</v>
      </c>
      <c r="D615" s="359">
        <v>1</v>
      </c>
      <c r="E615" s="359">
        <v>1</v>
      </c>
      <c r="F615" s="359">
        <v>1</v>
      </c>
      <c r="G615" s="360">
        <v>0.1</v>
      </c>
      <c r="H615" s="360">
        <v>0.1</v>
      </c>
      <c r="I615" s="361">
        <v>0</v>
      </c>
      <c r="J615" s="361"/>
      <c r="K615" s="361">
        <v>4</v>
      </c>
      <c r="L615" s="359" t="s">
        <v>1122</v>
      </c>
      <c r="M615" s="361">
        <v>4</v>
      </c>
      <c r="N615" s="359" t="s">
        <v>1122</v>
      </c>
      <c r="O615" s="361">
        <v>4</v>
      </c>
      <c r="P615" s="359" t="s">
        <v>1122</v>
      </c>
      <c r="Q615" s="233">
        <v>30</v>
      </c>
      <c r="R615" s="400"/>
      <c r="S615" s="400"/>
      <c r="T615" s="401"/>
      <c r="U615" s="401"/>
      <c r="V615" s="401"/>
      <c r="W615" s="400"/>
      <c r="X615" s="400"/>
      <c r="Y615" s="401"/>
      <c r="Z615" s="401"/>
      <c r="AA615" s="401"/>
      <c r="AB615" s="402"/>
      <c r="AC615" s="402"/>
      <c r="AD615" s="402"/>
      <c r="AE615" s="402"/>
      <c r="AF615" s="402"/>
      <c r="AG615" s="332"/>
    </row>
    <row r="616" spans="1:33" s="333" customFormat="1" ht="18" customHeight="1">
      <c r="A616" s="382"/>
      <c r="B616" s="358" t="s">
        <v>1149</v>
      </c>
      <c r="C616" s="359">
        <v>1</v>
      </c>
      <c r="D616" s="359">
        <v>1</v>
      </c>
      <c r="E616" s="359">
        <v>1</v>
      </c>
      <c r="F616" s="359">
        <v>1</v>
      </c>
      <c r="G616" s="360">
        <v>1</v>
      </c>
      <c r="H616" s="360">
        <v>1</v>
      </c>
      <c r="I616" s="361">
        <v>0</v>
      </c>
      <c r="J616" s="361"/>
      <c r="K616" s="361">
        <v>12</v>
      </c>
      <c r="L616" s="411"/>
      <c r="M616" s="361">
        <v>12</v>
      </c>
      <c r="N616" s="411"/>
      <c r="O616" s="361">
        <v>12</v>
      </c>
      <c r="P616" s="411"/>
      <c r="Q616" s="233">
        <v>30</v>
      </c>
      <c r="R616" s="400"/>
      <c r="S616" s="400"/>
      <c r="T616" s="401"/>
      <c r="U616" s="401"/>
      <c r="V616" s="401"/>
      <c r="W616" s="400"/>
      <c r="X616" s="400"/>
      <c r="Y616" s="401"/>
      <c r="Z616" s="401"/>
      <c r="AA616" s="401"/>
      <c r="AB616" s="402"/>
      <c r="AC616" s="402"/>
      <c r="AD616" s="402"/>
      <c r="AE616" s="402"/>
      <c r="AF616" s="402"/>
      <c r="AG616" s="332"/>
    </row>
    <row r="617" spans="1:33" s="333" customFormat="1" ht="18" customHeight="1">
      <c r="A617" s="382"/>
      <c r="B617" s="358" t="s">
        <v>1149</v>
      </c>
      <c r="C617" s="359">
        <v>1</v>
      </c>
      <c r="D617" s="359">
        <v>1</v>
      </c>
      <c r="E617" s="359">
        <v>1</v>
      </c>
      <c r="F617" s="359">
        <v>1</v>
      </c>
      <c r="G617" s="360">
        <v>1</v>
      </c>
      <c r="H617" s="360">
        <v>1</v>
      </c>
      <c r="I617" s="361">
        <v>0</v>
      </c>
      <c r="J617" s="361"/>
      <c r="K617" s="361">
        <v>12</v>
      </c>
      <c r="L617" s="411"/>
      <c r="M617" s="361">
        <v>12</v>
      </c>
      <c r="N617" s="411"/>
      <c r="O617" s="361">
        <v>12</v>
      </c>
      <c r="P617" s="411"/>
      <c r="Q617" s="233">
        <v>30</v>
      </c>
      <c r="R617" s="400"/>
      <c r="S617" s="400"/>
      <c r="T617" s="401"/>
      <c r="U617" s="401"/>
      <c r="V617" s="401"/>
      <c r="W617" s="400"/>
      <c r="X617" s="400"/>
      <c r="Y617" s="401"/>
      <c r="Z617" s="401"/>
      <c r="AA617" s="401"/>
      <c r="AB617" s="402"/>
      <c r="AC617" s="402"/>
      <c r="AD617" s="402"/>
      <c r="AE617" s="402"/>
      <c r="AF617" s="402"/>
      <c r="AG617" s="332"/>
    </row>
    <row r="618" spans="1:33" s="333" customFormat="1" ht="18" customHeight="1">
      <c r="A618" s="382"/>
      <c r="B618" s="358" t="s">
        <v>1537</v>
      </c>
      <c r="C618" s="359">
        <v>1</v>
      </c>
      <c r="D618" s="359">
        <v>1</v>
      </c>
      <c r="E618" s="359">
        <v>1</v>
      </c>
      <c r="F618" s="359">
        <v>1</v>
      </c>
      <c r="G618" s="360">
        <v>0.3</v>
      </c>
      <c r="H618" s="360">
        <v>0.3</v>
      </c>
      <c r="I618" s="361">
        <v>0</v>
      </c>
      <c r="J618" s="361"/>
      <c r="K618" s="361">
        <v>2</v>
      </c>
      <c r="L618" s="409" t="s">
        <v>1557</v>
      </c>
      <c r="M618" s="361">
        <v>2</v>
      </c>
      <c r="N618" s="409" t="s">
        <v>1557</v>
      </c>
      <c r="O618" s="361">
        <v>2</v>
      </c>
      <c r="P618" s="412" t="s">
        <v>1557</v>
      </c>
      <c r="Q618" s="233">
        <v>30</v>
      </c>
      <c r="R618" s="400"/>
      <c r="S618" s="400"/>
      <c r="T618" s="401"/>
      <c r="U618" s="401"/>
      <c r="V618" s="401"/>
      <c r="W618" s="400"/>
      <c r="X618" s="400"/>
      <c r="Y618" s="401"/>
      <c r="Z618" s="401"/>
      <c r="AA618" s="401"/>
      <c r="AB618" s="402"/>
      <c r="AC618" s="402"/>
      <c r="AD618" s="402"/>
      <c r="AE618" s="402"/>
      <c r="AF618" s="402"/>
      <c r="AG618" s="332"/>
    </row>
    <row r="619" spans="1:33" s="333" customFormat="1" ht="18" customHeight="1">
      <c r="A619" s="382"/>
      <c r="B619" s="358" t="s">
        <v>1558</v>
      </c>
      <c r="C619" s="359">
        <v>1</v>
      </c>
      <c r="D619" s="359">
        <v>1</v>
      </c>
      <c r="E619" s="359">
        <v>1</v>
      </c>
      <c r="F619" s="359">
        <v>1</v>
      </c>
      <c r="G619" s="360">
        <v>0.65</v>
      </c>
      <c r="H619" s="360">
        <v>0.65</v>
      </c>
      <c r="I619" s="361">
        <v>0</v>
      </c>
      <c r="J619" s="361"/>
      <c r="K619" s="361">
        <v>1</v>
      </c>
      <c r="L619" s="359"/>
      <c r="M619" s="361">
        <v>1</v>
      </c>
      <c r="N619" s="359"/>
      <c r="O619" s="361">
        <v>1</v>
      </c>
      <c r="P619" s="233"/>
      <c r="Q619" s="233">
        <v>30</v>
      </c>
      <c r="R619" s="400"/>
      <c r="S619" s="400"/>
      <c r="T619" s="401"/>
      <c r="U619" s="401"/>
      <c r="V619" s="401"/>
      <c r="W619" s="400"/>
      <c r="X619" s="400"/>
      <c r="Y619" s="401"/>
      <c r="Z619" s="401"/>
      <c r="AA619" s="401"/>
      <c r="AB619" s="402"/>
      <c r="AC619" s="402"/>
      <c r="AD619" s="402"/>
      <c r="AE619" s="402"/>
      <c r="AF619" s="402"/>
      <c r="AG619" s="332"/>
    </row>
    <row r="620" spans="1:33" s="333" customFormat="1" ht="18" customHeight="1">
      <c r="A620" s="382"/>
      <c r="B620" s="358" t="s">
        <v>348</v>
      </c>
      <c r="C620" s="359">
        <v>1</v>
      </c>
      <c r="D620" s="359">
        <v>1</v>
      </c>
      <c r="E620" s="359">
        <v>1</v>
      </c>
      <c r="F620" s="359">
        <v>1</v>
      </c>
      <c r="G620" s="360">
        <v>5</v>
      </c>
      <c r="H620" s="360">
        <v>5</v>
      </c>
      <c r="I620" s="361">
        <v>0</v>
      </c>
      <c r="J620" s="361"/>
      <c r="K620" s="361">
        <v>12</v>
      </c>
      <c r="L620" s="411"/>
      <c r="M620" s="361">
        <v>12</v>
      </c>
      <c r="N620" s="411"/>
      <c r="O620" s="361">
        <v>12</v>
      </c>
      <c r="P620" s="411"/>
      <c r="Q620" s="233">
        <v>30</v>
      </c>
      <c r="R620" s="400"/>
      <c r="S620" s="400"/>
      <c r="T620" s="401"/>
      <c r="U620" s="401"/>
      <c r="V620" s="401"/>
      <c r="W620" s="400"/>
      <c r="X620" s="400"/>
      <c r="Y620" s="401"/>
      <c r="Z620" s="401"/>
      <c r="AA620" s="401"/>
      <c r="AB620" s="402"/>
      <c r="AC620" s="402"/>
      <c r="AD620" s="402"/>
      <c r="AE620" s="402"/>
      <c r="AF620" s="402"/>
      <c r="AG620" s="332"/>
    </row>
    <row r="621" spans="1:33" s="333" customFormat="1" ht="18" customHeight="1">
      <c r="A621" s="382"/>
      <c r="B621" s="403" t="s">
        <v>1522</v>
      </c>
      <c r="C621" s="359"/>
      <c r="D621" s="359"/>
      <c r="E621" s="359"/>
      <c r="F621" s="359"/>
      <c r="G621" s="360"/>
      <c r="H621" s="360"/>
      <c r="I621" s="361">
        <v>0</v>
      </c>
      <c r="J621" s="361"/>
      <c r="K621" s="361"/>
      <c r="L621" s="359"/>
      <c r="M621" s="361"/>
      <c r="N621" s="359"/>
      <c r="O621" s="361"/>
      <c r="P621" s="233"/>
      <c r="Q621" s="233">
        <v>30</v>
      </c>
      <c r="R621" s="400"/>
      <c r="S621" s="400"/>
      <c r="T621" s="401"/>
      <c r="U621" s="401"/>
      <c r="V621" s="401"/>
      <c r="W621" s="400"/>
      <c r="X621" s="400"/>
      <c r="Y621" s="401"/>
      <c r="Z621" s="401"/>
      <c r="AA621" s="401"/>
      <c r="AB621" s="402"/>
      <c r="AC621" s="402"/>
      <c r="AD621" s="402"/>
      <c r="AE621" s="402"/>
      <c r="AF621" s="402"/>
      <c r="AG621" s="332"/>
    </row>
    <row r="622" spans="1:33" s="333" customFormat="1" ht="18" customHeight="1">
      <c r="A622" s="382"/>
      <c r="B622" s="358" t="s">
        <v>1457</v>
      </c>
      <c r="C622" s="410">
        <v>1</v>
      </c>
      <c r="D622" s="410">
        <v>1</v>
      </c>
      <c r="E622" s="410">
        <v>1</v>
      </c>
      <c r="F622" s="410">
        <v>1</v>
      </c>
      <c r="G622" s="360">
        <v>0.1</v>
      </c>
      <c r="H622" s="360">
        <v>0.1</v>
      </c>
      <c r="I622" s="361">
        <v>0</v>
      </c>
      <c r="J622" s="361"/>
      <c r="K622" s="361">
        <v>24</v>
      </c>
      <c r="L622" s="226" t="s">
        <v>996</v>
      </c>
      <c r="M622" s="361">
        <v>24</v>
      </c>
      <c r="N622" s="226" t="s">
        <v>996</v>
      </c>
      <c r="O622" s="361">
        <v>24</v>
      </c>
      <c r="P622" s="226" t="s">
        <v>996</v>
      </c>
      <c r="Q622" s="361">
        <v>24</v>
      </c>
      <c r="R622" s="226" t="s">
        <v>996</v>
      </c>
      <c r="S622" s="400"/>
      <c r="T622" s="401"/>
      <c r="U622" s="401"/>
      <c r="V622" s="401"/>
      <c r="W622" s="400"/>
      <c r="X622" s="400"/>
      <c r="Y622" s="401"/>
      <c r="Z622" s="401"/>
      <c r="AA622" s="401"/>
      <c r="AB622" s="402"/>
      <c r="AC622" s="402"/>
      <c r="AD622" s="402"/>
      <c r="AE622" s="402"/>
      <c r="AF622" s="402"/>
      <c r="AG622" s="332"/>
    </row>
    <row r="623" spans="1:33" s="333" customFormat="1" ht="18" customHeight="1">
      <c r="A623" s="382"/>
      <c r="B623" s="358" t="s">
        <v>1290</v>
      </c>
      <c r="C623" s="410">
        <v>1</v>
      </c>
      <c r="D623" s="410">
        <v>1</v>
      </c>
      <c r="E623" s="410">
        <v>1</v>
      </c>
      <c r="F623" s="410">
        <v>1</v>
      </c>
      <c r="G623" s="360">
        <v>18</v>
      </c>
      <c r="H623" s="360">
        <v>18</v>
      </c>
      <c r="I623" s="361">
        <v>0</v>
      </c>
      <c r="J623" s="361"/>
      <c r="K623" s="361">
        <v>4</v>
      </c>
      <c r="L623" s="359" t="s">
        <v>1122</v>
      </c>
      <c r="M623" s="361">
        <v>4</v>
      </c>
      <c r="N623" s="359" t="s">
        <v>1122</v>
      </c>
      <c r="O623" s="361">
        <v>4</v>
      </c>
      <c r="P623" s="359" t="s">
        <v>1122</v>
      </c>
      <c r="Q623" s="233">
        <v>30</v>
      </c>
      <c r="R623" s="400"/>
      <c r="S623" s="400"/>
      <c r="T623" s="401"/>
      <c r="U623" s="401"/>
      <c r="V623" s="401"/>
      <c r="W623" s="400"/>
      <c r="X623" s="400"/>
      <c r="Y623" s="401"/>
      <c r="Z623" s="401"/>
      <c r="AA623" s="401"/>
      <c r="AB623" s="402"/>
      <c r="AC623" s="402"/>
      <c r="AD623" s="402"/>
      <c r="AE623" s="402"/>
      <c r="AF623" s="402"/>
      <c r="AG623" s="332"/>
    </row>
    <row r="624" spans="1:33" s="333" customFormat="1" ht="18" customHeight="1">
      <c r="A624" s="382"/>
      <c r="B624" s="358" t="s">
        <v>427</v>
      </c>
      <c r="C624" s="410">
        <v>1</v>
      </c>
      <c r="D624" s="410">
        <v>1</v>
      </c>
      <c r="E624" s="410">
        <v>1</v>
      </c>
      <c r="F624" s="410">
        <v>1</v>
      </c>
      <c r="G624" s="360">
        <v>1</v>
      </c>
      <c r="H624" s="360">
        <v>1</v>
      </c>
      <c r="I624" s="361">
        <v>0</v>
      </c>
      <c r="J624" s="361"/>
      <c r="K624" s="361">
        <v>12</v>
      </c>
      <c r="L624" s="411"/>
      <c r="M624" s="361">
        <v>12</v>
      </c>
      <c r="N624" s="411"/>
      <c r="O624" s="361">
        <v>12</v>
      </c>
      <c r="P624" s="411"/>
      <c r="Q624" s="233">
        <v>30</v>
      </c>
      <c r="R624" s="400"/>
      <c r="S624" s="400"/>
      <c r="T624" s="401"/>
      <c r="U624" s="401"/>
      <c r="V624" s="401"/>
      <c r="W624" s="400"/>
      <c r="X624" s="400"/>
      <c r="Y624" s="401"/>
      <c r="Z624" s="401"/>
      <c r="AA624" s="401"/>
      <c r="AB624" s="402"/>
      <c r="AC624" s="402"/>
      <c r="AD624" s="402"/>
      <c r="AE624" s="402"/>
      <c r="AF624" s="402"/>
      <c r="AG624" s="332"/>
    </row>
    <row r="625" spans="1:33" s="333" customFormat="1" ht="18" customHeight="1">
      <c r="A625" s="382"/>
      <c r="B625" s="358" t="s">
        <v>1472</v>
      </c>
      <c r="C625" s="410">
        <v>1</v>
      </c>
      <c r="D625" s="410">
        <v>1</v>
      </c>
      <c r="E625" s="410">
        <v>1</v>
      </c>
      <c r="F625" s="410">
        <v>1</v>
      </c>
      <c r="G625" s="360">
        <v>1</v>
      </c>
      <c r="H625" s="360">
        <v>1</v>
      </c>
      <c r="I625" s="361">
        <v>0</v>
      </c>
      <c r="J625" s="361"/>
      <c r="K625" s="361">
        <v>12</v>
      </c>
      <c r="L625" s="411"/>
      <c r="M625" s="361">
        <v>12</v>
      </c>
      <c r="N625" s="411"/>
      <c r="O625" s="361">
        <v>12</v>
      </c>
      <c r="P625" s="411"/>
      <c r="Q625" s="233">
        <v>30</v>
      </c>
      <c r="R625" s="400"/>
      <c r="S625" s="400"/>
      <c r="T625" s="401"/>
      <c r="U625" s="401"/>
      <c r="V625" s="401"/>
      <c r="W625" s="400"/>
      <c r="X625" s="400"/>
      <c r="Y625" s="401"/>
      <c r="Z625" s="401"/>
      <c r="AA625" s="401"/>
      <c r="AB625" s="402"/>
      <c r="AC625" s="402"/>
      <c r="AD625" s="402"/>
      <c r="AE625" s="402"/>
      <c r="AF625" s="402"/>
      <c r="AG625" s="332"/>
    </row>
    <row r="626" spans="1:33" s="333" customFormat="1" ht="18" customHeight="1">
      <c r="A626" s="382"/>
      <c r="B626" s="403" t="s">
        <v>1523</v>
      </c>
      <c r="C626" s="359"/>
      <c r="D626" s="359"/>
      <c r="E626" s="359"/>
      <c r="F626" s="359"/>
      <c r="G626" s="360"/>
      <c r="H626" s="360"/>
      <c r="I626" s="361">
        <v>0</v>
      </c>
      <c r="J626" s="361"/>
      <c r="K626" s="361"/>
      <c r="L626" s="359"/>
      <c r="M626" s="361"/>
      <c r="N626" s="359"/>
      <c r="O626" s="361"/>
      <c r="P626" s="233"/>
      <c r="Q626" s="233">
        <v>30</v>
      </c>
      <c r="R626" s="400"/>
      <c r="S626" s="400"/>
      <c r="T626" s="401"/>
      <c r="U626" s="401"/>
      <c r="V626" s="401"/>
      <c r="W626" s="400"/>
      <c r="X626" s="400"/>
      <c r="Y626" s="401"/>
      <c r="Z626" s="401"/>
      <c r="AA626" s="401"/>
      <c r="AB626" s="402"/>
      <c r="AC626" s="402"/>
      <c r="AD626" s="402"/>
      <c r="AE626" s="402"/>
      <c r="AF626" s="402"/>
      <c r="AG626" s="332"/>
    </row>
    <row r="627" spans="1:33" s="333" customFormat="1" ht="18" customHeight="1">
      <c r="A627" s="382"/>
      <c r="B627" s="358" t="s">
        <v>1559</v>
      </c>
      <c r="C627" s="359">
        <v>2</v>
      </c>
      <c r="D627" s="359">
        <v>2</v>
      </c>
      <c r="E627" s="359">
        <v>4</v>
      </c>
      <c r="F627" s="359">
        <v>4</v>
      </c>
      <c r="G627" s="360">
        <v>15</v>
      </c>
      <c r="H627" s="360">
        <v>15</v>
      </c>
      <c r="I627" s="361">
        <v>0</v>
      </c>
      <c r="J627" s="361"/>
      <c r="K627" s="361">
        <v>4</v>
      </c>
      <c r="L627" s="359" t="s">
        <v>1122</v>
      </c>
      <c r="M627" s="361">
        <v>4</v>
      </c>
      <c r="N627" s="359" t="s">
        <v>1122</v>
      </c>
      <c r="O627" s="361">
        <v>4</v>
      </c>
      <c r="P627" s="359" t="s">
        <v>1122</v>
      </c>
      <c r="Q627" s="233">
        <v>30</v>
      </c>
      <c r="R627" s="400"/>
      <c r="S627" s="400"/>
      <c r="T627" s="401"/>
      <c r="U627" s="401"/>
      <c r="V627" s="401"/>
      <c r="W627" s="400"/>
      <c r="X627" s="400"/>
      <c r="Y627" s="401"/>
      <c r="Z627" s="401"/>
      <c r="AA627" s="401"/>
      <c r="AB627" s="402"/>
      <c r="AC627" s="402"/>
      <c r="AD627" s="402"/>
      <c r="AE627" s="402"/>
      <c r="AF627" s="402"/>
      <c r="AG627" s="332"/>
    </row>
    <row r="628" spans="1:33" s="333" customFormat="1" ht="18" customHeight="1">
      <c r="A628" s="382"/>
      <c r="B628" s="358" t="s">
        <v>1524</v>
      </c>
      <c r="C628" s="359">
        <v>2</v>
      </c>
      <c r="D628" s="359">
        <v>2</v>
      </c>
      <c r="E628" s="359">
        <v>4</v>
      </c>
      <c r="F628" s="359">
        <v>4</v>
      </c>
      <c r="G628" s="360">
        <v>18</v>
      </c>
      <c r="H628" s="360">
        <v>18</v>
      </c>
      <c r="I628" s="361">
        <v>0</v>
      </c>
      <c r="J628" s="361"/>
      <c r="K628" s="361">
        <v>4</v>
      </c>
      <c r="L628" s="359" t="s">
        <v>1122</v>
      </c>
      <c r="M628" s="361">
        <v>4</v>
      </c>
      <c r="N628" s="359" t="s">
        <v>1122</v>
      </c>
      <c r="O628" s="361">
        <v>4</v>
      </c>
      <c r="P628" s="359" t="s">
        <v>1122</v>
      </c>
      <c r="Q628" s="233">
        <v>30</v>
      </c>
      <c r="R628" s="400"/>
      <c r="S628" s="400"/>
      <c r="T628" s="401"/>
      <c r="U628" s="401"/>
      <c r="V628" s="401"/>
      <c r="W628" s="400"/>
      <c r="X628" s="400"/>
      <c r="Y628" s="401"/>
      <c r="Z628" s="401"/>
      <c r="AA628" s="401"/>
      <c r="AB628" s="402"/>
      <c r="AC628" s="402"/>
      <c r="AD628" s="402"/>
      <c r="AE628" s="402"/>
      <c r="AF628" s="402"/>
      <c r="AG628" s="332"/>
    </row>
    <row r="629" spans="1:33" s="333" customFormat="1" ht="18" customHeight="1">
      <c r="A629" s="382"/>
      <c r="B629" s="358" t="s">
        <v>1534</v>
      </c>
      <c r="C629" s="359">
        <v>1</v>
      </c>
      <c r="D629" s="359">
        <v>1</v>
      </c>
      <c r="E629" s="359">
        <v>2</v>
      </c>
      <c r="F629" s="359">
        <v>2</v>
      </c>
      <c r="G629" s="360">
        <v>4</v>
      </c>
      <c r="H629" s="360">
        <v>4</v>
      </c>
      <c r="I629" s="361">
        <v>0</v>
      </c>
      <c r="J629" s="361"/>
      <c r="K629" s="361"/>
      <c r="L629" s="359"/>
      <c r="M629" s="361"/>
      <c r="N629" s="359"/>
      <c r="O629" s="361"/>
      <c r="P629" s="233"/>
      <c r="Q629" s="233">
        <v>30</v>
      </c>
      <c r="R629" s="400"/>
      <c r="S629" s="400"/>
      <c r="T629" s="401"/>
      <c r="U629" s="401"/>
      <c r="V629" s="401"/>
      <c r="W629" s="400"/>
      <c r="X629" s="400"/>
      <c r="Y629" s="401"/>
      <c r="Z629" s="401"/>
      <c r="AA629" s="401"/>
      <c r="AB629" s="402"/>
      <c r="AC629" s="402"/>
      <c r="AD629" s="402"/>
      <c r="AE629" s="402"/>
      <c r="AF629" s="402"/>
      <c r="AG629" s="332"/>
    </row>
    <row r="630" spans="1:33" s="333" customFormat="1" ht="18" customHeight="1">
      <c r="A630" s="382"/>
      <c r="B630" s="358" t="s">
        <v>1149</v>
      </c>
      <c r="C630" s="410">
        <v>2</v>
      </c>
      <c r="D630" s="410">
        <v>2</v>
      </c>
      <c r="E630" s="410">
        <v>2</v>
      </c>
      <c r="F630" s="410">
        <v>2</v>
      </c>
      <c r="G630" s="360">
        <v>1</v>
      </c>
      <c r="H630" s="360">
        <v>1</v>
      </c>
      <c r="I630" s="361">
        <v>0</v>
      </c>
      <c r="J630" s="361"/>
      <c r="K630" s="361">
        <v>12</v>
      </c>
      <c r="L630" s="411"/>
      <c r="M630" s="361">
        <v>12</v>
      </c>
      <c r="N630" s="411"/>
      <c r="O630" s="361">
        <v>12</v>
      </c>
      <c r="P630" s="411"/>
      <c r="Q630" s="233">
        <v>30</v>
      </c>
      <c r="R630" s="400"/>
      <c r="S630" s="400"/>
      <c r="T630" s="401"/>
      <c r="U630" s="401"/>
      <c r="V630" s="401"/>
      <c r="W630" s="400"/>
      <c r="X630" s="400"/>
      <c r="Y630" s="401"/>
      <c r="Z630" s="401"/>
      <c r="AA630" s="401"/>
      <c r="AB630" s="402"/>
      <c r="AC630" s="402"/>
      <c r="AD630" s="402"/>
      <c r="AE630" s="402"/>
      <c r="AF630" s="402"/>
      <c r="AG630" s="332"/>
    </row>
    <row r="631" spans="1:33" s="333" customFormat="1" ht="18" customHeight="1">
      <c r="A631" s="382"/>
      <c r="B631" s="358" t="s">
        <v>1532</v>
      </c>
      <c r="C631" s="359">
        <v>1</v>
      </c>
      <c r="D631" s="359">
        <v>1</v>
      </c>
      <c r="E631" s="359">
        <v>2</v>
      </c>
      <c r="F631" s="359">
        <v>2</v>
      </c>
      <c r="G631" s="360">
        <v>15</v>
      </c>
      <c r="H631" s="360">
        <v>15</v>
      </c>
      <c r="I631" s="361">
        <v>0</v>
      </c>
      <c r="J631" s="361"/>
      <c r="K631" s="361">
        <v>3</v>
      </c>
      <c r="L631" s="409" t="s">
        <v>1291</v>
      </c>
      <c r="M631" s="361">
        <v>3</v>
      </c>
      <c r="N631" s="409" t="s">
        <v>1291</v>
      </c>
      <c r="O631" s="361">
        <v>3</v>
      </c>
      <c r="P631" s="409" t="s">
        <v>1291</v>
      </c>
      <c r="Q631" s="233">
        <v>30</v>
      </c>
      <c r="R631" s="400"/>
      <c r="S631" s="400"/>
      <c r="T631" s="401"/>
      <c r="U631" s="401"/>
      <c r="V631" s="401"/>
      <c r="W631" s="400"/>
      <c r="X631" s="400"/>
      <c r="Y631" s="401"/>
      <c r="Z631" s="401"/>
      <c r="AA631" s="401"/>
      <c r="AB631" s="402"/>
      <c r="AC631" s="402"/>
      <c r="AD631" s="402"/>
      <c r="AE631" s="402"/>
      <c r="AF631" s="402"/>
      <c r="AG631" s="332"/>
    </row>
    <row r="632" spans="1:33" s="333" customFormat="1" ht="18" customHeight="1">
      <c r="A632" s="382"/>
      <c r="B632" s="358" t="s">
        <v>1533</v>
      </c>
      <c r="C632" s="359">
        <v>1</v>
      </c>
      <c r="D632" s="359">
        <v>2</v>
      </c>
      <c r="E632" s="359">
        <v>2</v>
      </c>
      <c r="F632" s="359">
        <v>2</v>
      </c>
      <c r="G632" s="360">
        <v>24</v>
      </c>
      <c r="H632" s="360">
        <v>24</v>
      </c>
      <c r="I632" s="361">
        <v>0</v>
      </c>
      <c r="J632" s="361"/>
      <c r="K632" s="361">
        <v>3</v>
      </c>
      <c r="L632" s="409" t="s">
        <v>1291</v>
      </c>
      <c r="M632" s="361">
        <v>3</v>
      </c>
      <c r="N632" s="409" t="s">
        <v>1291</v>
      </c>
      <c r="O632" s="361">
        <v>3</v>
      </c>
      <c r="P632" s="409" t="s">
        <v>1291</v>
      </c>
      <c r="Q632" s="233">
        <v>30</v>
      </c>
      <c r="R632" s="400"/>
      <c r="S632" s="400"/>
      <c r="T632" s="401"/>
      <c r="U632" s="401"/>
      <c r="V632" s="401"/>
      <c r="W632" s="400"/>
      <c r="X632" s="400"/>
      <c r="Y632" s="401"/>
      <c r="Z632" s="401"/>
      <c r="AA632" s="401"/>
      <c r="AB632" s="402"/>
      <c r="AC632" s="402"/>
      <c r="AD632" s="402"/>
      <c r="AE632" s="402"/>
      <c r="AF632" s="402"/>
      <c r="AG632" s="332"/>
    </row>
    <row r="633" spans="1:33" s="333" customFormat="1" ht="18" customHeight="1">
      <c r="A633" s="382"/>
      <c r="B633" s="358" t="s">
        <v>1530</v>
      </c>
      <c r="C633" s="410">
        <v>1</v>
      </c>
      <c r="D633" s="410">
        <v>1</v>
      </c>
      <c r="E633" s="410">
        <v>1</v>
      </c>
      <c r="F633" s="410">
        <v>1</v>
      </c>
      <c r="G633" s="360">
        <v>36</v>
      </c>
      <c r="H633" s="360">
        <v>36</v>
      </c>
      <c r="I633" s="361">
        <v>0</v>
      </c>
      <c r="J633" s="361"/>
      <c r="K633" s="361">
        <v>3</v>
      </c>
      <c r="L633" s="409" t="s">
        <v>1291</v>
      </c>
      <c r="M633" s="361">
        <v>3</v>
      </c>
      <c r="N633" s="409" t="s">
        <v>1291</v>
      </c>
      <c r="O633" s="361">
        <v>3</v>
      </c>
      <c r="P633" s="409" t="s">
        <v>1291</v>
      </c>
      <c r="Q633" s="233">
        <v>30</v>
      </c>
      <c r="R633" s="400"/>
      <c r="S633" s="400"/>
      <c r="T633" s="401"/>
      <c r="U633" s="401"/>
      <c r="V633" s="401"/>
      <c r="W633" s="400"/>
      <c r="X633" s="400"/>
      <c r="Y633" s="401"/>
      <c r="Z633" s="401"/>
      <c r="AA633" s="401"/>
      <c r="AB633" s="402"/>
      <c r="AC633" s="402"/>
      <c r="AD633" s="402"/>
      <c r="AE633" s="402"/>
      <c r="AF633" s="402"/>
      <c r="AG633" s="332"/>
    </row>
    <row r="634" spans="1:33" s="333" customFormat="1" ht="18" customHeight="1">
      <c r="A634" s="382"/>
      <c r="B634" s="358" t="s">
        <v>1535</v>
      </c>
      <c r="C634" s="359">
        <v>1</v>
      </c>
      <c r="D634" s="359">
        <v>2</v>
      </c>
      <c r="E634" s="359">
        <v>2</v>
      </c>
      <c r="F634" s="359">
        <v>2</v>
      </c>
      <c r="G634" s="360">
        <v>70.2</v>
      </c>
      <c r="H634" s="360">
        <v>70.2</v>
      </c>
      <c r="I634" s="361">
        <v>0</v>
      </c>
      <c r="J634" s="361"/>
      <c r="K634" s="361">
        <v>3</v>
      </c>
      <c r="L634" s="409" t="s">
        <v>1291</v>
      </c>
      <c r="M634" s="361">
        <v>3</v>
      </c>
      <c r="N634" s="409" t="s">
        <v>1291</v>
      </c>
      <c r="O634" s="361">
        <v>3</v>
      </c>
      <c r="P634" s="409" t="s">
        <v>1291</v>
      </c>
      <c r="Q634" s="233">
        <v>30</v>
      </c>
      <c r="R634" s="400"/>
      <c r="S634" s="400"/>
      <c r="T634" s="401"/>
      <c r="U634" s="401"/>
      <c r="V634" s="401"/>
      <c r="W634" s="400"/>
      <c r="X634" s="400"/>
      <c r="Y634" s="401"/>
      <c r="Z634" s="401"/>
      <c r="AA634" s="401"/>
      <c r="AB634" s="402"/>
      <c r="AC634" s="402"/>
      <c r="AD634" s="402"/>
      <c r="AE634" s="402"/>
      <c r="AF634" s="402"/>
      <c r="AG634" s="332"/>
    </row>
    <row r="635" spans="1:33" s="333" customFormat="1" ht="18" customHeight="1">
      <c r="A635" s="382"/>
      <c r="B635" s="358" t="s">
        <v>1518</v>
      </c>
      <c r="C635" s="359">
        <v>1</v>
      </c>
      <c r="D635" s="359">
        <v>2</v>
      </c>
      <c r="E635" s="359">
        <v>2</v>
      </c>
      <c r="F635" s="359">
        <v>2</v>
      </c>
      <c r="G635" s="360">
        <v>36</v>
      </c>
      <c r="H635" s="360">
        <v>36</v>
      </c>
      <c r="I635" s="361">
        <v>0</v>
      </c>
      <c r="J635" s="361"/>
      <c r="K635" s="361">
        <v>3</v>
      </c>
      <c r="L635" s="409" t="s">
        <v>1291</v>
      </c>
      <c r="M635" s="361">
        <v>3</v>
      </c>
      <c r="N635" s="409" t="s">
        <v>1291</v>
      </c>
      <c r="O635" s="361">
        <v>3</v>
      </c>
      <c r="P635" s="409" t="s">
        <v>1291</v>
      </c>
      <c r="Q635" s="233">
        <v>30</v>
      </c>
      <c r="R635" s="400"/>
      <c r="S635" s="400"/>
      <c r="T635" s="401"/>
      <c r="U635" s="401"/>
      <c r="V635" s="401"/>
      <c r="W635" s="400"/>
      <c r="X635" s="400"/>
      <c r="Y635" s="401"/>
      <c r="Z635" s="401"/>
      <c r="AA635" s="401"/>
      <c r="AB635" s="402"/>
      <c r="AC635" s="402"/>
      <c r="AD635" s="402"/>
      <c r="AE635" s="402"/>
      <c r="AF635" s="402"/>
      <c r="AG635" s="332"/>
    </row>
    <row r="636" spans="1:33" s="333" customFormat="1" ht="18" customHeight="1">
      <c r="A636" s="382"/>
      <c r="B636" s="358" t="s">
        <v>1560</v>
      </c>
      <c r="C636" s="410">
        <v>1</v>
      </c>
      <c r="D636" s="410">
        <v>1</v>
      </c>
      <c r="E636" s="410">
        <v>1</v>
      </c>
      <c r="F636" s="410">
        <v>1</v>
      </c>
      <c r="G636" s="360">
        <v>16</v>
      </c>
      <c r="H636" s="360">
        <v>16</v>
      </c>
      <c r="I636" s="361">
        <v>0</v>
      </c>
      <c r="J636" s="361"/>
      <c r="K636" s="361">
        <v>3</v>
      </c>
      <c r="L636" s="409" t="s">
        <v>1291</v>
      </c>
      <c r="M636" s="361">
        <v>3</v>
      </c>
      <c r="N636" s="409" t="s">
        <v>1291</v>
      </c>
      <c r="O636" s="361">
        <v>3</v>
      </c>
      <c r="P636" s="409" t="s">
        <v>1291</v>
      </c>
      <c r="Q636" s="233">
        <v>30</v>
      </c>
      <c r="R636" s="400"/>
      <c r="S636" s="400"/>
      <c r="T636" s="401"/>
      <c r="U636" s="401"/>
      <c r="V636" s="401"/>
      <c r="W636" s="400"/>
      <c r="X636" s="400"/>
      <c r="Y636" s="401"/>
      <c r="Z636" s="401"/>
      <c r="AA636" s="401"/>
      <c r="AB636" s="402"/>
      <c r="AC636" s="402"/>
      <c r="AD636" s="402"/>
      <c r="AE636" s="402"/>
      <c r="AF636" s="402"/>
      <c r="AG636" s="332"/>
    </row>
    <row r="637" spans="1:33" s="333" customFormat="1" ht="18" customHeight="1">
      <c r="A637" s="382"/>
      <c r="B637" s="358" t="s">
        <v>1149</v>
      </c>
      <c r="C637" s="410">
        <v>1</v>
      </c>
      <c r="D637" s="410">
        <v>1</v>
      </c>
      <c r="E637" s="410">
        <v>1</v>
      </c>
      <c r="F637" s="410">
        <v>1</v>
      </c>
      <c r="G637" s="360">
        <v>1</v>
      </c>
      <c r="H637" s="360">
        <v>1</v>
      </c>
      <c r="I637" s="361">
        <v>0</v>
      </c>
      <c r="J637" s="361"/>
      <c r="K637" s="361">
        <v>12</v>
      </c>
      <c r="L637" s="411"/>
      <c r="M637" s="361">
        <v>12</v>
      </c>
      <c r="N637" s="411"/>
      <c r="O637" s="361">
        <v>12</v>
      </c>
      <c r="P637" s="411"/>
      <c r="Q637" s="233">
        <v>30</v>
      </c>
      <c r="R637" s="400"/>
      <c r="S637" s="400"/>
      <c r="T637" s="401"/>
      <c r="U637" s="401"/>
      <c r="V637" s="401"/>
      <c r="W637" s="400"/>
      <c r="X637" s="400"/>
      <c r="Y637" s="401"/>
      <c r="Z637" s="401"/>
      <c r="AA637" s="401"/>
      <c r="AB637" s="402"/>
      <c r="AC637" s="402"/>
      <c r="AD637" s="402"/>
      <c r="AE637" s="402"/>
      <c r="AF637" s="402"/>
      <c r="AG637" s="332"/>
    </row>
    <row r="638" spans="1:33" s="333" customFormat="1" ht="18" customHeight="1">
      <c r="A638" s="382"/>
      <c r="B638" s="358" t="s">
        <v>1561</v>
      </c>
      <c r="C638" s="359">
        <v>1</v>
      </c>
      <c r="D638" s="359">
        <v>1</v>
      </c>
      <c r="E638" s="359">
        <v>2</v>
      </c>
      <c r="F638" s="359">
        <v>3</v>
      </c>
      <c r="G638" s="360">
        <v>2.2000000000000002</v>
      </c>
      <c r="H638" s="360">
        <v>2.2000000000000002</v>
      </c>
      <c r="I638" s="361">
        <v>0</v>
      </c>
      <c r="J638" s="361"/>
      <c r="K638" s="361">
        <v>3</v>
      </c>
      <c r="L638" s="409" t="s">
        <v>1291</v>
      </c>
      <c r="M638" s="361">
        <v>3</v>
      </c>
      <c r="N638" s="409" t="s">
        <v>1291</v>
      </c>
      <c r="O638" s="361">
        <v>3</v>
      </c>
      <c r="P638" s="409" t="s">
        <v>1291</v>
      </c>
      <c r="Q638" s="233">
        <v>30</v>
      </c>
      <c r="R638" s="400"/>
      <c r="S638" s="400"/>
      <c r="T638" s="401"/>
      <c r="U638" s="401"/>
      <c r="V638" s="401"/>
      <c r="W638" s="400"/>
      <c r="X638" s="400"/>
      <c r="Y638" s="401"/>
      <c r="Z638" s="401"/>
      <c r="AA638" s="401"/>
      <c r="AB638" s="402"/>
      <c r="AC638" s="402"/>
      <c r="AD638" s="402"/>
      <c r="AE638" s="402"/>
      <c r="AF638" s="402"/>
      <c r="AG638" s="332"/>
    </row>
    <row r="639" spans="1:33" s="333" customFormat="1" ht="18" customHeight="1">
      <c r="A639" s="382"/>
      <c r="B639" s="358" t="s">
        <v>1527</v>
      </c>
      <c r="C639" s="359">
        <v>1</v>
      </c>
      <c r="D639" s="359">
        <v>1</v>
      </c>
      <c r="E639" s="359">
        <v>2</v>
      </c>
      <c r="F639" s="359">
        <v>2</v>
      </c>
      <c r="G639" s="360">
        <v>1.5</v>
      </c>
      <c r="H639" s="360">
        <v>1.5</v>
      </c>
      <c r="I639" s="361">
        <v>0</v>
      </c>
      <c r="J639" s="361"/>
      <c r="K639" s="361">
        <v>3</v>
      </c>
      <c r="L639" s="359"/>
      <c r="M639" s="361">
        <v>3</v>
      </c>
      <c r="N639" s="359"/>
      <c r="O639" s="361">
        <v>3</v>
      </c>
      <c r="P639" s="233"/>
      <c r="Q639" s="233">
        <v>30</v>
      </c>
      <c r="R639" s="400"/>
      <c r="S639" s="400"/>
      <c r="T639" s="401"/>
      <c r="U639" s="401"/>
      <c r="V639" s="401"/>
      <c r="W639" s="400"/>
      <c r="X639" s="400"/>
      <c r="Y639" s="401"/>
      <c r="Z639" s="401"/>
      <c r="AA639" s="401"/>
      <c r="AB639" s="402"/>
      <c r="AC639" s="402"/>
      <c r="AD639" s="402"/>
      <c r="AE639" s="402"/>
      <c r="AF639" s="402"/>
      <c r="AG639" s="332"/>
    </row>
    <row r="640" spans="1:33" s="333" customFormat="1" ht="18" customHeight="1">
      <c r="A640" s="382"/>
      <c r="B640" s="358" t="s">
        <v>1525</v>
      </c>
      <c r="C640" s="359">
        <v>1</v>
      </c>
      <c r="D640" s="359">
        <v>1</v>
      </c>
      <c r="E640" s="359">
        <v>3</v>
      </c>
      <c r="F640" s="359">
        <v>4</v>
      </c>
      <c r="G640" s="360">
        <v>1.1000000000000001</v>
      </c>
      <c r="H640" s="360">
        <v>1.1000000000000001</v>
      </c>
      <c r="I640" s="361">
        <v>0</v>
      </c>
      <c r="J640" s="361"/>
      <c r="K640" s="361">
        <v>4</v>
      </c>
      <c r="L640" s="409" t="s">
        <v>1126</v>
      </c>
      <c r="M640" s="361">
        <v>4</v>
      </c>
      <c r="N640" s="409" t="s">
        <v>1126</v>
      </c>
      <c r="O640" s="361">
        <v>4</v>
      </c>
      <c r="P640" s="409" t="s">
        <v>1126</v>
      </c>
      <c r="Q640" s="233">
        <v>30</v>
      </c>
      <c r="R640" s="400"/>
      <c r="S640" s="400"/>
      <c r="T640" s="401"/>
      <c r="U640" s="401"/>
      <c r="V640" s="401"/>
      <c r="W640" s="400"/>
      <c r="X640" s="400"/>
      <c r="Y640" s="401"/>
      <c r="Z640" s="401"/>
      <c r="AA640" s="401"/>
      <c r="AB640" s="402"/>
      <c r="AC640" s="402"/>
      <c r="AD640" s="402"/>
      <c r="AE640" s="402"/>
      <c r="AF640" s="402"/>
      <c r="AG640" s="332"/>
    </row>
    <row r="641" spans="1:33" s="333" customFormat="1" ht="18" customHeight="1">
      <c r="A641" s="382"/>
      <c r="B641" s="358" t="s">
        <v>1457</v>
      </c>
      <c r="C641" s="359">
        <v>2</v>
      </c>
      <c r="D641" s="359">
        <v>2</v>
      </c>
      <c r="E641" s="359">
        <v>2</v>
      </c>
      <c r="F641" s="359">
        <v>2</v>
      </c>
      <c r="G641" s="360">
        <v>0.1</v>
      </c>
      <c r="H641" s="360">
        <v>0.1</v>
      </c>
      <c r="I641" s="361">
        <v>0</v>
      </c>
      <c r="J641" s="361"/>
      <c r="K641" s="361">
        <v>24</v>
      </c>
      <c r="L641" s="226" t="s">
        <v>996</v>
      </c>
      <c r="M641" s="361">
        <v>24</v>
      </c>
      <c r="N641" s="226" t="s">
        <v>996</v>
      </c>
      <c r="O641" s="361">
        <v>24</v>
      </c>
      <c r="P641" s="226" t="s">
        <v>996</v>
      </c>
      <c r="Q641" s="361">
        <v>24</v>
      </c>
      <c r="R641" s="226" t="s">
        <v>996</v>
      </c>
      <c r="S641" s="400"/>
      <c r="T641" s="401"/>
      <c r="U641" s="401"/>
      <c r="V641" s="401"/>
      <c r="W641" s="400"/>
      <c r="X641" s="400"/>
      <c r="Y641" s="401"/>
      <c r="Z641" s="401"/>
      <c r="AA641" s="401"/>
      <c r="AB641" s="402"/>
      <c r="AC641" s="402"/>
      <c r="AD641" s="402"/>
      <c r="AE641" s="402"/>
      <c r="AF641" s="402"/>
      <c r="AG641" s="332"/>
    </row>
    <row r="642" spans="1:33" s="333" customFormat="1" ht="18" customHeight="1">
      <c r="A642" s="382"/>
      <c r="B642" s="403" t="s">
        <v>1550</v>
      </c>
      <c r="C642" s="359"/>
      <c r="D642" s="359"/>
      <c r="E642" s="359"/>
      <c r="F642" s="359"/>
      <c r="G642" s="360"/>
      <c r="H642" s="360"/>
      <c r="I642" s="361">
        <v>0</v>
      </c>
      <c r="J642" s="361"/>
      <c r="K642" s="361"/>
      <c r="L642" s="359"/>
      <c r="M642" s="361"/>
      <c r="N642" s="359"/>
      <c r="O642" s="361"/>
      <c r="P642" s="233"/>
      <c r="Q642" s="233">
        <v>30</v>
      </c>
      <c r="R642" s="400"/>
      <c r="S642" s="400"/>
      <c r="T642" s="401"/>
      <c r="U642" s="401"/>
      <c r="V642" s="401"/>
      <c r="W642" s="400"/>
      <c r="X642" s="400"/>
      <c r="Y642" s="401"/>
      <c r="Z642" s="401"/>
      <c r="AA642" s="401"/>
      <c r="AB642" s="402"/>
      <c r="AC642" s="402"/>
      <c r="AD642" s="402"/>
      <c r="AE642" s="402"/>
      <c r="AF642" s="402"/>
      <c r="AG642" s="332"/>
    </row>
    <row r="643" spans="1:33" s="333" customFormat="1" ht="18" customHeight="1">
      <c r="A643" s="382"/>
      <c r="B643" s="358" t="s">
        <v>1457</v>
      </c>
      <c r="C643" s="410">
        <v>1</v>
      </c>
      <c r="D643" s="410">
        <v>1</v>
      </c>
      <c r="E643" s="410">
        <v>1</v>
      </c>
      <c r="F643" s="410">
        <v>1</v>
      </c>
      <c r="G643" s="360">
        <v>0.1</v>
      </c>
      <c r="H643" s="360">
        <v>0.1</v>
      </c>
      <c r="I643" s="361">
        <v>0</v>
      </c>
      <c r="J643" s="361"/>
      <c r="K643" s="361">
        <v>4</v>
      </c>
      <c r="L643" s="409" t="s">
        <v>1126</v>
      </c>
      <c r="M643" s="361">
        <v>4</v>
      </c>
      <c r="N643" s="409" t="s">
        <v>1126</v>
      </c>
      <c r="O643" s="361">
        <v>4</v>
      </c>
      <c r="P643" s="409" t="s">
        <v>1126</v>
      </c>
      <c r="Q643" s="233">
        <v>30</v>
      </c>
      <c r="R643" s="400"/>
      <c r="S643" s="400"/>
      <c r="T643" s="401"/>
      <c r="U643" s="401"/>
      <c r="V643" s="401"/>
      <c r="W643" s="400"/>
      <c r="X643" s="400"/>
      <c r="Y643" s="401"/>
      <c r="Z643" s="401"/>
      <c r="AA643" s="401"/>
      <c r="AB643" s="402"/>
      <c r="AC643" s="402"/>
      <c r="AD643" s="402"/>
      <c r="AE643" s="402"/>
      <c r="AF643" s="402"/>
      <c r="AG643" s="332"/>
    </row>
    <row r="644" spans="1:33" s="333" customFormat="1" ht="18" customHeight="1">
      <c r="A644" s="382"/>
      <c r="B644" s="403" t="s">
        <v>1539</v>
      </c>
      <c r="C644" s="359"/>
      <c r="D644" s="359"/>
      <c r="E644" s="359"/>
      <c r="F644" s="359"/>
      <c r="G644" s="360"/>
      <c r="H644" s="360"/>
      <c r="I644" s="361">
        <v>0</v>
      </c>
      <c r="J644" s="361"/>
      <c r="K644" s="361"/>
      <c r="L644" s="359"/>
      <c r="M644" s="361"/>
      <c r="N644" s="359"/>
      <c r="O644" s="361"/>
      <c r="P644" s="233"/>
      <c r="Q644" s="233">
        <v>30</v>
      </c>
      <c r="R644" s="400"/>
      <c r="S644" s="400"/>
      <c r="T644" s="401"/>
      <c r="U644" s="401"/>
      <c r="V644" s="401"/>
      <c r="W644" s="400"/>
      <c r="X644" s="400"/>
      <c r="Y644" s="401"/>
      <c r="Z644" s="401"/>
      <c r="AA644" s="401"/>
      <c r="AB644" s="402"/>
      <c r="AC644" s="402"/>
      <c r="AD644" s="402"/>
      <c r="AE644" s="402"/>
      <c r="AF644" s="402"/>
      <c r="AG644" s="332"/>
    </row>
    <row r="645" spans="1:33" s="333" customFormat="1" ht="18" customHeight="1">
      <c r="A645" s="382"/>
      <c r="B645" s="358" t="s">
        <v>1149</v>
      </c>
      <c r="C645" s="410">
        <v>2</v>
      </c>
      <c r="D645" s="410">
        <v>2</v>
      </c>
      <c r="E645" s="410">
        <v>2</v>
      </c>
      <c r="F645" s="410">
        <v>2</v>
      </c>
      <c r="G645" s="360">
        <v>1</v>
      </c>
      <c r="H645" s="360">
        <v>1</v>
      </c>
      <c r="I645" s="361">
        <v>0</v>
      </c>
      <c r="J645" s="361"/>
      <c r="K645" s="361">
        <v>12</v>
      </c>
      <c r="L645" s="359"/>
      <c r="M645" s="361">
        <v>12</v>
      </c>
      <c r="N645" s="359"/>
      <c r="O645" s="361">
        <v>12</v>
      </c>
      <c r="P645" s="233"/>
      <c r="Q645" s="233">
        <v>30</v>
      </c>
      <c r="R645" s="400"/>
      <c r="S645" s="400"/>
      <c r="T645" s="401"/>
      <c r="U645" s="401"/>
      <c r="V645" s="401"/>
      <c r="W645" s="400"/>
      <c r="X645" s="400"/>
      <c r="Y645" s="401"/>
      <c r="Z645" s="401"/>
      <c r="AA645" s="401"/>
      <c r="AB645" s="402"/>
      <c r="AC645" s="402"/>
      <c r="AD645" s="402"/>
      <c r="AE645" s="402"/>
      <c r="AF645" s="402"/>
      <c r="AG645" s="332"/>
    </row>
    <row r="646" spans="1:33" s="333" customFormat="1" ht="18" customHeight="1">
      <c r="A646" s="382"/>
      <c r="B646" s="358" t="s">
        <v>1285</v>
      </c>
      <c r="C646" s="410">
        <v>3</v>
      </c>
      <c r="D646" s="410">
        <v>3</v>
      </c>
      <c r="E646" s="410">
        <v>3</v>
      </c>
      <c r="F646" s="410">
        <v>3</v>
      </c>
      <c r="G646" s="360">
        <v>12</v>
      </c>
      <c r="H646" s="360">
        <v>12</v>
      </c>
      <c r="I646" s="361">
        <v>0</v>
      </c>
      <c r="J646" s="361"/>
      <c r="K646" s="361">
        <v>3</v>
      </c>
      <c r="L646" s="409" t="s">
        <v>1291</v>
      </c>
      <c r="M646" s="361">
        <v>3</v>
      </c>
      <c r="N646" s="409" t="s">
        <v>1291</v>
      </c>
      <c r="O646" s="361">
        <v>3</v>
      </c>
      <c r="P646" s="409" t="s">
        <v>1291</v>
      </c>
      <c r="Q646" s="233">
        <v>30</v>
      </c>
      <c r="R646" s="400"/>
      <c r="S646" s="400"/>
      <c r="T646" s="401"/>
      <c r="U646" s="401"/>
      <c r="V646" s="401"/>
      <c r="W646" s="400"/>
      <c r="X646" s="400"/>
      <c r="Y646" s="401"/>
      <c r="Z646" s="401"/>
      <c r="AA646" s="401"/>
      <c r="AB646" s="402"/>
      <c r="AC646" s="402"/>
      <c r="AD646" s="402"/>
      <c r="AE646" s="402"/>
      <c r="AF646" s="402"/>
      <c r="AG646" s="332"/>
    </row>
    <row r="647" spans="1:33" s="333" customFormat="1" ht="18" customHeight="1">
      <c r="A647" s="382"/>
      <c r="B647" s="358" t="s">
        <v>1542</v>
      </c>
      <c r="C647" s="410">
        <v>1</v>
      </c>
      <c r="D647" s="410">
        <v>1</v>
      </c>
      <c r="E647" s="410">
        <v>1</v>
      </c>
      <c r="F647" s="410">
        <v>1</v>
      </c>
      <c r="G647" s="360">
        <v>4.8</v>
      </c>
      <c r="H647" s="360">
        <v>4.8</v>
      </c>
      <c r="I647" s="361">
        <v>0</v>
      </c>
      <c r="J647" s="361"/>
      <c r="K647" s="361">
        <v>3</v>
      </c>
      <c r="L647" s="409" t="s">
        <v>1291</v>
      </c>
      <c r="M647" s="361">
        <v>3</v>
      </c>
      <c r="N647" s="409" t="s">
        <v>1291</v>
      </c>
      <c r="O647" s="361">
        <v>3</v>
      </c>
      <c r="P647" s="409" t="s">
        <v>1291</v>
      </c>
      <c r="Q647" s="233">
        <v>30</v>
      </c>
      <c r="R647" s="400"/>
      <c r="S647" s="400"/>
      <c r="T647" s="401"/>
      <c r="U647" s="401"/>
      <c r="V647" s="401"/>
      <c r="W647" s="400"/>
      <c r="X647" s="400"/>
      <c r="Y647" s="401"/>
      <c r="Z647" s="401"/>
      <c r="AA647" s="401"/>
      <c r="AB647" s="402"/>
      <c r="AC647" s="402"/>
      <c r="AD647" s="402"/>
      <c r="AE647" s="402"/>
      <c r="AF647" s="402"/>
      <c r="AG647" s="332"/>
    </row>
    <row r="648" spans="1:33" s="333" customFormat="1" ht="18" customHeight="1">
      <c r="A648" s="382"/>
      <c r="B648" s="358" t="s">
        <v>1541</v>
      </c>
      <c r="C648" s="410">
        <v>1</v>
      </c>
      <c r="D648" s="410">
        <v>1</v>
      </c>
      <c r="E648" s="410">
        <v>1</v>
      </c>
      <c r="F648" s="410">
        <v>1</v>
      </c>
      <c r="G648" s="360">
        <v>4.8</v>
      </c>
      <c r="H648" s="360">
        <v>4.8</v>
      </c>
      <c r="I648" s="361">
        <v>0</v>
      </c>
      <c r="J648" s="361"/>
      <c r="K648" s="361">
        <v>3</v>
      </c>
      <c r="L648" s="409" t="s">
        <v>1291</v>
      </c>
      <c r="M648" s="361">
        <v>3</v>
      </c>
      <c r="N648" s="409" t="s">
        <v>1291</v>
      </c>
      <c r="O648" s="361">
        <v>3</v>
      </c>
      <c r="P648" s="409" t="s">
        <v>1291</v>
      </c>
      <c r="Q648" s="233">
        <v>30</v>
      </c>
      <c r="R648" s="400"/>
      <c r="S648" s="400"/>
      <c r="T648" s="401"/>
      <c r="U648" s="401"/>
      <c r="V648" s="401"/>
      <c r="W648" s="400"/>
      <c r="X648" s="400"/>
      <c r="Y648" s="401"/>
      <c r="Z648" s="401"/>
      <c r="AA648" s="401"/>
      <c r="AB648" s="402"/>
      <c r="AC648" s="402"/>
      <c r="AD648" s="402"/>
      <c r="AE648" s="402"/>
      <c r="AF648" s="402"/>
      <c r="AG648" s="332"/>
    </row>
    <row r="649" spans="1:33" s="333" customFormat="1" ht="18" customHeight="1">
      <c r="A649" s="382"/>
      <c r="B649" s="358" t="s">
        <v>1562</v>
      </c>
      <c r="C649" s="410">
        <v>1</v>
      </c>
      <c r="D649" s="410">
        <v>1</v>
      </c>
      <c r="E649" s="410">
        <v>1</v>
      </c>
      <c r="F649" s="410">
        <v>1</v>
      </c>
      <c r="G649" s="360">
        <v>2.2000000000000002</v>
      </c>
      <c r="H649" s="360">
        <v>2.2000000000000002</v>
      </c>
      <c r="I649" s="361">
        <v>0</v>
      </c>
      <c r="J649" s="361"/>
      <c r="K649" s="361">
        <v>3</v>
      </c>
      <c r="L649" s="409" t="s">
        <v>1291</v>
      </c>
      <c r="M649" s="361">
        <v>3</v>
      </c>
      <c r="N649" s="409" t="s">
        <v>1291</v>
      </c>
      <c r="O649" s="361">
        <v>3</v>
      </c>
      <c r="P649" s="409" t="s">
        <v>1291</v>
      </c>
      <c r="Q649" s="233">
        <v>30</v>
      </c>
      <c r="R649" s="400"/>
      <c r="S649" s="400"/>
      <c r="T649" s="401"/>
      <c r="U649" s="401"/>
      <c r="V649" s="401"/>
      <c r="W649" s="400"/>
      <c r="X649" s="400"/>
      <c r="Y649" s="401"/>
      <c r="Z649" s="401"/>
      <c r="AA649" s="401"/>
      <c r="AB649" s="402"/>
      <c r="AC649" s="402"/>
      <c r="AD649" s="402"/>
      <c r="AE649" s="402"/>
      <c r="AF649" s="402"/>
      <c r="AG649" s="332"/>
    </row>
    <row r="650" spans="1:33" s="333" customFormat="1" ht="18" customHeight="1">
      <c r="A650" s="382"/>
      <c r="B650" s="358" t="s">
        <v>1540</v>
      </c>
      <c r="C650" s="410">
        <v>1</v>
      </c>
      <c r="D650" s="410">
        <v>1</v>
      </c>
      <c r="E650" s="410">
        <v>1</v>
      </c>
      <c r="F650" s="410">
        <v>1</v>
      </c>
      <c r="G650" s="360">
        <v>2.2000000000000002</v>
      </c>
      <c r="H650" s="360">
        <v>2.2000000000000002</v>
      </c>
      <c r="I650" s="361">
        <v>0</v>
      </c>
      <c r="J650" s="361"/>
      <c r="K650" s="361">
        <v>3</v>
      </c>
      <c r="L650" s="409" t="s">
        <v>1291</v>
      </c>
      <c r="M650" s="361">
        <v>3</v>
      </c>
      <c r="N650" s="409" t="s">
        <v>1291</v>
      </c>
      <c r="O650" s="361">
        <v>3</v>
      </c>
      <c r="P650" s="409" t="s">
        <v>1291</v>
      </c>
      <c r="Q650" s="233">
        <v>30</v>
      </c>
      <c r="R650" s="400"/>
      <c r="S650" s="400"/>
      <c r="T650" s="401"/>
      <c r="U650" s="401"/>
      <c r="V650" s="401"/>
      <c r="W650" s="400"/>
      <c r="X650" s="400"/>
      <c r="Y650" s="401"/>
      <c r="Z650" s="401"/>
      <c r="AA650" s="401"/>
      <c r="AB650" s="402"/>
      <c r="AC650" s="402"/>
      <c r="AD650" s="402"/>
      <c r="AE650" s="402"/>
      <c r="AF650" s="402"/>
      <c r="AG650" s="332"/>
    </row>
    <row r="651" spans="1:33" s="333" customFormat="1" ht="18" customHeight="1">
      <c r="A651" s="382"/>
      <c r="B651" s="358" t="s">
        <v>1563</v>
      </c>
      <c r="C651" s="410">
        <v>14</v>
      </c>
      <c r="D651" s="410">
        <v>14</v>
      </c>
      <c r="E651" s="410">
        <v>14</v>
      </c>
      <c r="F651" s="410">
        <v>14</v>
      </c>
      <c r="G651" s="360">
        <v>0.25</v>
      </c>
      <c r="H651" s="360">
        <v>0.25</v>
      </c>
      <c r="I651" s="361">
        <v>0</v>
      </c>
      <c r="J651" s="361"/>
      <c r="K651" s="361">
        <v>3</v>
      </c>
      <c r="L651" s="409" t="s">
        <v>1291</v>
      </c>
      <c r="M651" s="361">
        <v>3</v>
      </c>
      <c r="N651" s="409" t="s">
        <v>1291</v>
      </c>
      <c r="O651" s="361">
        <v>3</v>
      </c>
      <c r="P651" s="409" t="s">
        <v>1291</v>
      </c>
      <c r="Q651" s="233">
        <v>30</v>
      </c>
      <c r="R651" s="400"/>
      <c r="S651" s="400"/>
      <c r="T651" s="401"/>
      <c r="U651" s="401"/>
      <c r="V651" s="401"/>
      <c r="W651" s="400"/>
      <c r="X651" s="400"/>
      <c r="Y651" s="401"/>
      <c r="Z651" s="401"/>
      <c r="AA651" s="401"/>
      <c r="AB651" s="402"/>
      <c r="AC651" s="402"/>
      <c r="AD651" s="402"/>
      <c r="AE651" s="402"/>
      <c r="AF651" s="402"/>
      <c r="AG651" s="332"/>
    </row>
    <row r="652" spans="1:33" s="333" customFormat="1" ht="18" customHeight="1">
      <c r="A652" s="382"/>
      <c r="B652" s="358" t="s">
        <v>1564</v>
      </c>
      <c r="C652" s="410">
        <v>1</v>
      </c>
      <c r="D652" s="410">
        <v>1</v>
      </c>
      <c r="E652" s="410">
        <v>1</v>
      </c>
      <c r="F652" s="410">
        <v>1</v>
      </c>
      <c r="G652" s="360">
        <v>0.2</v>
      </c>
      <c r="H652" s="360">
        <v>0.2</v>
      </c>
      <c r="I652" s="361">
        <v>0</v>
      </c>
      <c r="J652" s="361"/>
      <c r="K652" s="361">
        <v>4</v>
      </c>
      <c r="L652" s="409" t="s">
        <v>1126</v>
      </c>
      <c r="M652" s="361">
        <v>4</v>
      </c>
      <c r="N652" s="409" t="s">
        <v>1126</v>
      </c>
      <c r="O652" s="361">
        <v>4</v>
      </c>
      <c r="P652" s="409" t="s">
        <v>1126</v>
      </c>
      <c r="Q652" s="233">
        <v>30</v>
      </c>
      <c r="R652" s="400"/>
      <c r="S652" s="400"/>
      <c r="T652" s="401"/>
      <c r="U652" s="401"/>
      <c r="V652" s="401"/>
      <c r="W652" s="400"/>
      <c r="X652" s="400"/>
      <c r="Y652" s="401"/>
      <c r="Z652" s="401"/>
      <c r="AA652" s="401"/>
      <c r="AB652" s="402"/>
      <c r="AC652" s="402"/>
      <c r="AD652" s="402"/>
      <c r="AE652" s="402"/>
      <c r="AF652" s="402"/>
      <c r="AG652" s="332"/>
    </row>
    <row r="653" spans="1:33" s="333" customFormat="1" ht="18" customHeight="1">
      <c r="A653" s="382"/>
      <c r="B653" s="358" t="s">
        <v>1546</v>
      </c>
      <c r="C653" s="410">
        <v>1</v>
      </c>
      <c r="D653" s="410">
        <v>1</v>
      </c>
      <c r="E653" s="410">
        <v>1</v>
      </c>
      <c r="F653" s="410">
        <v>1</v>
      </c>
      <c r="G653" s="360">
        <v>0.5</v>
      </c>
      <c r="H653" s="360">
        <v>0.5</v>
      </c>
      <c r="I653" s="361">
        <v>0</v>
      </c>
      <c r="J653" s="361"/>
      <c r="K653" s="361">
        <v>4</v>
      </c>
      <c r="L653" s="409" t="s">
        <v>1126</v>
      </c>
      <c r="M653" s="361">
        <v>4</v>
      </c>
      <c r="N653" s="409" t="s">
        <v>1126</v>
      </c>
      <c r="O653" s="361">
        <v>4</v>
      </c>
      <c r="P653" s="409" t="s">
        <v>1126</v>
      </c>
      <c r="Q653" s="233">
        <v>30</v>
      </c>
      <c r="R653" s="400"/>
      <c r="S653" s="400"/>
      <c r="T653" s="401"/>
      <c r="U653" s="401"/>
      <c r="V653" s="401"/>
      <c r="W653" s="400"/>
      <c r="X653" s="400"/>
      <c r="Y653" s="401"/>
      <c r="Z653" s="401"/>
      <c r="AA653" s="401"/>
      <c r="AB653" s="402"/>
      <c r="AC653" s="402"/>
      <c r="AD653" s="402"/>
      <c r="AE653" s="402"/>
      <c r="AF653" s="402"/>
      <c r="AG653" s="332"/>
    </row>
    <row r="654" spans="1:33" s="333" customFormat="1" ht="18" customHeight="1">
      <c r="A654" s="382"/>
      <c r="B654" s="358" t="s">
        <v>1543</v>
      </c>
      <c r="C654" s="410">
        <v>2</v>
      </c>
      <c r="D654" s="410">
        <v>2</v>
      </c>
      <c r="E654" s="410">
        <v>2</v>
      </c>
      <c r="F654" s="410">
        <v>2</v>
      </c>
      <c r="G654" s="360">
        <v>2.8</v>
      </c>
      <c r="H654" s="360">
        <v>2.8</v>
      </c>
      <c r="I654" s="361">
        <v>0</v>
      </c>
      <c r="J654" s="361"/>
      <c r="K654" s="361">
        <v>4</v>
      </c>
      <c r="L654" s="409" t="s">
        <v>1126</v>
      </c>
      <c r="M654" s="361">
        <v>4</v>
      </c>
      <c r="N654" s="409" t="s">
        <v>1126</v>
      </c>
      <c r="O654" s="361">
        <v>4</v>
      </c>
      <c r="P654" s="409" t="s">
        <v>1126</v>
      </c>
      <c r="Q654" s="233">
        <v>30</v>
      </c>
      <c r="R654" s="400"/>
      <c r="S654" s="400"/>
      <c r="T654" s="401"/>
      <c r="U654" s="401"/>
      <c r="V654" s="401"/>
      <c r="W654" s="400"/>
      <c r="X654" s="400"/>
      <c r="Y654" s="401"/>
      <c r="Z654" s="401"/>
      <c r="AA654" s="401"/>
      <c r="AB654" s="402"/>
      <c r="AC654" s="402"/>
      <c r="AD654" s="402"/>
      <c r="AE654" s="402"/>
      <c r="AF654" s="402"/>
      <c r="AG654" s="332"/>
    </row>
    <row r="655" spans="1:33" s="333" customFormat="1" ht="18" customHeight="1">
      <c r="A655" s="382"/>
      <c r="B655" s="358" t="s">
        <v>1529</v>
      </c>
      <c r="C655" s="410">
        <v>2</v>
      </c>
      <c r="D655" s="410">
        <v>2</v>
      </c>
      <c r="E655" s="410">
        <v>2</v>
      </c>
      <c r="F655" s="410">
        <v>2</v>
      </c>
      <c r="G655" s="360">
        <v>16</v>
      </c>
      <c r="H655" s="360">
        <v>16</v>
      </c>
      <c r="I655" s="361">
        <v>0</v>
      </c>
      <c r="J655" s="361"/>
      <c r="K655" s="361">
        <v>4</v>
      </c>
      <c r="L655" s="409" t="s">
        <v>1126</v>
      </c>
      <c r="M655" s="361">
        <v>4</v>
      </c>
      <c r="N655" s="409" t="s">
        <v>1126</v>
      </c>
      <c r="O655" s="361">
        <v>4</v>
      </c>
      <c r="P655" s="409" t="s">
        <v>1126</v>
      </c>
      <c r="Q655" s="233">
        <v>30</v>
      </c>
      <c r="R655" s="400"/>
      <c r="S655" s="400"/>
      <c r="T655" s="401"/>
      <c r="U655" s="401"/>
      <c r="V655" s="401"/>
      <c r="W655" s="400"/>
      <c r="X655" s="400"/>
      <c r="Y655" s="401"/>
      <c r="Z655" s="401"/>
      <c r="AA655" s="401"/>
      <c r="AB655" s="402"/>
      <c r="AC655" s="402"/>
      <c r="AD655" s="402"/>
      <c r="AE655" s="402"/>
      <c r="AF655" s="402"/>
      <c r="AG655" s="332"/>
    </row>
    <row r="656" spans="1:33" s="333" customFormat="1" ht="18" customHeight="1">
      <c r="A656" s="382"/>
      <c r="B656" s="358" t="s">
        <v>1544</v>
      </c>
      <c r="C656" s="410">
        <v>1</v>
      </c>
      <c r="D656" s="410">
        <v>1</v>
      </c>
      <c r="E656" s="410">
        <v>1</v>
      </c>
      <c r="F656" s="410">
        <v>1</v>
      </c>
      <c r="G656" s="360">
        <v>12</v>
      </c>
      <c r="H656" s="360">
        <v>12</v>
      </c>
      <c r="I656" s="361">
        <v>0</v>
      </c>
      <c r="J656" s="361"/>
      <c r="K656" s="361">
        <v>4</v>
      </c>
      <c r="L656" s="409" t="s">
        <v>1126</v>
      </c>
      <c r="M656" s="361">
        <v>4</v>
      </c>
      <c r="N656" s="409" t="s">
        <v>1126</v>
      </c>
      <c r="O656" s="361">
        <v>4</v>
      </c>
      <c r="P656" s="409" t="s">
        <v>1126</v>
      </c>
      <c r="Q656" s="233">
        <v>30</v>
      </c>
      <c r="R656" s="400"/>
      <c r="S656" s="400"/>
      <c r="T656" s="401"/>
      <c r="U656" s="401"/>
      <c r="V656" s="401"/>
      <c r="W656" s="400"/>
      <c r="X656" s="400"/>
      <c r="Y656" s="401"/>
      <c r="Z656" s="401"/>
      <c r="AA656" s="401"/>
      <c r="AB656" s="402"/>
      <c r="AC656" s="402"/>
      <c r="AD656" s="402"/>
      <c r="AE656" s="402"/>
      <c r="AF656" s="402"/>
      <c r="AG656" s="332"/>
    </row>
    <row r="657" spans="1:33" s="333" customFormat="1" ht="18" customHeight="1">
      <c r="A657" s="382"/>
      <c r="B657" s="358" t="s">
        <v>1546</v>
      </c>
      <c r="C657" s="410">
        <v>1</v>
      </c>
      <c r="D657" s="410">
        <v>1</v>
      </c>
      <c r="E657" s="410">
        <v>1</v>
      </c>
      <c r="F657" s="410">
        <v>1</v>
      </c>
      <c r="G657" s="360">
        <v>0.5</v>
      </c>
      <c r="H657" s="360">
        <v>0.5</v>
      </c>
      <c r="I657" s="361">
        <v>0</v>
      </c>
      <c r="J657" s="361"/>
      <c r="K657" s="361">
        <v>4</v>
      </c>
      <c r="L657" s="409" t="s">
        <v>1126</v>
      </c>
      <c r="M657" s="361">
        <v>4</v>
      </c>
      <c r="N657" s="409" t="s">
        <v>1126</v>
      </c>
      <c r="O657" s="361">
        <v>4</v>
      </c>
      <c r="P657" s="409" t="s">
        <v>1126</v>
      </c>
      <c r="Q657" s="233">
        <v>30</v>
      </c>
      <c r="R657" s="400"/>
      <c r="S657" s="400"/>
      <c r="T657" s="401"/>
      <c r="U657" s="401"/>
      <c r="V657" s="401"/>
      <c r="W657" s="400"/>
      <c r="X657" s="400"/>
      <c r="Y657" s="401"/>
      <c r="Z657" s="401"/>
      <c r="AA657" s="401"/>
      <c r="AB657" s="402"/>
      <c r="AC657" s="402"/>
      <c r="AD657" s="402"/>
      <c r="AE657" s="402"/>
      <c r="AF657" s="402"/>
      <c r="AG657" s="332"/>
    </row>
    <row r="658" spans="1:33" s="333" customFormat="1" ht="18" customHeight="1">
      <c r="A658" s="382"/>
      <c r="B658" s="358" t="s">
        <v>1547</v>
      </c>
      <c r="C658" s="410">
        <v>1</v>
      </c>
      <c r="D658" s="410">
        <v>1</v>
      </c>
      <c r="E658" s="410">
        <v>1</v>
      </c>
      <c r="F658" s="410">
        <v>1</v>
      </c>
      <c r="G658" s="360">
        <v>2.4</v>
      </c>
      <c r="H658" s="360">
        <v>2.4</v>
      </c>
      <c r="I658" s="361">
        <v>0</v>
      </c>
      <c r="J658" s="361"/>
      <c r="K658" s="361">
        <v>4</v>
      </c>
      <c r="L658" s="409" t="s">
        <v>1126</v>
      </c>
      <c r="M658" s="361">
        <v>4</v>
      </c>
      <c r="N658" s="409" t="s">
        <v>1126</v>
      </c>
      <c r="O658" s="361">
        <v>4</v>
      </c>
      <c r="P658" s="409" t="s">
        <v>1126</v>
      </c>
      <c r="Q658" s="233">
        <v>30</v>
      </c>
      <c r="R658" s="400"/>
      <c r="S658" s="400"/>
      <c r="T658" s="401"/>
      <c r="U658" s="401"/>
      <c r="V658" s="401"/>
      <c r="W658" s="400"/>
      <c r="X658" s="400"/>
      <c r="Y658" s="401"/>
      <c r="Z658" s="401"/>
      <c r="AA658" s="401"/>
      <c r="AB658" s="402"/>
      <c r="AC658" s="402"/>
      <c r="AD658" s="402"/>
      <c r="AE658" s="402"/>
      <c r="AF658" s="402"/>
      <c r="AG658" s="332"/>
    </row>
    <row r="659" spans="1:33" s="333" customFormat="1" ht="18" customHeight="1">
      <c r="A659" s="382"/>
      <c r="B659" s="358" t="s">
        <v>1548</v>
      </c>
      <c r="C659" s="410">
        <v>1</v>
      </c>
      <c r="D659" s="410">
        <v>1</v>
      </c>
      <c r="E659" s="410">
        <v>1</v>
      </c>
      <c r="F659" s="410">
        <v>1</v>
      </c>
      <c r="G659" s="360">
        <v>7</v>
      </c>
      <c r="H659" s="360">
        <v>7</v>
      </c>
      <c r="I659" s="361">
        <v>0</v>
      </c>
      <c r="J659" s="361"/>
      <c r="K659" s="361">
        <v>4</v>
      </c>
      <c r="L659" s="409" t="s">
        <v>1126</v>
      </c>
      <c r="M659" s="361">
        <v>4</v>
      </c>
      <c r="N659" s="409" t="s">
        <v>1126</v>
      </c>
      <c r="O659" s="361">
        <v>4</v>
      </c>
      <c r="P659" s="409" t="s">
        <v>1126</v>
      </c>
      <c r="Q659" s="233">
        <v>30</v>
      </c>
      <c r="R659" s="400"/>
      <c r="S659" s="400"/>
      <c r="T659" s="401"/>
      <c r="U659" s="401"/>
      <c r="V659" s="401"/>
      <c r="W659" s="400"/>
      <c r="X659" s="400"/>
      <c r="Y659" s="401"/>
      <c r="Z659" s="401"/>
      <c r="AA659" s="401"/>
      <c r="AB659" s="402"/>
      <c r="AC659" s="402"/>
      <c r="AD659" s="402"/>
      <c r="AE659" s="402"/>
      <c r="AF659" s="402"/>
      <c r="AG659" s="332"/>
    </row>
    <row r="660" spans="1:33" s="333" customFormat="1" ht="18" customHeight="1">
      <c r="A660" s="382"/>
      <c r="B660" s="358" t="s">
        <v>1563</v>
      </c>
      <c r="C660" s="410">
        <v>14</v>
      </c>
      <c r="D660" s="410">
        <v>14</v>
      </c>
      <c r="E660" s="410">
        <v>14</v>
      </c>
      <c r="F660" s="410">
        <v>14</v>
      </c>
      <c r="G660" s="360">
        <v>0.25</v>
      </c>
      <c r="H660" s="360">
        <v>0.25</v>
      </c>
      <c r="I660" s="361">
        <v>0</v>
      </c>
      <c r="J660" s="361"/>
      <c r="K660" s="361">
        <v>4</v>
      </c>
      <c r="L660" s="409" t="s">
        <v>1126</v>
      </c>
      <c r="M660" s="361">
        <v>4</v>
      </c>
      <c r="N660" s="409" t="s">
        <v>1126</v>
      </c>
      <c r="O660" s="361">
        <v>4</v>
      </c>
      <c r="P660" s="409" t="s">
        <v>1126</v>
      </c>
      <c r="Q660" s="233">
        <v>30</v>
      </c>
      <c r="R660" s="400"/>
      <c r="S660" s="400"/>
      <c r="T660" s="401"/>
      <c r="U660" s="401"/>
      <c r="V660" s="401"/>
      <c r="W660" s="400"/>
      <c r="X660" s="400"/>
      <c r="Y660" s="401"/>
      <c r="Z660" s="401"/>
      <c r="AA660" s="401"/>
      <c r="AB660" s="402"/>
      <c r="AC660" s="402"/>
      <c r="AD660" s="402"/>
      <c r="AE660" s="402"/>
      <c r="AF660" s="402"/>
      <c r="AG660" s="332"/>
    </row>
    <row r="661" spans="1:33" s="333" customFormat="1" ht="18" customHeight="1">
      <c r="A661" s="382"/>
      <c r="B661" s="403" t="s">
        <v>1552</v>
      </c>
      <c r="C661" s="359"/>
      <c r="D661" s="359"/>
      <c r="E661" s="359"/>
      <c r="F661" s="359"/>
      <c r="G661" s="360"/>
      <c r="H661" s="360"/>
      <c r="I661" s="361">
        <v>0</v>
      </c>
      <c r="J661" s="361"/>
      <c r="K661" s="361"/>
      <c r="L661" s="359"/>
      <c r="M661" s="361"/>
      <c r="N661" s="359"/>
      <c r="O661" s="361"/>
      <c r="P661" s="233"/>
      <c r="Q661" s="233">
        <v>30</v>
      </c>
      <c r="R661" s="400"/>
      <c r="S661" s="400"/>
      <c r="T661" s="401"/>
      <c r="U661" s="401"/>
      <c r="V661" s="401"/>
      <c r="W661" s="400"/>
      <c r="X661" s="400"/>
      <c r="Y661" s="401"/>
      <c r="Z661" s="401"/>
      <c r="AA661" s="401"/>
      <c r="AB661" s="402"/>
      <c r="AC661" s="402"/>
      <c r="AD661" s="402"/>
      <c r="AE661" s="402"/>
      <c r="AF661" s="402"/>
      <c r="AG661" s="332"/>
    </row>
    <row r="662" spans="1:33" s="333" customFormat="1" ht="18" customHeight="1">
      <c r="A662" s="382"/>
      <c r="B662" s="358" t="s">
        <v>1553</v>
      </c>
      <c r="C662" s="410">
        <v>8</v>
      </c>
      <c r="D662" s="410">
        <v>8</v>
      </c>
      <c r="E662" s="410">
        <v>8</v>
      </c>
      <c r="F662" s="410">
        <v>8</v>
      </c>
      <c r="G662" s="360">
        <v>1.3</v>
      </c>
      <c r="H662" s="360">
        <v>1.3</v>
      </c>
      <c r="I662" s="361">
        <v>0</v>
      </c>
      <c r="J662" s="361"/>
      <c r="K662" s="361">
        <v>4</v>
      </c>
      <c r="L662" s="409" t="s">
        <v>1126</v>
      </c>
      <c r="M662" s="361">
        <v>4</v>
      </c>
      <c r="N662" s="409" t="s">
        <v>1126</v>
      </c>
      <c r="O662" s="361">
        <v>4</v>
      </c>
      <c r="P662" s="409" t="s">
        <v>1126</v>
      </c>
      <c r="Q662" s="233">
        <v>30</v>
      </c>
      <c r="R662" s="400"/>
      <c r="S662" s="400"/>
      <c r="T662" s="401"/>
      <c r="U662" s="401"/>
      <c r="V662" s="401"/>
      <c r="W662" s="400"/>
      <c r="X662" s="400"/>
      <c r="Y662" s="401"/>
      <c r="Z662" s="401"/>
      <c r="AA662" s="401"/>
      <c r="AB662" s="402"/>
      <c r="AC662" s="402"/>
      <c r="AD662" s="402"/>
      <c r="AE662" s="402"/>
      <c r="AF662" s="402"/>
      <c r="AG662" s="332"/>
    </row>
    <row r="663" spans="1:33" s="333" customFormat="1" ht="18" customHeight="1">
      <c r="A663" s="382"/>
      <c r="B663" s="358" t="s">
        <v>1547</v>
      </c>
      <c r="C663" s="410">
        <v>32</v>
      </c>
      <c r="D663" s="410">
        <v>32</v>
      </c>
      <c r="E663" s="410">
        <v>32</v>
      </c>
      <c r="F663" s="410">
        <v>32</v>
      </c>
      <c r="G663" s="360">
        <v>2.4</v>
      </c>
      <c r="H663" s="360">
        <v>2.4</v>
      </c>
      <c r="I663" s="361">
        <v>0</v>
      </c>
      <c r="J663" s="361"/>
      <c r="K663" s="361">
        <v>4</v>
      </c>
      <c r="L663" s="359"/>
      <c r="M663" s="361">
        <v>4</v>
      </c>
      <c r="N663" s="359"/>
      <c r="O663" s="361">
        <v>4</v>
      </c>
      <c r="P663" s="233"/>
      <c r="Q663" s="233">
        <v>30</v>
      </c>
      <c r="R663" s="400"/>
      <c r="S663" s="400"/>
      <c r="T663" s="401"/>
      <c r="U663" s="401"/>
      <c r="V663" s="401"/>
      <c r="W663" s="400"/>
      <c r="X663" s="400"/>
      <c r="Y663" s="401"/>
      <c r="Z663" s="401"/>
      <c r="AA663" s="401"/>
      <c r="AB663" s="402"/>
      <c r="AC663" s="402"/>
      <c r="AD663" s="402"/>
      <c r="AE663" s="402"/>
      <c r="AF663" s="402"/>
      <c r="AG663" s="332"/>
    </row>
    <row r="664" spans="1:33" s="333" customFormat="1" ht="18" customHeight="1">
      <c r="A664" s="382"/>
      <c r="B664" s="403" t="s">
        <v>1565</v>
      </c>
      <c r="C664" s="359"/>
      <c r="D664" s="359"/>
      <c r="E664" s="359"/>
      <c r="F664" s="359"/>
      <c r="G664" s="360"/>
      <c r="H664" s="360"/>
      <c r="I664" s="361">
        <v>0</v>
      </c>
      <c r="J664" s="361"/>
      <c r="K664" s="361"/>
      <c r="L664" s="359"/>
      <c r="M664" s="361"/>
      <c r="N664" s="359"/>
      <c r="O664" s="361"/>
      <c r="P664" s="233"/>
      <c r="Q664" s="233">
        <v>30</v>
      </c>
      <c r="R664" s="400"/>
      <c r="S664" s="400"/>
      <c r="T664" s="401"/>
      <c r="U664" s="401"/>
      <c r="V664" s="401"/>
      <c r="W664" s="400"/>
      <c r="X664" s="400"/>
      <c r="Y664" s="401"/>
      <c r="Z664" s="401"/>
      <c r="AA664" s="401"/>
      <c r="AB664" s="402"/>
      <c r="AC664" s="402"/>
      <c r="AD664" s="402"/>
      <c r="AE664" s="402"/>
      <c r="AF664" s="402"/>
      <c r="AG664" s="332"/>
    </row>
    <row r="665" spans="1:33" s="333" customFormat="1" ht="18" customHeight="1">
      <c r="A665" s="382"/>
      <c r="B665" s="358" t="s">
        <v>1566</v>
      </c>
      <c r="C665" s="410">
        <v>6</v>
      </c>
      <c r="D665" s="410">
        <v>6</v>
      </c>
      <c r="E665" s="410">
        <v>6</v>
      </c>
      <c r="F665" s="410">
        <v>6</v>
      </c>
      <c r="G665" s="360">
        <v>1</v>
      </c>
      <c r="H665" s="360">
        <v>1</v>
      </c>
      <c r="I665" s="361">
        <v>0</v>
      </c>
      <c r="J665" s="361"/>
      <c r="K665" s="361">
        <v>4</v>
      </c>
      <c r="L665" s="409" t="s">
        <v>1126</v>
      </c>
      <c r="M665" s="361">
        <v>4</v>
      </c>
      <c r="N665" s="409" t="s">
        <v>1126</v>
      </c>
      <c r="O665" s="361">
        <v>4</v>
      </c>
      <c r="P665" s="409" t="s">
        <v>1126</v>
      </c>
      <c r="Q665" s="233">
        <v>30</v>
      </c>
      <c r="R665" s="400"/>
      <c r="S665" s="400"/>
      <c r="T665" s="401"/>
      <c r="U665" s="401"/>
      <c r="V665" s="401"/>
      <c r="W665" s="400"/>
      <c r="X665" s="400"/>
      <c r="Y665" s="401"/>
      <c r="Z665" s="401"/>
      <c r="AA665" s="401"/>
      <c r="AB665" s="402"/>
      <c r="AC665" s="402"/>
      <c r="AD665" s="402"/>
      <c r="AE665" s="402"/>
      <c r="AF665" s="402"/>
      <c r="AG665" s="332"/>
    </row>
    <row r="666" spans="1:33" s="333" customFormat="1" ht="18" customHeight="1">
      <c r="A666" s="382"/>
      <c r="B666" s="403" t="s">
        <v>1567</v>
      </c>
      <c r="C666" s="413"/>
      <c r="D666" s="413"/>
      <c r="E666" s="413"/>
      <c r="F666" s="413"/>
      <c r="G666" s="360"/>
      <c r="H666" s="360"/>
      <c r="I666" s="361">
        <v>0</v>
      </c>
      <c r="J666" s="361"/>
      <c r="K666" s="361"/>
      <c r="L666" s="359"/>
      <c r="M666" s="361"/>
      <c r="N666" s="359"/>
      <c r="O666" s="361"/>
      <c r="P666" s="233"/>
      <c r="Q666" s="233">
        <v>30</v>
      </c>
      <c r="R666" s="400"/>
      <c r="S666" s="400"/>
      <c r="T666" s="401"/>
      <c r="U666" s="401"/>
      <c r="V666" s="401"/>
      <c r="W666" s="400"/>
      <c r="X666" s="400"/>
      <c r="Y666" s="401"/>
      <c r="Z666" s="401"/>
      <c r="AA666" s="401"/>
      <c r="AB666" s="402"/>
      <c r="AC666" s="402"/>
      <c r="AD666" s="402"/>
      <c r="AE666" s="402"/>
      <c r="AF666" s="402"/>
      <c r="AG666" s="332"/>
    </row>
    <row r="667" spans="1:33" s="333" customFormat="1" ht="18" customHeight="1">
      <c r="A667" s="382"/>
      <c r="B667" s="358" t="s">
        <v>1566</v>
      </c>
      <c r="C667" s="410">
        <v>2</v>
      </c>
      <c r="D667" s="410">
        <v>2</v>
      </c>
      <c r="E667" s="410">
        <v>2</v>
      </c>
      <c r="F667" s="410">
        <v>2</v>
      </c>
      <c r="G667" s="360">
        <v>1</v>
      </c>
      <c r="H667" s="360">
        <v>1</v>
      </c>
      <c r="I667" s="361">
        <v>0</v>
      </c>
      <c r="J667" s="361"/>
      <c r="K667" s="361">
        <v>4</v>
      </c>
      <c r="L667" s="409" t="s">
        <v>1126</v>
      </c>
      <c r="M667" s="361">
        <v>4</v>
      </c>
      <c r="N667" s="409" t="s">
        <v>1126</v>
      </c>
      <c r="O667" s="361">
        <v>4</v>
      </c>
      <c r="P667" s="409" t="s">
        <v>1126</v>
      </c>
      <c r="Q667" s="233">
        <v>30</v>
      </c>
      <c r="R667" s="400"/>
      <c r="S667" s="400"/>
      <c r="T667" s="401"/>
      <c r="U667" s="401"/>
      <c r="V667" s="401"/>
      <c r="W667" s="400"/>
      <c r="X667" s="400"/>
      <c r="Y667" s="401"/>
      <c r="Z667" s="401"/>
      <c r="AA667" s="401"/>
      <c r="AB667" s="402"/>
      <c r="AC667" s="402"/>
      <c r="AD667" s="402"/>
      <c r="AE667" s="402"/>
      <c r="AF667" s="402"/>
      <c r="AG667" s="332"/>
    </row>
    <row r="668" spans="1:33" s="333" customFormat="1" ht="18" customHeight="1">
      <c r="A668" s="382"/>
      <c r="B668" s="403" t="s">
        <v>1554</v>
      </c>
      <c r="C668" s="413"/>
      <c r="D668" s="413"/>
      <c r="E668" s="413"/>
      <c r="F668" s="413"/>
      <c r="G668" s="360"/>
      <c r="H668" s="360"/>
      <c r="I668" s="361">
        <v>0</v>
      </c>
      <c r="J668" s="361"/>
      <c r="K668" s="361"/>
      <c r="L668" s="359"/>
      <c r="M668" s="361"/>
      <c r="N668" s="359"/>
      <c r="O668" s="361"/>
      <c r="P668" s="233"/>
      <c r="Q668" s="233">
        <v>30</v>
      </c>
      <c r="R668" s="400"/>
      <c r="S668" s="400"/>
      <c r="T668" s="401"/>
      <c r="U668" s="401"/>
      <c r="V668" s="401"/>
      <c r="W668" s="400"/>
      <c r="X668" s="400"/>
      <c r="Y668" s="401"/>
      <c r="Z668" s="401"/>
      <c r="AA668" s="401"/>
      <c r="AB668" s="402"/>
      <c r="AC668" s="402"/>
      <c r="AD668" s="402"/>
      <c r="AE668" s="402"/>
      <c r="AF668" s="402"/>
      <c r="AG668" s="332"/>
    </row>
    <row r="669" spans="1:33" s="333" customFormat="1" ht="18" customHeight="1">
      <c r="A669" s="382"/>
      <c r="B669" s="358" t="s">
        <v>1555</v>
      </c>
      <c r="C669" s="410">
        <v>2</v>
      </c>
      <c r="D669" s="410">
        <v>2</v>
      </c>
      <c r="E669" s="410">
        <v>2</v>
      </c>
      <c r="F669" s="410">
        <v>2</v>
      </c>
      <c r="G669" s="360">
        <v>2.2999999999999998</v>
      </c>
      <c r="H669" s="360">
        <v>2.2999999999999998</v>
      </c>
      <c r="I669" s="361">
        <v>0</v>
      </c>
      <c r="J669" s="361"/>
      <c r="K669" s="361">
        <v>4</v>
      </c>
      <c r="L669" s="409" t="s">
        <v>1126</v>
      </c>
      <c r="M669" s="361">
        <v>4</v>
      </c>
      <c r="N669" s="409" t="s">
        <v>1126</v>
      </c>
      <c r="O669" s="361">
        <v>4</v>
      </c>
      <c r="P669" s="409" t="s">
        <v>1126</v>
      </c>
      <c r="Q669" s="233">
        <v>30</v>
      </c>
      <c r="R669" s="400"/>
      <c r="S669" s="400"/>
      <c r="T669" s="401"/>
      <c r="U669" s="401"/>
      <c r="V669" s="401"/>
      <c r="W669" s="400"/>
      <c r="X669" s="400"/>
      <c r="Y669" s="401"/>
      <c r="Z669" s="401"/>
      <c r="AA669" s="401"/>
      <c r="AB669" s="402"/>
      <c r="AC669" s="402"/>
      <c r="AD669" s="402"/>
      <c r="AE669" s="402"/>
      <c r="AF669" s="402"/>
      <c r="AG669" s="332"/>
    </row>
    <row r="670" spans="1:33" s="333" customFormat="1" ht="18" customHeight="1">
      <c r="A670" s="382"/>
      <c r="B670" s="403" t="s">
        <v>1568</v>
      </c>
      <c r="C670" s="413"/>
      <c r="D670" s="413"/>
      <c r="E670" s="413"/>
      <c r="F670" s="413"/>
      <c r="G670" s="360"/>
      <c r="H670" s="360"/>
      <c r="I670" s="361">
        <v>0</v>
      </c>
      <c r="J670" s="361"/>
      <c r="K670" s="361"/>
      <c r="L670" s="359"/>
      <c r="M670" s="361"/>
      <c r="N670" s="359"/>
      <c r="O670" s="361"/>
      <c r="P670" s="233"/>
      <c r="Q670" s="233">
        <v>30</v>
      </c>
      <c r="R670" s="400"/>
      <c r="S670" s="400"/>
      <c r="T670" s="401"/>
      <c r="U670" s="401"/>
      <c r="V670" s="401"/>
      <c r="W670" s="400"/>
      <c r="X670" s="400"/>
      <c r="Y670" s="401"/>
      <c r="Z670" s="401"/>
      <c r="AA670" s="401"/>
      <c r="AB670" s="402"/>
      <c r="AC670" s="402"/>
      <c r="AD670" s="402"/>
      <c r="AE670" s="402"/>
      <c r="AF670" s="402"/>
      <c r="AG670" s="332"/>
    </row>
    <row r="671" spans="1:33" s="333" customFormat="1" ht="18" customHeight="1">
      <c r="A671" s="382"/>
      <c r="B671" s="358" t="s">
        <v>1553</v>
      </c>
      <c r="C671" s="410">
        <v>1</v>
      </c>
      <c r="D671" s="410">
        <v>1</v>
      </c>
      <c r="E671" s="410">
        <v>1</v>
      </c>
      <c r="F671" s="410">
        <v>1</v>
      </c>
      <c r="G671" s="360">
        <v>1.3</v>
      </c>
      <c r="H671" s="360">
        <v>1.3</v>
      </c>
      <c r="I671" s="361">
        <v>0</v>
      </c>
      <c r="J671" s="361"/>
      <c r="K671" s="361">
        <v>4</v>
      </c>
      <c r="L671" s="409" t="s">
        <v>1126</v>
      </c>
      <c r="M671" s="361">
        <v>4</v>
      </c>
      <c r="N671" s="409" t="s">
        <v>1126</v>
      </c>
      <c r="O671" s="361">
        <v>4</v>
      </c>
      <c r="P671" s="409" t="s">
        <v>1126</v>
      </c>
      <c r="Q671" s="233">
        <v>30</v>
      </c>
      <c r="R671" s="400"/>
      <c r="S671" s="400"/>
      <c r="T671" s="401"/>
      <c r="U671" s="401"/>
      <c r="V671" s="401"/>
      <c r="W671" s="400"/>
      <c r="X671" s="400"/>
      <c r="Y671" s="401"/>
      <c r="Z671" s="401"/>
      <c r="AA671" s="401"/>
      <c r="AB671" s="402"/>
      <c r="AC671" s="402"/>
      <c r="AD671" s="402"/>
      <c r="AE671" s="402"/>
      <c r="AF671" s="402"/>
      <c r="AG671" s="332"/>
    </row>
    <row r="672" spans="1:33" s="333" customFormat="1" ht="18" customHeight="1">
      <c r="A672" s="382"/>
      <c r="B672" s="358" t="s">
        <v>1547</v>
      </c>
      <c r="C672" s="410">
        <v>1</v>
      </c>
      <c r="D672" s="410">
        <v>1</v>
      </c>
      <c r="E672" s="410">
        <v>1</v>
      </c>
      <c r="F672" s="410">
        <v>1</v>
      </c>
      <c r="G672" s="360">
        <v>2.4</v>
      </c>
      <c r="H672" s="360">
        <v>2.4</v>
      </c>
      <c r="I672" s="361">
        <v>0</v>
      </c>
      <c r="J672" s="361"/>
      <c r="K672" s="361">
        <v>4</v>
      </c>
      <c r="L672" s="409" t="s">
        <v>1126</v>
      </c>
      <c r="M672" s="361">
        <v>4</v>
      </c>
      <c r="N672" s="409" t="s">
        <v>1126</v>
      </c>
      <c r="O672" s="361">
        <v>4</v>
      </c>
      <c r="P672" s="409" t="s">
        <v>1126</v>
      </c>
      <c r="Q672" s="233">
        <v>30</v>
      </c>
      <c r="R672" s="400"/>
      <c r="S672" s="400"/>
      <c r="T672" s="401"/>
      <c r="U672" s="401"/>
      <c r="V672" s="401"/>
      <c r="W672" s="400"/>
      <c r="X672" s="400"/>
      <c r="Y672" s="401"/>
      <c r="Z672" s="401"/>
      <c r="AA672" s="401"/>
      <c r="AB672" s="402"/>
      <c r="AC672" s="402"/>
      <c r="AD672" s="402"/>
      <c r="AE672" s="402"/>
      <c r="AF672" s="402"/>
      <c r="AG672" s="332"/>
    </row>
    <row r="673" spans="1:33" s="333" customFormat="1" ht="18" customHeight="1">
      <c r="A673" s="382"/>
      <c r="B673" s="403" t="s">
        <v>1551</v>
      </c>
      <c r="C673" s="413"/>
      <c r="D673" s="413"/>
      <c r="E673" s="413"/>
      <c r="F673" s="413"/>
      <c r="G673" s="360"/>
      <c r="H673" s="360"/>
      <c r="I673" s="361">
        <v>0</v>
      </c>
      <c r="J673" s="361"/>
      <c r="K673" s="361"/>
      <c r="L673" s="359"/>
      <c r="M673" s="361"/>
      <c r="N673" s="359"/>
      <c r="O673" s="361"/>
      <c r="P673" s="233"/>
      <c r="Q673" s="233">
        <v>30</v>
      </c>
      <c r="R673" s="400"/>
      <c r="S673" s="400"/>
      <c r="T673" s="401"/>
      <c r="U673" s="401"/>
      <c r="V673" s="401"/>
      <c r="W673" s="400"/>
      <c r="X673" s="400"/>
      <c r="Y673" s="401"/>
      <c r="Z673" s="401"/>
      <c r="AA673" s="401"/>
      <c r="AB673" s="402"/>
      <c r="AC673" s="402"/>
      <c r="AD673" s="402"/>
      <c r="AE673" s="402"/>
      <c r="AF673" s="402"/>
      <c r="AG673" s="332"/>
    </row>
    <row r="674" spans="1:33" s="333" customFormat="1" ht="18" customHeight="1">
      <c r="A674" s="382"/>
      <c r="B674" s="358" t="s">
        <v>1457</v>
      </c>
      <c r="C674" s="410">
        <v>1</v>
      </c>
      <c r="D674" s="410">
        <v>1</v>
      </c>
      <c r="E674" s="410">
        <v>1</v>
      </c>
      <c r="F674" s="410">
        <v>1</v>
      </c>
      <c r="G674" s="360">
        <v>0.1</v>
      </c>
      <c r="H674" s="360">
        <v>0.1</v>
      </c>
      <c r="I674" s="361">
        <v>0</v>
      </c>
      <c r="J674" s="361"/>
      <c r="K674" s="361">
        <v>24</v>
      </c>
      <c r="L674" s="226" t="s">
        <v>996</v>
      </c>
      <c r="M674" s="361">
        <v>24</v>
      </c>
      <c r="N674" s="226" t="s">
        <v>996</v>
      </c>
      <c r="O674" s="361">
        <v>24</v>
      </c>
      <c r="P674" s="226" t="s">
        <v>996</v>
      </c>
      <c r="Q674" s="361">
        <v>24</v>
      </c>
      <c r="R674" s="226" t="s">
        <v>996</v>
      </c>
      <c r="S674" s="400"/>
      <c r="T674" s="401"/>
      <c r="U674" s="401"/>
      <c r="V674" s="401"/>
      <c r="W674" s="400"/>
      <c r="X674" s="400"/>
      <c r="Y674" s="401"/>
      <c r="Z674" s="401"/>
      <c r="AA674" s="401"/>
      <c r="AB674" s="402"/>
      <c r="AC674" s="402"/>
      <c r="AD674" s="402"/>
      <c r="AE674" s="402"/>
      <c r="AF674" s="402"/>
      <c r="AG674" s="332"/>
    </row>
    <row r="675" spans="1:33" s="333" customFormat="1" ht="18" customHeight="1">
      <c r="A675" s="382"/>
      <c r="B675" s="358" t="s">
        <v>1445</v>
      </c>
      <c r="C675" s="410">
        <v>1</v>
      </c>
      <c r="D675" s="410">
        <v>1</v>
      </c>
      <c r="E675" s="410">
        <v>1</v>
      </c>
      <c r="F675" s="410">
        <v>1</v>
      </c>
      <c r="G675" s="360">
        <v>62.8</v>
      </c>
      <c r="H675" s="360">
        <v>62.8</v>
      </c>
      <c r="I675" s="361">
        <v>0</v>
      </c>
      <c r="J675" s="361"/>
      <c r="K675" s="361">
        <v>4</v>
      </c>
      <c r="L675" s="409" t="s">
        <v>1126</v>
      </c>
      <c r="M675" s="361">
        <v>4</v>
      </c>
      <c r="N675" s="409" t="s">
        <v>1126</v>
      </c>
      <c r="O675" s="361">
        <v>4</v>
      </c>
      <c r="P675" s="409" t="s">
        <v>1126</v>
      </c>
      <c r="Q675" s="233">
        <v>30</v>
      </c>
      <c r="R675" s="400"/>
      <c r="S675" s="400"/>
      <c r="T675" s="401"/>
      <c r="U675" s="401"/>
      <c r="V675" s="401"/>
      <c r="W675" s="400"/>
      <c r="X675" s="400"/>
      <c r="Y675" s="401"/>
      <c r="Z675" s="401"/>
      <c r="AA675" s="401"/>
      <c r="AB675" s="402"/>
      <c r="AC675" s="402"/>
      <c r="AD675" s="402"/>
      <c r="AE675" s="402"/>
      <c r="AF675" s="402"/>
      <c r="AG675" s="332"/>
    </row>
    <row r="676" spans="1:33" s="333" customFormat="1" ht="18" customHeight="1">
      <c r="A676" s="382"/>
      <c r="B676" s="358" t="s">
        <v>1154</v>
      </c>
      <c r="C676" s="410">
        <v>1</v>
      </c>
      <c r="D676" s="410">
        <v>1</v>
      </c>
      <c r="E676" s="410">
        <v>1</v>
      </c>
      <c r="F676" s="410">
        <v>1</v>
      </c>
      <c r="G676" s="360">
        <v>14.8</v>
      </c>
      <c r="H676" s="360">
        <v>14.8</v>
      </c>
      <c r="I676" s="361">
        <v>0</v>
      </c>
      <c r="J676" s="361"/>
      <c r="K676" s="361">
        <v>4</v>
      </c>
      <c r="L676" s="409" t="s">
        <v>1126</v>
      </c>
      <c r="M676" s="361">
        <v>4</v>
      </c>
      <c r="N676" s="409" t="s">
        <v>1126</v>
      </c>
      <c r="O676" s="361">
        <v>4</v>
      </c>
      <c r="P676" s="409" t="s">
        <v>1126</v>
      </c>
      <c r="Q676" s="233">
        <v>30</v>
      </c>
      <c r="R676" s="400"/>
      <c r="S676" s="400"/>
      <c r="T676" s="401"/>
      <c r="U676" s="401"/>
      <c r="V676" s="401"/>
      <c r="W676" s="400"/>
      <c r="X676" s="400"/>
      <c r="Y676" s="401"/>
      <c r="Z676" s="401"/>
      <c r="AA676" s="401"/>
      <c r="AB676" s="402"/>
      <c r="AC676" s="402"/>
      <c r="AD676" s="402"/>
      <c r="AE676" s="402"/>
      <c r="AF676" s="402"/>
      <c r="AG676" s="332"/>
    </row>
    <row r="677" spans="1:33" s="333" customFormat="1" ht="18" customHeight="1">
      <c r="A677" s="382"/>
      <c r="B677" s="358" t="s">
        <v>1457</v>
      </c>
      <c r="C677" s="410">
        <v>1</v>
      </c>
      <c r="D677" s="410">
        <v>1</v>
      </c>
      <c r="E677" s="410">
        <v>1</v>
      </c>
      <c r="F677" s="410">
        <v>1</v>
      </c>
      <c r="G677" s="360">
        <v>0.1</v>
      </c>
      <c r="H677" s="360">
        <v>0.1</v>
      </c>
      <c r="I677" s="361">
        <v>0</v>
      </c>
      <c r="J677" s="361"/>
      <c r="K677" s="361">
        <v>4</v>
      </c>
      <c r="L677" s="409" t="s">
        <v>1126</v>
      </c>
      <c r="M677" s="361">
        <v>4</v>
      </c>
      <c r="N677" s="409" t="s">
        <v>1126</v>
      </c>
      <c r="O677" s="361">
        <v>4</v>
      </c>
      <c r="P677" s="409" t="s">
        <v>1126</v>
      </c>
      <c r="Q677" s="233">
        <v>30</v>
      </c>
      <c r="R677" s="400"/>
      <c r="S677" s="400"/>
      <c r="T677" s="401"/>
      <c r="U677" s="401"/>
      <c r="V677" s="401"/>
      <c r="W677" s="400"/>
      <c r="X677" s="400"/>
      <c r="Y677" s="401"/>
      <c r="Z677" s="401"/>
      <c r="AA677" s="401"/>
      <c r="AB677" s="402"/>
      <c r="AC677" s="402"/>
      <c r="AD677" s="402"/>
      <c r="AE677" s="402"/>
      <c r="AF677" s="402"/>
      <c r="AG677" s="332"/>
    </row>
    <row r="678" spans="1:33" s="333" customFormat="1" ht="18" customHeight="1">
      <c r="A678" s="382"/>
      <c r="B678" s="375" t="s">
        <v>1569</v>
      </c>
      <c r="C678" s="359"/>
      <c r="D678" s="359"/>
      <c r="E678" s="359"/>
      <c r="F678" s="359"/>
      <c r="G678" s="414"/>
      <c r="H678" s="414"/>
      <c r="I678" s="361">
        <v>0</v>
      </c>
      <c r="J678" s="361"/>
      <c r="K678" s="361"/>
      <c r="L678" s="361"/>
      <c r="M678" s="361"/>
      <c r="N678" s="359"/>
      <c r="O678" s="359"/>
      <c r="P678" s="233"/>
      <c r="Q678" s="233">
        <v>30</v>
      </c>
      <c r="R678" s="400"/>
      <c r="S678" s="400"/>
      <c r="T678" s="401"/>
      <c r="U678" s="401"/>
      <c r="V678" s="401"/>
      <c r="W678" s="400"/>
      <c r="X678" s="400"/>
      <c r="Y678" s="401"/>
      <c r="Z678" s="401"/>
      <c r="AA678" s="401"/>
      <c r="AB678" s="402"/>
      <c r="AC678" s="402"/>
      <c r="AD678" s="402"/>
      <c r="AE678" s="402"/>
      <c r="AF678" s="402"/>
      <c r="AG678" s="332"/>
    </row>
    <row r="679" spans="1:33" s="333" customFormat="1" ht="18" customHeight="1">
      <c r="A679" s="382"/>
      <c r="B679" s="222" t="s">
        <v>339</v>
      </c>
      <c r="C679" s="223">
        <v>1</v>
      </c>
      <c r="D679" s="223">
        <v>1</v>
      </c>
      <c r="E679" s="224">
        <v>1</v>
      </c>
      <c r="F679" s="224">
        <v>1</v>
      </c>
      <c r="G679" s="223">
        <v>0.56000000000000005</v>
      </c>
      <c r="H679" s="223">
        <v>0.56000000000000005</v>
      </c>
      <c r="I679" s="223">
        <v>12</v>
      </c>
      <c r="J679" s="223" t="s">
        <v>996</v>
      </c>
      <c r="K679" s="223">
        <v>12</v>
      </c>
      <c r="L679" s="223" t="s">
        <v>996</v>
      </c>
      <c r="M679" s="223">
        <v>12</v>
      </c>
      <c r="N679" s="223" t="s">
        <v>996</v>
      </c>
      <c r="O679" s="223">
        <v>12</v>
      </c>
      <c r="P679" s="223" t="s">
        <v>996</v>
      </c>
      <c r="Q679" s="233">
        <v>30</v>
      </c>
      <c r="R679" s="400"/>
      <c r="S679" s="400"/>
      <c r="T679" s="401"/>
      <c r="U679" s="401"/>
      <c r="V679" s="401"/>
      <c r="W679" s="400"/>
      <c r="X679" s="400"/>
      <c r="Y679" s="401"/>
      <c r="Z679" s="401"/>
      <c r="AA679" s="401"/>
      <c r="AB679" s="402"/>
      <c r="AC679" s="402"/>
      <c r="AD679" s="402"/>
      <c r="AE679" s="402"/>
      <c r="AF679" s="402"/>
      <c r="AG679" s="332"/>
    </row>
    <row r="680" spans="1:33" s="333" customFormat="1" ht="18" customHeight="1">
      <c r="A680" s="382"/>
      <c r="B680" s="340" t="s">
        <v>340</v>
      </c>
      <c r="C680" s="223">
        <v>1</v>
      </c>
      <c r="D680" s="223">
        <v>1</v>
      </c>
      <c r="E680" s="224">
        <v>1</v>
      </c>
      <c r="F680" s="224">
        <v>1</v>
      </c>
      <c r="G680" s="223">
        <v>0.56000000000000005</v>
      </c>
      <c r="H680" s="223">
        <v>0.56000000000000005</v>
      </c>
      <c r="I680" s="223">
        <v>12</v>
      </c>
      <c r="J680" s="223" t="s">
        <v>996</v>
      </c>
      <c r="K680" s="223">
        <v>12</v>
      </c>
      <c r="L680" s="223" t="s">
        <v>996</v>
      </c>
      <c r="M680" s="223">
        <v>12</v>
      </c>
      <c r="N680" s="223" t="s">
        <v>996</v>
      </c>
      <c r="O680" s="223">
        <v>12</v>
      </c>
      <c r="P680" s="223" t="s">
        <v>996</v>
      </c>
      <c r="Q680" s="233">
        <v>30</v>
      </c>
      <c r="R680" s="400"/>
      <c r="S680" s="400"/>
      <c r="T680" s="401"/>
      <c r="U680" s="401"/>
      <c r="V680" s="401"/>
      <c r="W680" s="400"/>
      <c r="X680" s="400"/>
      <c r="Y680" s="401"/>
      <c r="Z680" s="401"/>
      <c r="AA680" s="401"/>
      <c r="AB680" s="402"/>
      <c r="AC680" s="402"/>
      <c r="AD680" s="402"/>
      <c r="AE680" s="402"/>
      <c r="AF680" s="402"/>
      <c r="AG680" s="332"/>
    </row>
    <row r="681" spans="1:33" s="333" customFormat="1" ht="18" customHeight="1">
      <c r="A681" s="382"/>
      <c r="B681" s="415" t="s">
        <v>372</v>
      </c>
      <c r="C681" s="416">
        <v>0</v>
      </c>
      <c r="D681" s="416">
        <v>0</v>
      </c>
      <c r="E681" s="417">
        <v>1</v>
      </c>
      <c r="F681" s="417">
        <v>1</v>
      </c>
      <c r="G681" s="416">
        <v>2</v>
      </c>
      <c r="H681" s="416">
        <v>2</v>
      </c>
      <c r="I681" s="416">
        <v>1</v>
      </c>
      <c r="J681" s="416" t="s">
        <v>1571</v>
      </c>
      <c r="K681" s="416">
        <v>1.5</v>
      </c>
      <c r="L681" s="416" t="s">
        <v>1572</v>
      </c>
      <c r="M681" s="416">
        <v>2</v>
      </c>
      <c r="N681" s="416" t="s">
        <v>1573</v>
      </c>
      <c r="O681" s="416">
        <v>2</v>
      </c>
      <c r="P681" s="416" t="s">
        <v>1573</v>
      </c>
      <c r="Q681" s="233">
        <v>30</v>
      </c>
      <c r="R681" s="400"/>
      <c r="S681" s="400"/>
      <c r="T681" s="401"/>
      <c r="U681" s="401"/>
      <c r="V681" s="401"/>
      <c r="W681" s="400"/>
      <c r="X681" s="400"/>
      <c r="Y681" s="401"/>
      <c r="Z681" s="401"/>
      <c r="AA681" s="401"/>
      <c r="AB681" s="402"/>
      <c r="AC681" s="402"/>
      <c r="AD681" s="402"/>
      <c r="AE681" s="402"/>
      <c r="AF681" s="402"/>
      <c r="AG681" s="332"/>
    </row>
    <row r="682" spans="1:33" s="333" customFormat="1" ht="18" customHeight="1">
      <c r="A682" s="382"/>
      <c r="B682" s="415" t="s">
        <v>1293</v>
      </c>
      <c r="C682" s="416">
        <v>1</v>
      </c>
      <c r="D682" s="416">
        <v>1</v>
      </c>
      <c r="E682" s="417">
        <v>1</v>
      </c>
      <c r="F682" s="417">
        <v>1</v>
      </c>
      <c r="G682" s="416">
        <v>3.6</v>
      </c>
      <c r="H682" s="416">
        <v>3.6</v>
      </c>
      <c r="I682" s="416">
        <v>1</v>
      </c>
      <c r="J682" s="416" t="s">
        <v>1571</v>
      </c>
      <c r="K682" s="416">
        <v>1.5</v>
      </c>
      <c r="L682" s="416" t="s">
        <v>1572</v>
      </c>
      <c r="M682" s="416">
        <v>2</v>
      </c>
      <c r="N682" s="416" t="s">
        <v>1573</v>
      </c>
      <c r="O682" s="416">
        <v>2</v>
      </c>
      <c r="P682" s="416" t="s">
        <v>1573</v>
      </c>
      <c r="Q682" s="233">
        <v>30</v>
      </c>
      <c r="R682" s="400"/>
      <c r="S682" s="400"/>
      <c r="T682" s="401"/>
      <c r="U682" s="401"/>
      <c r="V682" s="401"/>
      <c r="W682" s="400"/>
      <c r="X682" s="400"/>
      <c r="Y682" s="401"/>
      <c r="Z682" s="401"/>
      <c r="AA682" s="401"/>
      <c r="AB682" s="402"/>
      <c r="AC682" s="402"/>
      <c r="AD682" s="402"/>
      <c r="AE682" s="402"/>
      <c r="AF682" s="402"/>
      <c r="AG682" s="332"/>
    </row>
    <row r="683" spans="1:33" s="333" customFormat="1" ht="18" customHeight="1">
      <c r="A683" s="382"/>
      <c r="B683" s="415" t="s">
        <v>1579</v>
      </c>
      <c r="C683" s="416">
        <v>1</v>
      </c>
      <c r="D683" s="416">
        <v>1</v>
      </c>
      <c r="E683" s="416">
        <v>1</v>
      </c>
      <c r="F683" s="416">
        <v>1</v>
      </c>
      <c r="G683" s="416">
        <v>1.2</v>
      </c>
      <c r="H683" s="416">
        <v>1.2</v>
      </c>
      <c r="I683" s="416">
        <v>1</v>
      </c>
      <c r="J683" s="416" t="s">
        <v>1571</v>
      </c>
      <c r="K683" s="416">
        <v>2</v>
      </c>
      <c r="L683" s="416" t="s">
        <v>1573</v>
      </c>
      <c r="M683" s="416">
        <v>2</v>
      </c>
      <c r="N683" s="416" t="s">
        <v>1573</v>
      </c>
      <c r="O683" s="416">
        <v>2</v>
      </c>
      <c r="P683" s="416" t="s">
        <v>1573</v>
      </c>
      <c r="Q683" s="233"/>
      <c r="R683" s="400"/>
      <c r="S683" s="400"/>
      <c r="T683" s="401"/>
      <c r="U683" s="401"/>
      <c r="V683" s="401"/>
      <c r="W683" s="400"/>
      <c r="X683" s="400"/>
      <c r="Y683" s="401"/>
      <c r="Z683" s="401"/>
      <c r="AA683" s="401"/>
      <c r="AB683" s="402"/>
      <c r="AC683" s="402"/>
      <c r="AD683" s="402"/>
      <c r="AE683" s="402"/>
      <c r="AF683" s="402"/>
      <c r="AG683" s="332"/>
    </row>
    <row r="684" spans="1:33" s="333" customFormat="1" ht="18" customHeight="1">
      <c r="A684" s="382"/>
      <c r="B684" s="418" t="s">
        <v>1574</v>
      </c>
      <c r="C684" s="416"/>
      <c r="D684" s="416"/>
      <c r="E684" s="417"/>
      <c r="F684" s="417"/>
      <c r="G684" s="416"/>
      <c r="H684" s="416"/>
      <c r="I684" s="416"/>
      <c r="J684" s="416"/>
      <c r="K684" s="416"/>
      <c r="L684" s="416"/>
      <c r="M684" s="416"/>
      <c r="N684" s="416"/>
      <c r="O684" s="416"/>
      <c r="P684" s="416"/>
      <c r="Q684" s="233"/>
      <c r="R684" s="400"/>
      <c r="S684" s="400"/>
      <c r="T684" s="401"/>
      <c r="U684" s="401"/>
      <c r="V684" s="401"/>
      <c r="W684" s="400"/>
      <c r="X684" s="400"/>
      <c r="Y684" s="401"/>
      <c r="Z684" s="401"/>
      <c r="AA684" s="401"/>
      <c r="AB684" s="402"/>
      <c r="AC684" s="402"/>
      <c r="AD684" s="402"/>
      <c r="AE684" s="402"/>
      <c r="AF684" s="402"/>
      <c r="AG684" s="332"/>
    </row>
    <row r="685" spans="1:33" s="333" customFormat="1" ht="18" customHeight="1">
      <c r="A685" s="382"/>
      <c r="B685" s="415" t="s">
        <v>1575</v>
      </c>
      <c r="C685" s="416">
        <v>4</v>
      </c>
      <c r="D685" s="416">
        <v>6</v>
      </c>
      <c r="E685" s="417">
        <v>8</v>
      </c>
      <c r="F685" s="417">
        <v>14</v>
      </c>
      <c r="G685" s="416">
        <v>1.2</v>
      </c>
      <c r="H685" s="416">
        <v>1.2</v>
      </c>
      <c r="I685" s="416">
        <v>2</v>
      </c>
      <c r="J685" s="416" t="s">
        <v>1582</v>
      </c>
      <c r="K685" s="416">
        <v>2</v>
      </c>
      <c r="L685" s="416" t="s">
        <v>1582</v>
      </c>
      <c r="M685" s="416">
        <v>2</v>
      </c>
      <c r="N685" s="416" t="s">
        <v>1582</v>
      </c>
      <c r="O685" s="416">
        <v>2</v>
      </c>
      <c r="P685" s="416" t="s">
        <v>1582</v>
      </c>
      <c r="Q685" s="233"/>
      <c r="R685" s="400"/>
      <c r="S685" s="400"/>
      <c r="T685" s="401"/>
      <c r="U685" s="401"/>
      <c r="V685" s="401"/>
      <c r="W685" s="400"/>
      <c r="X685" s="400"/>
      <c r="Y685" s="401"/>
      <c r="Z685" s="401"/>
      <c r="AA685" s="401"/>
      <c r="AB685" s="402"/>
      <c r="AC685" s="402"/>
      <c r="AD685" s="402"/>
      <c r="AE685" s="402"/>
      <c r="AF685" s="402"/>
      <c r="AG685" s="332"/>
    </row>
    <row r="686" spans="1:33" s="333" customFormat="1" ht="18" customHeight="1">
      <c r="A686" s="382"/>
      <c r="B686" s="415" t="s">
        <v>1576</v>
      </c>
      <c r="C686" s="416">
        <v>2</v>
      </c>
      <c r="D686" s="416">
        <v>3</v>
      </c>
      <c r="E686" s="417">
        <v>3</v>
      </c>
      <c r="F686" s="417">
        <v>5</v>
      </c>
      <c r="G686" s="416">
        <v>1.5</v>
      </c>
      <c r="H686" s="416">
        <v>1.5</v>
      </c>
      <c r="I686" s="416">
        <v>2</v>
      </c>
      <c r="J686" s="416" t="s">
        <v>1582</v>
      </c>
      <c r="K686" s="416">
        <v>2</v>
      </c>
      <c r="L686" s="416" t="s">
        <v>1582</v>
      </c>
      <c r="M686" s="416">
        <v>2</v>
      </c>
      <c r="N686" s="416" t="s">
        <v>1582</v>
      </c>
      <c r="O686" s="416">
        <v>2</v>
      </c>
      <c r="P686" s="416" t="s">
        <v>1582</v>
      </c>
      <c r="Q686" s="233"/>
      <c r="R686" s="400"/>
      <c r="S686" s="400"/>
      <c r="T686" s="401"/>
      <c r="U686" s="401"/>
      <c r="V686" s="401"/>
      <c r="W686" s="400"/>
      <c r="X686" s="400"/>
      <c r="Y686" s="401"/>
      <c r="Z686" s="401"/>
      <c r="AA686" s="401"/>
      <c r="AB686" s="402"/>
      <c r="AC686" s="402"/>
      <c r="AD686" s="402"/>
      <c r="AE686" s="402"/>
      <c r="AF686" s="402"/>
      <c r="AG686" s="332"/>
    </row>
    <row r="687" spans="1:33" s="333" customFormat="1" ht="18" customHeight="1">
      <c r="A687" s="382"/>
      <c r="B687" s="415" t="s">
        <v>1577</v>
      </c>
      <c r="C687" s="416">
        <v>4</v>
      </c>
      <c r="D687" s="416">
        <v>4</v>
      </c>
      <c r="E687" s="417">
        <v>6</v>
      </c>
      <c r="F687" s="417">
        <v>8</v>
      </c>
      <c r="G687" s="416">
        <v>0.85</v>
      </c>
      <c r="H687" s="416">
        <v>0.85</v>
      </c>
      <c r="I687" s="416">
        <v>2</v>
      </c>
      <c r="J687" s="416" t="s">
        <v>1582</v>
      </c>
      <c r="K687" s="416">
        <v>2</v>
      </c>
      <c r="L687" s="416" t="s">
        <v>1582</v>
      </c>
      <c r="M687" s="416">
        <v>2</v>
      </c>
      <c r="N687" s="416" t="s">
        <v>1582</v>
      </c>
      <c r="O687" s="416">
        <v>2</v>
      </c>
      <c r="P687" s="416" t="s">
        <v>1582</v>
      </c>
      <c r="Q687" s="233"/>
      <c r="R687" s="400"/>
      <c r="S687" s="400"/>
      <c r="T687" s="401"/>
      <c r="U687" s="401"/>
      <c r="V687" s="401"/>
      <c r="W687" s="400"/>
      <c r="X687" s="400"/>
      <c r="Y687" s="401"/>
      <c r="Z687" s="401"/>
      <c r="AA687" s="401"/>
      <c r="AB687" s="402"/>
      <c r="AC687" s="402"/>
      <c r="AD687" s="402"/>
      <c r="AE687" s="402"/>
      <c r="AF687" s="402"/>
      <c r="AG687" s="332"/>
    </row>
    <row r="688" spans="1:33" s="333" customFormat="1" ht="18" customHeight="1">
      <c r="A688" s="382"/>
      <c r="B688" s="415" t="s">
        <v>1578</v>
      </c>
      <c r="C688" s="416">
        <v>2</v>
      </c>
      <c r="D688" s="416">
        <v>3</v>
      </c>
      <c r="E688" s="417">
        <v>4</v>
      </c>
      <c r="F688" s="417">
        <v>7</v>
      </c>
      <c r="G688" s="416">
        <v>1.2</v>
      </c>
      <c r="H688" s="416">
        <v>1.2</v>
      </c>
      <c r="I688" s="416">
        <v>2</v>
      </c>
      <c r="J688" s="416" t="s">
        <v>1582</v>
      </c>
      <c r="K688" s="416">
        <v>2</v>
      </c>
      <c r="L688" s="416" t="s">
        <v>1582</v>
      </c>
      <c r="M688" s="416">
        <v>2</v>
      </c>
      <c r="N688" s="416" t="s">
        <v>1582</v>
      </c>
      <c r="O688" s="416">
        <v>2</v>
      </c>
      <c r="P688" s="416" t="s">
        <v>1582</v>
      </c>
      <c r="Q688" s="233"/>
      <c r="R688" s="400"/>
      <c r="S688" s="400"/>
      <c r="T688" s="401"/>
      <c r="U688" s="401"/>
      <c r="V688" s="401"/>
      <c r="W688" s="400"/>
      <c r="X688" s="400"/>
      <c r="Y688" s="401"/>
      <c r="Z688" s="401"/>
      <c r="AA688" s="401"/>
      <c r="AB688" s="402"/>
      <c r="AC688" s="402"/>
      <c r="AD688" s="402"/>
      <c r="AE688" s="402"/>
      <c r="AF688" s="402"/>
      <c r="AG688" s="332"/>
    </row>
    <row r="689" spans="1:33" s="333" customFormat="1" ht="18" customHeight="1">
      <c r="A689" s="382"/>
      <c r="B689" s="415"/>
      <c r="C689" s="416"/>
      <c r="D689" s="416"/>
      <c r="E689" s="417"/>
      <c r="F689" s="417"/>
      <c r="G689" s="416"/>
      <c r="H689" s="416"/>
      <c r="I689" s="416"/>
      <c r="J689" s="416"/>
      <c r="K689" s="416"/>
      <c r="L689" s="416"/>
      <c r="M689" s="416"/>
      <c r="N689" s="416"/>
      <c r="O689" s="416"/>
      <c r="P689" s="416"/>
      <c r="Q689" s="233"/>
      <c r="R689" s="400"/>
      <c r="S689" s="400"/>
      <c r="T689" s="401"/>
      <c r="U689" s="401"/>
      <c r="V689" s="401"/>
      <c r="W689" s="400"/>
      <c r="X689" s="400"/>
      <c r="Y689" s="401"/>
      <c r="Z689" s="401"/>
      <c r="AA689" s="401"/>
      <c r="AB689" s="402"/>
      <c r="AC689" s="402"/>
      <c r="AD689" s="402"/>
      <c r="AE689" s="402"/>
      <c r="AF689" s="402"/>
      <c r="AG689" s="332"/>
    </row>
    <row r="690" spans="1:33" s="333" customFormat="1" ht="18" customHeight="1">
      <c r="A690" s="382"/>
      <c r="B690" s="415"/>
      <c r="C690" s="416"/>
      <c r="D690" s="416"/>
      <c r="E690" s="417"/>
      <c r="F690" s="417"/>
      <c r="G690" s="416"/>
      <c r="H690" s="416"/>
      <c r="I690" s="416"/>
      <c r="J690" s="416"/>
      <c r="K690" s="416"/>
      <c r="L690" s="416"/>
      <c r="M690" s="416"/>
      <c r="N690" s="416"/>
      <c r="O690" s="416"/>
      <c r="P690" s="416"/>
      <c r="Q690" s="233"/>
      <c r="R690" s="400"/>
      <c r="S690" s="400"/>
      <c r="T690" s="401"/>
      <c r="U690" s="401"/>
      <c r="V690" s="401"/>
      <c r="W690" s="400"/>
      <c r="X690" s="400"/>
      <c r="Y690" s="401"/>
      <c r="Z690" s="401"/>
      <c r="AA690" s="401"/>
      <c r="AB690" s="402"/>
      <c r="AC690" s="402"/>
      <c r="AD690" s="402"/>
      <c r="AE690" s="402"/>
      <c r="AF690" s="402"/>
      <c r="AG690" s="332"/>
    </row>
    <row r="691" spans="1:33" s="333" customFormat="1" ht="18" customHeight="1">
      <c r="A691" s="382"/>
      <c r="B691" s="415"/>
      <c r="C691" s="416"/>
      <c r="D691" s="416"/>
      <c r="E691" s="417"/>
      <c r="F691" s="417"/>
      <c r="G691" s="416"/>
      <c r="H691" s="416"/>
      <c r="I691" s="416"/>
      <c r="J691" s="416"/>
      <c r="K691" s="416"/>
      <c r="L691" s="416"/>
      <c r="M691" s="416"/>
      <c r="N691" s="416"/>
      <c r="O691" s="416"/>
      <c r="P691" s="416"/>
      <c r="Q691" s="233"/>
      <c r="R691" s="400"/>
      <c r="S691" s="400"/>
      <c r="T691" s="401"/>
      <c r="U691" s="401"/>
      <c r="V691" s="401"/>
      <c r="W691" s="400"/>
      <c r="X691" s="400"/>
      <c r="Y691" s="401"/>
      <c r="Z691" s="401"/>
      <c r="AA691" s="401"/>
      <c r="AB691" s="402"/>
      <c r="AC691" s="402"/>
      <c r="AD691" s="402"/>
      <c r="AE691" s="402"/>
      <c r="AF691" s="402"/>
      <c r="AG691" s="332"/>
    </row>
    <row r="692" spans="1:33" s="333" customFormat="1" ht="18" customHeight="1">
      <c r="A692" s="382"/>
      <c r="B692" s="415"/>
      <c r="C692" s="416"/>
      <c r="D692" s="416"/>
      <c r="E692" s="417"/>
      <c r="F692" s="417"/>
      <c r="G692" s="416"/>
      <c r="H692" s="416"/>
      <c r="I692" s="416"/>
      <c r="J692" s="416"/>
      <c r="K692" s="416"/>
      <c r="L692" s="416"/>
      <c r="M692" s="416"/>
      <c r="N692" s="416"/>
      <c r="O692" s="416"/>
      <c r="P692" s="416"/>
      <c r="Q692" s="233"/>
      <c r="R692" s="400"/>
      <c r="S692" s="400"/>
      <c r="T692" s="401"/>
      <c r="U692" s="401"/>
      <c r="V692" s="401"/>
      <c r="W692" s="400"/>
      <c r="X692" s="400"/>
      <c r="Y692" s="401"/>
      <c r="Z692" s="401"/>
      <c r="AA692" s="401"/>
      <c r="AB692" s="402"/>
      <c r="AC692" s="402"/>
      <c r="AD692" s="402"/>
      <c r="AE692" s="402"/>
      <c r="AF692" s="402"/>
      <c r="AG692" s="332"/>
    </row>
    <row r="693" spans="1:33" s="333" customFormat="1" ht="18" customHeight="1">
      <c r="A693" s="382"/>
      <c r="B693" s="415"/>
      <c r="C693" s="416"/>
      <c r="D693" s="416"/>
      <c r="E693" s="417"/>
      <c r="F693" s="417"/>
      <c r="G693" s="416"/>
      <c r="H693" s="416"/>
      <c r="I693" s="416"/>
      <c r="J693" s="416"/>
      <c r="K693" s="416"/>
      <c r="L693" s="416"/>
      <c r="M693" s="416"/>
      <c r="N693" s="416"/>
      <c r="O693" s="416"/>
      <c r="P693" s="416"/>
      <c r="Q693" s="233"/>
      <c r="R693" s="400"/>
      <c r="S693" s="400"/>
      <c r="T693" s="401"/>
      <c r="U693" s="401"/>
      <c r="V693" s="401"/>
      <c r="W693" s="400"/>
      <c r="X693" s="400"/>
      <c r="Y693" s="401"/>
      <c r="Z693" s="401"/>
      <c r="AA693" s="401"/>
      <c r="AB693" s="402"/>
      <c r="AC693" s="402"/>
      <c r="AD693" s="402"/>
      <c r="AE693" s="402"/>
      <c r="AF693" s="402"/>
      <c r="AG693" s="332"/>
    </row>
    <row r="694" spans="1:33" s="333" customFormat="1" ht="18" customHeight="1">
      <c r="A694" s="382"/>
      <c r="B694" s="415"/>
      <c r="C694" s="416"/>
      <c r="D694" s="416"/>
      <c r="E694" s="417"/>
      <c r="F694" s="417"/>
      <c r="G694" s="416"/>
      <c r="H694" s="416"/>
      <c r="I694" s="416"/>
      <c r="J694" s="416"/>
      <c r="K694" s="416"/>
      <c r="L694" s="416"/>
      <c r="M694" s="416"/>
      <c r="N694" s="416"/>
      <c r="O694" s="416"/>
      <c r="P694" s="416"/>
      <c r="Q694" s="233"/>
      <c r="R694" s="400"/>
      <c r="S694" s="400"/>
      <c r="T694" s="401"/>
      <c r="U694" s="401"/>
      <c r="V694" s="401"/>
      <c r="W694" s="400"/>
      <c r="X694" s="400"/>
      <c r="Y694" s="401"/>
      <c r="Z694" s="401"/>
      <c r="AA694" s="401"/>
      <c r="AB694" s="402"/>
      <c r="AC694" s="402"/>
      <c r="AD694" s="402"/>
      <c r="AE694" s="402"/>
      <c r="AF694" s="402"/>
      <c r="AG694" s="332"/>
    </row>
    <row r="695" spans="1:33" s="333" customFormat="1" ht="18" customHeight="1">
      <c r="A695" s="382"/>
      <c r="B695" s="415"/>
      <c r="C695" s="416"/>
      <c r="D695" s="416"/>
      <c r="E695" s="417"/>
      <c r="F695" s="417"/>
      <c r="G695" s="416"/>
      <c r="H695" s="416"/>
      <c r="I695" s="416"/>
      <c r="J695" s="416"/>
      <c r="K695" s="416"/>
      <c r="L695" s="416"/>
      <c r="M695" s="416"/>
      <c r="N695" s="416"/>
      <c r="O695" s="416"/>
      <c r="P695" s="416"/>
      <c r="Q695" s="233"/>
      <c r="R695" s="400"/>
      <c r="S695" s="400"/>
      <c r="T695" s="401"/>
      <c r="U695" s="401"/>
      <c r="V695" s="401"/>
      <c r="W695" s="400"/>
      <c r="X695" s="400"/>
      <c r="Y695" s="401"/>
      <c r="Z695" s="401"/>
      <c r="AA695" s="401"/>
      <c r="AB695" s="402"/>
      <c r="AC695" s="402"/>
      <c r="AD695" s="402"/>
      <c r="AE695" s="402"/>
      <c r="AF695" s="402"/>
      <c r="AG695" s="332"/>
    </row>
    <row r="696" spans="1:33" s="333" customFormat="1" ht="18" customHeight="1">
      <c r="A696" s="382"/>
      <c r="B696" s="415"/>
      <c r="C696" s="416"/>
      <c r="D696" s="416"/>
      <c r="E696" s="417"/>
      <c r="F696" s="417"/>
      <c r="G696" s="416"/>
      <c r="H696" s="416"/>
      <c r="I696" s="416"/>
      <c r="J696" s="416"/>
      <c r="K696" s="416"/>
      <c r="L696" s="416"/>
      <c r="M696" s="416"/>
      <c r="N696" s="416"/>
      <c r="O696" s="416"/>
      <c r="P696" s="416"/>
      <c r="Q696" s="233"/>
      <c r="R696" s="400"/>
      <c r="S696" s="400"/>
      <c r="T696" s="401"/>
      <c r="U696" s="401"/>
      <c r="V696" s="401"/>
      <c r="W696" s="400"/>
      <c r="X696" s="400"/>
      <c r="Y696" s="401"/>
      <c r="Z696" s="401"/>
      <c r="AA696" s="401"/>
      <c r="AB696" s="402"/>
      <c r="AC696" s="402"/>
      <c r="AD696" s="402"/>
      <c r="AE696" s="402"/>
      <c r="AF696" s="402"/>
      <c r="AG696" s="332"/>
    </row>
    <row r="697" spans="1:33" s="333" customFormat="1" ht="18" customHeight="1">
      <c r="A697" s="382"/>
      <c r="B697" s="419"/>
      <c r="C697" s="234"/>
      <c r="D697" s="420"/>
      <c r="E697" s="420"/>
      <c r="F697" s="420"/>
      <c r="G697" s="234"/>
      <c r="H697" s="360"/>
      <c r="I697" s="420"/>
      <c r="J697" s="420"/>
      <c r="K697" s="420"/>
      <c r="L697" s="420"/>
      <c r="M697" s="420"/>
      <c r="N697" s="420"/>
      <c r="O697" s="420"/>
      <c r="P697" s="420"/>
      <c r="Q697" s="420"/>
      <c r="R697" s="420"/>
      <c r="S697" s="421"/>
      <c r="T697" s="421"/>
      <c r="U697" s="421"/>
      <c r="V697" s="421"/>
      <c r="W697" s="421"/>
      <c r="X697" s="421"/>
      <c r="Y697" s="421"/>
      <c r="Z697" s="421"/>
      <c r="AA697" s="421"/>
      <c r="AB697" s="421"/>
      <c r="AC697" s="422"/>
      <c r="AD697" s="422"/>
      <c r="AE697" s="422"/>
      <c r="AF697" s="422"/>
      <c r="AG697" s="332"/>
    </row>
    <row r="698" spans="1:33" s="333" customFormat="1" ht="18" customHeight="1">
      <c r="A698" s="382"/>
      <c r="B698" s="419"/>
      <c r="C698" s="234"/>
      <c r="D698" s="420"/>
      <c r="E698" s="420"/>
      <c r="F698" s="420"/>
      <c r="G698" s="234"/>
      <c r="H698" s="360"/>
      <c r="I698" s="420"/>
      <c r="J698" s="420"/>
      <c r="K698" s="420"/>
      <c r="L698" s="420"/>
      <c r="M698" s="420"/>
      <c r="N698" s="420"/>
      <c r="O698" s="420"/>
      <c r="P698" s="420"/>
      <c r="Q698" s="420"/>
      <c r="R698" s="420"/>
      <c r="S698" s="421"/>
      <c r="T698" s="421"/>
      <c r="U698" s="421"/>
      <c r="V698" s="421"/>
      <c r="W698" s="421"/>
      <c r="X698" s="421"/>
      <c r="Y698" s="421"/>
      <c r="Z698" s="421"/>
      <c r="AA698" s="421"/>
      <c r="AB698" s="421"/>
      <c r="AC698" s="422"/>
      <c r="AD698" s="422"/>
      <c r="AE698" s="422"/>
      <c r="AF698" s="422"/>
      <c r="AG698" s="332"/>
    </row>
    <row r="699" spans="1:33" s="333" customFormat="1" ht="18" customHeight="1">
      <c r="A699" s="382"/>
      <c r="B699" s="419"/>
      <c r="C699" s="234"/>
      <c r="D699" s="420"/>
      <c r="E699" s="420"/>
      <c r="F699" s="420"/>
      <c r="G699" s="234"/>
      <c r="H699" s="360"/>
      <c r="I699" s="420"/>
      <c r="J699" s="420"/>
      <c r="K699" s="420"/>
      <c r="L699" s="420"/>
      <c r="M699" s="420"/>
      <c r="N699" s="420"/>
      <c r="O699" s="420"/>
      <c r="P699" s="420"/>
      <c r="Q699" s="420"/>
      <c r="R699" s="420"/>
      <c r="S699" s="421"/>
      <c r="T699" s="421"/>
      <c r="U699" s="421"/>
      <c r="V699" s="421"/>
      <c r="W699" s="421"/>
      <c r="X699" s="421"/>
      <c r="Y699" s="421"/>
      <c r="Z699" s="421"/>
      <c r="AA699" s="421"/>
      <c r="AB699" s="421"/>
      <c r="AC699" s="422"/>
      <c r="AD699" s="422"/>
      <c r="AE699" s="422"/>
      <c r="AF699" s="422"/>
      <c r="AG699" s="332"/>
    </row>
    <row r="700" spans="1:33" s="333" customFormat="1" ht="18" customHeight="1">
      <c r="A700" s="382"/>
      <c r="B700" s="419"/>
      <c r="C700" s="234"/>
      <c r="D700" s="420"/>
      <c r="E700" s="420"/>
      <c r="F700" s="420"/>
      <c r="G700" s="234"/>
      <c r="H700" s="360"/>
      <c r="I700" s="420"/>
      <c r="J700" s="420"/>
      <c r="K700" s="420"/>
      <c r="L700" s="420"/>
      <c r="M700" s="420"/>
      <c r="N700" s="420"/>
      <c r="O700" s="420"/>
      <c r="P700" s="420"/>
      <c r="Q700" s="420"/>
      <c r="R700" s="420"/>
      <c r="S700" s="421"/>
      <c r="T700" s="421"/>
      <c r="U700" s="421"/>
      <c r="V700" s="421"/>
      <c r="W700" s="421"/>
      <c r="X700" s="421"/>
      <c r="Y700" s="421"/>
      <c r="Z700" s="421"/>
      <c r="AA700" s="421"/>
      <c r="AB700" s="421"/>
      <c r="AC700" s="422"/>
      <c r="AD700" s="422"/>
      <c r="AE700" s="422"/>
      <c r="AF700" s="422"/>
      <c r="AG700" s="332"/>
    </row>
    <row r="701" spans="1:33" s="333" customFormat="1" ht="18" customHeight="1">
      <c r="A701" s="382"/>
      <c r="B701" s="419"/>
      <c r="C701" s="234"/>
      <c r="D701" s="420"/>
      <c r="E701" s="420"/>
      <c r="F701" s="420"/>
      <c r="G701" s="234"/>
      <c r="H701" s="360"/>
      <c r="I701" s="420"/>
      <c r="J701" s="420"/>
      <c r="K701" s="420"/>
      <c r="L701" s="420"/>
      <c r="M701" s="420"/>
      <c r="N701" s="420"/>
      <c r="O701" s="420"/>
      <c r="P701" s="420"/>
      <c r="Q701" s="420"/>
      <c r="R701" s="420"/>
      <c r="S701" s="421"/>
      <c r="T701" s="421"/>
      <c r="U701" s="421"/>
      <c r="V701" s="421"/>
      <c r="W701" s="421"/>
      <c r="X701" s="421"/>
      <c r="Y701" s="421"/>
      <c r="Z701" s="421"/>
      <c r="AA701" s="421"/>
      <c r="AB701" s="421"/>
      <c r="AC701" s="422"/>
      <c r="AD701" s="422"/>
      <c r="AE701" s="422"/>
      <c r="AF701" s="422"/>
      <c r="AG701" s="332"/>
    </row>
    <row r="702" spans="1:33" s="323" customFormat="1" ht="24.75" customHeight="1">
      <c r="A702" s="423"/>
      <c r="B702" s="800" t="s">
        <v>7</v>
      </c>
      <c r="C702" s="800"/>
      <c r="D702" s="800"/>
      <c r="E702" s="800"/>
      <c r="F702" s="800"/>
      <c r="G702" s="800"/>
      <c r="H702" s="800"/>
      <c r="I702" s="800"/>
      <c r="J702" s="800"/>
      <c r="K702" s="800"/>
      <c r="L702" s="800"/>
      <c r="M702" s="800"/>
      <c r="N702" s="800"/>
      <c r="O702" s="424"/>
      <c r="P702" s="424"/>
      <c r="Q702" s="423"/>
      <c r="R702" s="423"/>
      <c r="S702" s="425">
        <f>SUM(S6:S382)</f>
        <v>59340.299999999996</v>
      </c>
      <c r="T702" s="425">
        <f>SUM(T6:T382)</f>
        <v>115096.79999999997</v>
      </c>
      <c r="U702" s="425">
        <f>SUM(U6:U382)</f>
        <v>99241.2</v>
      </c>
      <c r="V702" s="425">
        <f>SUM(V6:V382)</f>
        <v>166126.19999999998</v>
      </c>
      <c r="W702" s="425"/>
      <c r="X702" s="425">
        <f>SUM(X6:X382)</f>
        <v>60631.499999999993</v>
      </c>
      <c r="Y702" s="425">
        <f>SUM(Y6:Y382)</f>
        <v>116861.99999999997</v>
      </c>
      <c r="Z702" s="425">
        <f>SUM(Z6:Z382)</f>
        <v>99241.2</v>
      </c>
      <c r="AA702" s="425">
        <f>SUM(AA6:AA382)</f>
        <v>166126.19999999998</v>
      </c>
      <c r="AB702" s="425"/>
      <c r="AC702" s="426"/>
      <c r="AD702" s="426"/>
      <c r="AE702" s="426"/>
      <c r="AF702" s="426"/>
      <c r="AG702" s="427"/>
    </row>
    <row r="703" spans="1:33" ht="32.450000000000003" customHeight="1">
      <c r="A703" s="801" t="s">
        <v>1570</v>
      </c>
      <c r="B703" s="802"/>
      <c r="C703" s="802"/>
      <c r="D703" s="802"/>
      <c r="E703" s="802"/>
      <c r="F703" s="802"/>
      <c r="G703" s="802"/>
      <c r="H703" s="802"/>
      <c r="I703" s="802"/>
      <c r="J703" s="802"/>
      <c r="K703" s="802"/>
      <c r="L703" s="802"/>
      <c r="M703" s="802"/>
      <c r="N703" s="802"/>
      <c r="O703" s="802"/>
      <c r="P703" s="802"/>
      <c r="Q703" s="802"/>
      <c r="R703" s="428"/>
    </row>
    <row r="704" spans="1:33" ht="35.25">
      <c r="A704" s="802"/>
      <c r="B704" s="802"/>
      <c r="C704" s="802"/>
      <c r="D704" s="802"/>
      <c r="E704" s="802"/>
      <c r="F704" s="802"/>
      <c r="G704" s="802"/>
      <c r="H704" s="802"/>
      <c r="I704" s="802"/>
      <c r="J704" s="802"/>
      <c r="K704" s="802"/>
      <c r="L704" s="802"/>
      <c r="M704" s="802"/>
      <c r="N704" s="802"/>
      <c r="O704" s="802"/>
      <c r="P704" s="802"/>
      <c r="Q704" s="802"/>
      <c r="R704" s="428"/>
    </row>
  </sheetData>
  <autoFilter ref="A4:Q197" xr:uid="{00000000-0001-0000-0800-000000000000}"/>
  <mergeCells count="18">
    <mergeCell ref="B702:N702"/>
    <mergeCell ref="A703:Q704"/>
    <mergeCell ref="Q2:Q3"/>
    <mergeCell ref="A2:A3"/>
    <mergeCell ref="B2:B3"/>
    <mergeCell ref="G2:G3"/>
    <mergeCell ref="H2:H3"/>
    <mergeCell ref="I3:J3"/>
    <mergeCell ref="K3:L3"/>
    <mergeCell ref="M3:N3"/>
    <mergeCell ref="O3:P3"/>
    <mergeCell ref="C164:H164"/>
    <mergeCell ref="A1:AF1"/>
    <mergeCell ref="R2:V2"/>
    <mergeCell ref="W2:AA2"/>
    <mergeCell ref="AB2:AF2"/>
    <mergeCell ref="C2:F2"/>
    <mergeCell ref="I2:P2"/>
  </mergeCells>
  <phoneticPr fontId="19" type="noConversion"/>
  <pageMargins left="0.7" right="0.7" top="0.75" bottom="0.75" header="0.3" footer="0.3"/>
  <pageSetup scale="34" orientation="portrait" r:id="rId1"/>
  <colBreaks count="1" manualBreakCount="1">
    <brk id="17" max="69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EX699"/>
  <sheetViews>
    <sheetView view="pageBreakPreview" zoomScale="70" zoomScaleNormal="70" zoomScaleSheetLayoutView="70" workbookViewId="0">
      <pane ySplit="1" topLeftCell="A2" activePane="bottomLeft" state="frozen"/>
      <selection pane="bottomLeft" activeCell="F51" sqref="F51"/>
    </sheetView>
  </sheetViews>
  <sheetFormatPr defaultColWidth="8.85546875" defaultRowHeight="15"/>
  <cols>
    <col min="1" max="1" width="9" style="137" customWidth="1"/>
    <col min="2" max="2" width="45" style="136" customWidth="1"/>
    <col min="3" max="3" width="10.42578125" style="160" customWidth="1"/>
    <col min="4" max="4" width="11.42578125" style="160" bestFit="1" customWidth="1"/>
    <col min="5" max="6" width="10.42578125" style="160" customWidth="1"/>
    <col min="7" max="8" width="15.42578125" style="136" customWidth="1"/>
    <col min="9" max="16" width="16.28515625" style="161" customWidth="1"/>
    <col min="17" max="17" width="11.85546875" style="136" customWidth="1"/>
    <col min="18" max="29" width="13.7109375" style="136" hidden="1" customWidth="1"/>
    <col min="30" max="16384" width="8.85546875" style="136"/>
  </cols>
  <sheetData>
    <row r="1" spans="1:29" ht="37.9" customHeight="1">
      <c r="A1" s="741" t="s">
        <v>845</v>
      </c>
      <c r="B1" s="741"/>
      <c r="C1" s="741"/>
      <c r="D1" s="741"/>
      <c r="E1" s="741"/>
      <c r="F1" s="741"/>
      <c r="G1" s="741"/>
      <c r="H1" s="741"/>
      <c r="I1" s="742"/>
      <c r="J1" s="742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</row>
    <row r="2" spans="1:29" ht="39.75" customHeight="1">
      <c r="A2" s="743" t="s">
        <v>1</v>
      </c>
      <c r="B2" s="743" t="s">
        <v>2</v>
      </c>
      <c r="C2" s="736" t="s">
        <v>536</v>
      </c>
      <c r="D2" s="736"/>
      <c r="E2" s="736"/>
      <c r="F2" s="737"/>
      <c r="G2" s="743" t="s">
        <v>8</v>
      </c>
      <c r="H2" s="739" t="s">
        <v>497</v>
      </c>
      <c r="I2" s="736" t="s">
        <v>616</v>
      </c>
      <c r="J2" s="736"/>
      <c r="K2" s="736"/>
      <c r="L2" s="736"/>
      <c r="M2" s="736"/>
      <c r="N2" s="736"/>
      <c r="O2" s="736"/>
      <c r="P2" s="737"/>
      <c r="Q2" s="743" t="s">
        <v>5</v>
      </c>
      <c r="R2" s="736" t="s">
        <v>501</v>
      </c>
      <c r="S2" s="736"/>
      <c r="T2" s="736"/>
      <c r="U2" s="737"/>
      <c r="V2" s="736" t="s">
        <v>502</v>
      </c>
      <c r="W2" s="736"/>
      <c r="X2" s="736"/>
      <c r="Y2" s="737"/>
      <c r="Z2" s="736" t="s">
        <v>503</v>
      </c>
      <c r="AA2" s="736"/>
      <c r="AB2" s="736"/>
      <c r="AC2" s="737"/>
    </row>
    <row r="3" spans="1:29" s="137" customFormat="1" ht="49.5" customHeight="1">
      <c r="A3" s="744"/>
      <c r="B3" s="744"/>
      <c r="C3" s="279" t="s">
        <v>612</v>
      </c>
      <c r="D3" s="279" t="s">
        <v>613</v>
      </c>
      <c r="E3" s="279" t="s">
        <v>534</v>
      </c>
      <c r="F3" s="279" t="s">
        <v>535</v>
      </c>
      <c r="G3" s="744"/>
      <c r="H3" s="739"/>
      <c r="I3" s="736" t="s">
        <v>612</v>
      </c>
      <c r="J3" s="737"/>
      <c r="K3" s="738" t="s">
        <v>613</v>
      </c>
      <c r="L3" s="737"/>
      <c r="M3" s="739" t="s">
        <v>534</v>
      </c>
      <c r="N3" s="739"/>
      <c r="O3" s="739" t="s">
        <v>535</v>
      </c>
      <c r="P3" s="739"/>
      <c r="Q3" s="744"/>
      <c r="R3" s="279" t="s">
        <v>612</v>
      </c>
      <c r="S3" s="279" t="s">
        <v>613</v>
      </c>
      <c r="T3" s="279" t="s">
        <v>534</v>
      </c>
      <c r="U3" s="279" t="s">
        <v>535</v>
      </c>
      <c r="V3" s="279" t="s">
        <v>612</v>
      </c>
      <c r="W3" s="279" t="s">
        <v>613</v>
      </c>
      <c r="X3" s="279" t="s">
        <v>534</v>
      </c>
      <c r="Y3" s="279" t="s">
        <v>535</v>
      </c>
      <c r="Z3" s="279" t="s">
        <v>612</v>
      </c>
      <c r="AA3" s="279" t="s">
        <v>613</v>
      </c>
      <c r="AB3" s="279" t="s">
        <v>534</v>
      </c>
      <c r="AC3" s="279" t="s">
        <v>535</v>
      </c>
    </row>
    <row r="4" spans="1:29" s="137" customFormat="1" ht="15.75">
      <c r="A4" s="279"/>
      <c r="B4" s="279"/>
      <c r="C4" s="284"/>
      <c r="D4" s="284"/>
      <c r="E4" s="284"/>
      <c r="F4" s="284"/>
      <c r="G4" s="279"/>
      <c r="H4" s="284"/>
      <c r="I4" s="284" t="s">
        <v>498</v>
      </c>
      <c r="J4" s="284" t="s">
        <v>496</v>
      </c>
      <c r="K4" s="284" t="s">
        <v>498</v>
      </c>
      <c r="L4" s="284" t="s">
        <v>496</v>
      </c>
      <c r="M4" s="284" t="s">
        <v>498</v>
      </c>
      <c r="N4" s="284" t="s">
        <v>496</v>
      </c>
      <c r="O4" s="284" t="s">
        <v>498</v>
      </c>
      <c r="P4" s="284" t="s">
        <v>496</v>
      </c>
      <c r="Q4" s="431"/>
      <c r="R4" s="282"/>
      <c r="S4" s="281"/>
      <c r="T4" s="281"/>
      <c r="U4" s="281"/>
      <c r="V4" s="282"/>
      <c r="W4" s="281"/>
      <c r="X4" s="281"/>
      <c r="Y4" s="281"/>
      <c r="Z4" s="282"/>
      <c r="AA4" s="281"/>
      <c r="AB4" s="281"/>
      <c r="AC4" s="281"/>
    </row>
    <row r="5" spans="1:29" s="96" customFormat="1" ht="15.75">
      <c r="A5" s="138">
        <v>1</v>
      </c>
      <c r="B5" s="138">
        <v>2</v>
      </c>
      <c r="C5" s="139"/>
      <c r="D5" s="139"/>
      <c r="E5" s="139"/>
      <c r="F5" s="139"/>
      <c r="G5" s="138">
        <v>5</v>
      </c>
      <c r="H5" s="138"/>
      <c r="I5" s="140"/>
      <c r="J5" s="141"/>
      <c r="K5" s="141"/>
      <c r="L5" s="141"/>
      <c r="M5" s="141"/>
      <c r="N5" s="141"/>
      <c r="O5" s="141"/>
      <c r="P5" s="141"/>
      <c r="Q5" s="142">
        <v>8</v>
      </c>
      <c r="R5" s="138"/>
      <c r="S5" s="139"/>
      <c r="T5" s="139"/>
      <c r="U5" s="139"/>
      <c r="V5" s="138"/>
      <c r="W5" s="139"/>
      <c r="X5" s="139"/>
      <c r="Y5" s="139"/>
      <c r="Z5" s="138"/>
      <c r="AA5" s="139"/>
      <c r="AB5" s="139"/>
      <c r="AC5" s="139"/>
    </row>
    <row r="6" spans="1:29" s="96" customFormat="1">
      <c r="A6" s="432" t="s">
        <v>6</v>
      </c>
      <c r="B6" s="433" t="s">
        <v>206</v>
      </c>
      <c r="C6" s="434"/>
      <c r="D6" s="435"/>
      <c r="E6" s="435"/>
      <c r="F6" s="435"/>
      <c r="G6" s="436"/>
      <c r="H6" s="436"/>
      <c r="I6" s="437"/>
      <c r="J6" s="438"/>
      <c r="K6" s="439"/>
      <c r="L6" s="439"/>
      <c r="M6" s="439"/>
      <c r="N6" s="438"/>
      <c r="O6" s="439"/>
      <c r="P6" s="438"/>
      <c r="Q6" s="20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</row>
    <row r="7" spans="1:29" s="96" customFormat="1" ht="45">
      <c r="A7" s="92">
        <v>1</v>
      </c>
      <c r="B7" s="476" t="s">
        <v>557</v>
      </c>
      <c r="C7" s="628">
        <v>3</v>
      </c>
      <c r="D7" s="628">
        <v>3</v>
      </c>
      <c r="E7" s="628">
        <v>3</v>
      </c>
      <c r="F7" s="628">
        <v>3</v>
      </c>
      <c r="G7" s="471">
        <v>26</v>
      </c>
      <c r="H7" s="471">
        <v>26</v>
      </c>
      <c r="I7" s="473">
        <v>5</v>
      </c>
      <c r="J7" s="626" t="s">
        <v>1124</v>
      </c>
      <c r="K7" s="473">
        <v>5</v>
      </c>
      <c r="L7" s="626" t="s">
        <v>1124</v>
      </c>
      <c r="M7" s="473">
        <v>5</v>
      </c>
      <c r="N7" s="626" t="s">
        <v>1124</v>
      </c>
      <c r="O7" s="473">
        <v>5</v>
      </c>
      <c r="P7" s="626" t="s">
        <v>1124</v>
      </c>
      <c r="Q7" s="206">
        <v>30</v>
      </c>
      <c r="R7" s="145">
        <f t="shared" ref="R7:R45" si="0">C7*G7*I7*Q7</f>
        <v>11700</v>
      </c>
      <c r="S7" s="146">
        <f t="shared" ref="S7:S45" si="1">D7*G7*K7*Q7</f>
        <v>11700</v>
      </c>
      <c r="T7" s="146">
        <f t="shared" ref="T7:T45" si="2">E7*G7*M7*Q7</f>
        <v>11700</v>
      </c>
      <c r="U7" s="146">
        <f t="shared" ref="U7:U45" si="3">F7*G7*O7*Q7</f>
        <v>11700</v>
      </c>
      <c r="V7" s="145">
        <f t="shared" ref="V7:V45" si="4">C7*H7*I7*Q7</f>
        <v>11700</v>
      </c>
      <c r="W7" s="146">
        <f t="shared" ref="W7:W45" si="5">D7*H7*K7*Q7</f>
        <v>11700</v>
      </c>
      <c r="X7" s="146">
        <f t="shared" ref="X7:X45" si="6">E7*H7*M7*Q7</f>
        <v>11700</v>
      </c>
      <c r="Y7" s="146">
        <f t="shared" ref="Y7:Y45" si="7">F7*H7*O7*Q7</f>
        <v>11700</v>
      </c>
      <c r="Z7" s="95">
        <f t="shared" ref="Z7:AC22" si="8">V7/R7</f>
        <v>1</v>
      </c>
      <c r="AA7" s="95">
        <f t="shared" si="8"/>
        <v>1</v>
      </c>
      <c r="AB7" s="95">
        <f t="shared" si="8"/>
        <v>1</v>
      </c>
      <c r="AC7" s="95">
        <f t="shared" si="8"/>
        <v>1</v>
      </c>
    </row>
    <row r="8" spans="1:29" s="96" customFormat="1">
      <c r="A8" s="92">
        <v>2</v>
      </c>
      <c r="B8" s="476" t="s">
        <v>558</v>
      </c>
      <c r="C8" s="475">
        <v>1</v>
      </c>
      <c r="D8" s="475">
        <v>1</v>
      </c>
      <c r="E8" s="475">
        <v>1</v>
      </c>
      <c r="F8" s="475">
        <v>1</v>
      </c>
      <c r="G8" s="471">
        <v>7.5</v>
      </c>
      <c r="H8" s="471">
        <v>7.5</v>
      </c>
      <c r="I8" s="473">
        <v>5</v>
      </c>
      <c r="J8" s="473" t="s">
        <v>1125</v>
      </c>
      <c r="K8" s="473">
        <v>5</v>
      </c>
      <c r="L8" s="473" t="s">
        <v>1123</v>
      </c>
      <c r="M8" s="473">
        <v>5</v>
      </c>
      <c r="N8" s="473" t="s">
        <v>1123</v>
      </c>
      <c r="O8" s="473">
        <v>5</v>
      </c>
      <c r="P8" s="473" t="s">
        <v>1123</v>
      </c>
      <c r="Q8" s="206">
        <v>30</v>
      </c>
      <c r="R8" s="145">
        <f t="shared" si="0"/>
        <v>1125</v>
      </c>
      <c r="S8" s="146">
        <f t="shared" si="1"/>
        <v>1125</v>
      </c>
      <c r="T8" s="146">
        <f t="shared" si="2"/>
        <v>1125</v>
      </c>
      <c r="U8" s="146">
        <f t="shared" si="3"/>
        <v>1125</v>
      </c>
      <c r="V8" s="145">
        <f t="shared" si="4"/>
        <v>1125</v>
      </c>
      <c r="W8" s="146">
        <f t="shared" si="5"/>
        <v>1125</v>
      </c>
      <c r="X8" s="146">
        <f t="shared" si="6"/>
        <v>1125</v>
      </c>
      <c r="Y8" s="146">
        <f t="shared" si="7"/>
        <v>1125</v>
      </c>
      <c r="Z8" s="95">
        <f t="shared" si="8"/>
        <v>1</v>
      </c>
      <c r="AA8" s="95">
        <f t="shared" si="8"/>
        <v>1</v>
      </c>
      <c r="AB8" s="95">
        <f t="shared" si="8"/>
        <v>1</v>
      </c>
      <c r="AC8" s="95">
        <f t="shared" si="8"/>
        <v>1</v>
      </c>
    </row>
    <row r="9" spans="1:29" s="96" customFormat="1">
      <c r="A9" s="92">
        <v>3</v>
      </c>
      <c r="B9" s="542" t="s">
        <v>1804</v>
      </c>
      <c r="C9" s="475">
        <v>3</v>
      </c>
      <c r="D9" s="475">
        <v>3</v>
      </c>
      <c r="E9" s="475">
        <v>3</v>
      </c>
      <c r="F9" s="475">
        <v>3</v>
      </c>
      <c r="G9" s="471">
        <v>11</v>
      </c>
      <c r="H9" s="471">
        <v>11</v>
      </c>
      <c r="I9" s="473">
        <v>14</v>
      </c>
      <c r="J9" s="473" t="s">
        <v>1805</v>
      </c>
      <c r="K9" s="473">
        <v>14</v>
      </c>
      <c r="L9" s="473" t="s">
        <v>1805</v>
      </c>
      <c r="M9" s="473">
        <v>14</v>
      </c>
      <c r="N9" s="473" t="s">
        <v>1805</v>
      </c>
      <c r="O9" s="473">
        <v>14</v>
      </c>
      <c r="P9" s="473" t="s">
        <v>1805</v>
      </c>
      <c r="Q9" s="206">
        <v>30</v>
      </c>
      <c r="R9" s="145">
        <f t="shared" si="0"/>
        <v>13860</v>
      </c>
      <c r="S9" s="146">
        <f t="shared" si="1"/>
        <v>13860</v>
      </c>
      <c r="T9" s="146">
        <f t="shared" si="2"/>
        <v>13860</v>
      </c>
      <c r="U9" s="146">
        <f t="shared" si="3"/>
        <v>13860</v>
      </c>
      <c r="V9" s="145">
        <f t="shared" si="4"/>
        <v>13860</v>
      </c>
      <c r="W9" s="146">
        <f t="shared" si="5"/>
        <v>13860</v>
      </c>
      <c r="X9" s="146">
        <f t="shared" si="6"/>
        <v>13860</v>
      </c>
      <c r="Y9" s="146">
        <f t="shared" si="7"/>
        <v>13860</v>
      </c>
      <c r="Z9" s="95">
        <f t="shared" si="8"/>
        <v>1</v>
      </c>
      <c r="AA9" s="95">
        <f t="shared" si="8"/>
        <v>1</v>
      </c>
      <c r="AB9" s="95">
        <f t="shared" si="8"/>
        <v>1</v>
      </c>
      <c r="AC9" s="95">
        <f t="shared" si="8"/>
        <v>1</v>
      </c>
    </row>
    <row r="10" spans="1:29" s="96" customFormat="1">
      <c r="A10" s="92">
        <v>4</v>
      </c>
      <c r="B10" s="476" t="s">
        <v>559</v>
      </c>
      <c r="C10" s="475">
        <v>1</v>
      </c>
      <c r="D10" s="475">
        <v>1</v>
      </c>
      <c r="E10" s="475">
        <v>1</v>
      </c>
      <c r="F10" s="475">
        <v>1</v>
      </c>
      <c r="G10" s="471">
        <v>15</v>
      </c>
      <c r="H10" s="471">
        <v>15</v>
      </c>
      <c r="I10" s="473">
        <v>5</v>
      </c>
      <c r="J10" s="473" t="s">
        <v>1806</v>
      </c>
      <c r="K10" s="473">
        <v>5</v>
      </c>
      <c r="L10" s="473" t="s">
        <v>1806</v>
      </c>
      <c r="M10" s="473">
        <v>5</v>
      </c>
      <c r="N10" s="473" t="s">
        <v>1806</v>
      </c>
      <c r="O10" s="473">
        <v>5</v>
      </c>
      <c r="P10" s="473" t="s">
        <v>1806</v>
      </c>
      <c r="Q10" s="206">
        <v>30</v>
      </c>
      <c r="R10" s="145">
        <f t="shared" si="0"/>
        <v>2250</v>
      </c>
      <c r="S10" s="146">
        <f t="shared" si="1"/>
        <v>2250</v>
      </c>
      <c r="T10" s="146">
        <f t="shared" si="2"/>
        <v>2250</v>
      </c>
      <c r="U10" s="146">
        <f t="shared" si="3"/>
        <v>2250</v>
      </c>
      <c r="V10" s="145">
        <f t="shared" si="4"/>
        <v>2250</v>
      </c>
      <c r="W10" s="146">
        <f t="shared" si="5"/>
        <v>2250</v>
      </c>
      <c r="X10" s="146">
        <f t="shared" si="6"/>
        <v>2250</v>
      </c>
      <c r="Y10" s="146">
        <f t="shared" si="7"/>
        <v>2250</v>
      </c>
      <c r="Z10" s="95">
        <f t="shared" si="8"/>
        <v>1</v>
      </c>
      <c r="AA10" s="95">
        <f t="shared" si="8"/>
        <v>1</v>
      </c>
      <c r="AB10" s="95">
        <f t="shared" si="8"/>
        <v>1</v>
      </c>
      <c r="AC10" s="95">
        <f t="shared" si="8"/>
        <v>1</v>
      </c>
    </row>
    <row r="11" spans="1:29" s="96" customFormat="1">
      <c r="A11" s="92">
        <v>5</v>
      </c>
      <c r="B11" s="476" t="s">
        <v>698</v>
      </c>
      <c r="C11" s="475">
        <v>4</v>
      </c>
      <c r="D11" s="475">
        <v>4</v>
      </c>
      <c r="E11" s="475">
        <v>4</v>
      </c>
      <c r="F11" s="475">
        <v>4</v>
      </c>
      <c r="G11" s="471">
        <v>8</v>
      </c>
      <c r="H11" s="471">
        <v>8</v>
      </c>
      <c r="I11" s="473">
        <v>14</v>
      </c>
      <c r="J11" s="473" t="s">
        <v>1805</v>
      </c>
      <c r="K11" s="473">
        <v>14</v>
      </c>
      <c r="L11" s="473" t="s">
        <v>1805</v>
      </c>
      <c r="M11" s="473">
        <v>14</v>
      </c>
      <c r="N11" s="473" t="s">
        <v>1805</v>
      </c>
      <c r="O11" s="473">
        <v>14</v>
      </c>
      <c r="P11" s="473" t="s">
        <v>1805</v>
      </c>
      <c r="Q11" s="206">
        <v>30</v>
      </c>
      <c r="R11" s="145">
        <f t="shared" si="0"/>
        <v>13440</v>
      </c>
      <c r="S11" s="146">
        <f t="shared" si="1"/>
        <v>13440</v>
      </c>
      <c r="T11" s="146">
        <f t="shared" si="2"/>
        <v>13440</v>
      </c>
      <c r="U11" s="146">
        <f t="shared" si="3"/>
        <v>13440</v>
      </c>
      <c r="V11" s="145">
        <f t="shared" si="4"/>
        <v>13440</v>
      </c>
      <c r="W11" s="146">
        <f t="shared" si="5"/>
        <v>13440</v>
      </c>
      <c r="X11" s="146">
        <f t="shared" si="6"/>
        <v>13440</v>
      </c>
      <c r="Y11" s="146">
        <f t="shared" si="7"/>
        <v>13440</v>
      </c>
      <c r="Z11" s="95">
        <f t="shared" si="8"/>
        <v>1</v>
      </c>
      <c r="AA11" s="95">
        <f t="shared" si="8"/>
        <v>1</v>
      </c>
      <c r="AB11" s="95">
        <f t="shared" si="8"/>
        <v>1</v>
      </c>
      <c r="AC11" s="95">
        <f t="shared" si="8"/>
        <v>1</v>
      </c>
    </row>
    <row r="12" spans="1:29" s="96" customFormat="1">
      <c r="A12" s="92">
        <v>1</v>
      </c>
      <c r="B12" s="143" t="s">
        <v>393</v>
      </c>
      <c r="C12" s="92">
        <v>1</v>
      </c>
      <c r="D12" s="92">
        <v>1</v>
      </c>
      <c r="E12" s="92">
        <v>1</v>
      </c>
      <c r="F12" s="92">
        <v>1</v>
      </c>
      <c r="G12" s="126">
        <v>7.1</v>
      </c>
      <c r="H12" s="126">
        <v>7.1</v>
      </c>
      <c r="I12" s="144"/>
      <c r="J12" s="144"/>
      <c r="K12" s="144"/>
      <c r="L12" s="144"/>
      <c r="M12" s="144">
        <v>24</v>
      </c>
      <c r="N12" s="144" t="s">
        <v>996</v>
      </c>
      <c r="O12" s="144">
        <v>24</v>
      </c>
      <c r="P12" s="144" t="s">
        <v>996</v>
      </c>
      <c r="Q12" s="206">
        <v>0</v>
      </c>
      <c r="R12" s="145">
        <f t="shared" si="0"/>
        <v>0</v>
      </c>
      <c r="S12" s="146">
        <f t="shared" si="1"/>
        <v>0</v>
      </c>
      <c r="T12" s="146">
        <f t="shared" si="2"/>
        <v>0</v>
      </c>
      <c r="U12" s="146">
        <f t="shared" si="3"/>
        <v>0</v>
      </c>
      <c r="V12" s="145">
        <f t="shared" si="4"/>
        <v>0</v>
      </c>
      <c r="W12" s="146">
        <f t="shared" si="5"/>
        <v>0</v>
      </c>
      <c r="X12" s="146">
        <f t="shared" si="6"/>
        <v>0</v>
      </c>
      <c r="Y12" s="146">
        <f t="shared" si="7"/>
        <v>0</v>
      </c>
      <c r="Z12" s="147" t="e">
        <f t="shared" si="8"/>
        <v>#DIV/0!</v>
      </c>
      <c r="AA12" s="147" t="e">
        <f t="shared" si="8"/>
        <v>#DIV/0!</v>
      </c>
      <c r="AB12" s="147" t="e">
        <f t="shared" si="8"/>
        <v>#DIV/0!</v>
      </c>
      <c r="AC12" s="147" t="e">
        <f t="shared" si="8"/>
        <v>#DIV/0!</v>
      </c>
    </row>
    <row r="13" spans="1:29" s="96" customFormat="1">
      <c r="A13" s="92">
        <v>2</v>
      </c>
      <c r="B13" s="143" t="s">
        <v>422</v>
      </c>
      <c r="C13" s="92">
        <v>2</v>
      </c>
      <c r="D13" s="92">
        <v>2</v>
      </c>
      <c r="E13" s="92">
        <v>2</v>
      </c>
      <c r="F13" s="92">
        <v>2</v>
      </c>
      <c r="G13" s="126">
        <v>3.1</v>
      </c>
      <c r="H13" s="126">
        <v>3.1</v>
      </c>
      <c r="I13" s="144"/>
      <c r="J13" s="144"/>
      <c r="K13" s="144"/>
      <c r="L13" s="144"/>
      <c r="M13" s="144">
        <v>8</v>
      </c>
      <c r="N13" s="144" t="s">
        <v>1120</v>
      </c>
      <c r="O13" s="144">
        <v>8</v>
      </c>
      <c r="P13" s="144" t="s">
        <v>1120</v>
      </c>
      <c r="Q13" s="206">
        <v>30</v>
      </c>
      <c r="R13" s="145">
        <f t="shared" si="0"/>
        <v>0</v>
      </c>
      <c r="S13" s="146">
        <f t="shared" si="1"/>
        <v>0</v>
      </c>
      <c r="T13" s="146">
        <f t="shared" si="2"/>
        <v>1488</v>
      </c>
      <c r="U13" s="146">
        <f t="shared" si="3"/>
        <v>1488</v>
      </c>
      <c r="V13" s="145">
        <f t="shared" si="4"/>
        <v>0</v>
      </c>
      <c r="W13" s="146">
        <f t="shared" si="5"/>
        <v>0</v>
      </c>
      <c r="X13" s="146">
        <f t="shared" si="6"/>
        <v>1488</v>
      </c>
      <c r="Y13" s="146">
        <f t="shared" si="7"/>
        <v>1488</v>
      </c>
      <c r="Z13" s="147" t="e">
        <f t="shared" si="8"/>
        <v>#DIV/0!</v>
      </c>
      <c r="AA13" s="147" t="e">
        <f t="shared" si="8"/>
        <v>#DIV/0!</v>
      </c>
      <c r="AB13" s="147">
        <f t="shared" si="8"/>
        <v>1</v>
      </c>
      <c r="AC13" s="147">
        <f t="shared" si="8"/>
        <v>1</v>
      </c>
    </row>
    <row r="14" spans="1:29" s="96" customFormat="1">
      <c r="A14" s="92">
        <v>3</v>
      </c>
      <c r="B14" s="143" t="s">
        <v>426</v>
      </c>
      <c r="C14" s="92">
        <v>8</v>
      </c>
      <c r="D14" s="92">
        <v>8</v>
      </c>
      <c r="E14" s="92">
        <v>8</v>
      </c>
      <c r="F14" s="92">
        <v>8</v>
      </c>
      <c r="G14" s="126">
        <v>0.45</v>
      </c>
      <c r="H14" s="126">
        <v>0.45</v>
      </c>
      <c r="I14" s="144"/>
      <c r="J14" s="144"/>
      <c r="K14" s="144"/>
      <c r="L14" s="144"/>
      <c r="M14" s="144">
        <v>24</v>
      </c>
      <c r="N14" s="144" t="s">
        <v>996</v>
      </c>
      <c r="O14" s="144">
        <v>24</v>
      </c>
      <c r="P14" s="144" t="s">
        <v>996</v>
      </c>
      <c r="Q14" s="206">
        <v>30</v>
      </c>
      <c r="R14" s="145">
        <f t="shared" si="0"/>
        <v>0</v>
      </c>
      <c r="S14" s="146">
        <f t="shared" si="1"/>
        <v>0</v>
      </c>
      <c r="T14" s="146">
        <f t="shared" si="2"/>
        <v>2592</v>
      </c>
      <c r="U14" s="146">
        <f t="shared" si="3"/>
        <v>2592</v>
      </c>
      <c r="V14" s="145">
        <f t="shared" si="4"/>
        <v>0</v>
      </c>
      <c r="W14" s="146">
        <f t="shared" si="5"/>
        <v>0</v>
      </c>
      <c r="X14" s="146">
        <f t="shared" si="6"/>
        <v>2592</v>
      </c>
      <c r="Y14" s="146">
        <f t="shared" si="7"/>
        <v>2592</v>
      </c>
      <c r="Z14" s="147" t="e">
        <f t="shared" si="8"/>
        <v>#DIV/0!</v>
      </c>
      <c r="AA14" s="147" t="e">
        <f t="shared" si="8"/>
        <v>#DIV/0!</v>
      </c>
      <c r="AB14" s="147">
        <f t="shared" si="8"/>
        <v>1</v>
      </c>
      <c r="AC14" s="147">
        <f t="shared" si="8"/>
        <v>1</v>
      </c>
    </row>
    <row r="15" spans="1:29" s="96" customFormat="1">
      <c r="A15" s="92">
        <v>4</v>
      </c>
      <c r="B15" s="143" t="s">
        <v>556</v>
      </c>
      <c r="C15" s="130">
        <v>3</v>
      </c>
      <c r="D15" s="130">
        <v>3</v>
      </c>
      <c r="E15" s="130">
        <v>3</v>
      </c>
      <c r="F15" s="130">
        <v>3</v>
      </c>
      <c r="G15" s="148">
        <v>8.5</v>
      </c>
      <c r="H15" s="148">
        <v>8.5</v>
      </c>
      <c r="I15" s="148">
        <v>24</v>
      </c>
      <c r="J15" s="148"/>
      <c r="K15" s="148">
        <v>24</v>
      </c>
      <c r="L15" s="148"/>
      <c r="M15" s="148">
        <v>15</v>
      </c>
      <c r="N15" s="148" t="s">
        <v>1121</v>
      </c>
      <c r="O15" s="148">
        <v>15</v>
      </c>
      <c r="P15" s="148" t="s">
        <v>1121</v>
      </c>
      <c r="Q15" s="136">
        <v>30</v>
      </c>
      <c r="R15" s="145">
        <f t="shared" si="0"/>
        <v>18360</v>
      </c>
      <c r="S15" s="146">
        <f t="shared" si="1"/>
        <v>18360</v>
      </c>
      <c r="T15" s="146">
        <f t="shared" si="2"/>
        <v>11475</v>
      </c>
      <c r="U15" s="146">
        <f t="shared" si="3"/>
        <v>11475</v>
      </c>
      <c r="V15" s="145">
        <f t="shared" si="4"/>
        <v>18360</v>
      </c>
      <c r="W15" s="146">
        <f t="shared" si="5"/>
        <v>18360</v>
      </c>
      <c r="X15" s="146">
        <f t="shared" si="6"/>
        <v>11475</v>
      </c>
      <c r="Y15" s="146">
        <f t="shared" si="7"/>
        <v>11475</v>
      </c>
      <c r="Z15" s="95">
        <f t="shared" si="8"/>
        <v>1</v>
      </c>
      <c r="AA15" s="95">
        <f t="shared" si="8"/>
        <v>1</v>
      </c>
      <c r="AB15" s="95">
        <f t="shared" si="8"/>
        <v>1</v>
      </c>
      <c r="AC15" s="95">
        <f t="shared" si="8"/>
        <v>1</v>
      </c>
    </row>
    <row r="16" spans="1:29" s="96" customFormat="1">
      <c r="A16" s="92">
        <v>5</v>
      </c>
      <c r="B16" s="476" t="s">
        <v>423</v>
      </c>
      <c r="C16" s="475">
        <v>6</v>
      </c>
      <c r="D16" s="475">
        <v>6</v>
      </c>
      <c r="E16" s="475">
        <v>6</v>
      </c>
      <c r="F16" s="475">
        <v>6</v>
      </c>
      <c r="G16" s="542">
        <v>1.05</v>
      </c>
      <c r="H16" s="542">
        <v>1.05</v>
      </c>
      <c r="I16" s="473">
        <v>24</v>
      </c>
      <c r="J16" s="473"/>
      <c r="K16" s="473">
        <v>24</v>
      </c>
      <c r="L16" s="473"/>
      <c r="M16" s="473">
        <v>24</v>
      </c>
      <c r="N16" s="473" t="s">
        <v>996</v>
      </c>
      <c r="O16" s="473">
        <v>24</v>
      </c>
      <c r="P16" s="473" t="s">
        <v>996</v>
      </c>
      <c r="Q16" s="206">
        <v>30</v>
      </c>
      <c r="R16" s="145">
        <f t="shared" si="0"/>
        <v>4536.0000000000009</v>
      </c>
      <c r="S16" s="146">
        <f t="shared" si="1"/>
        <v>4536.0000000000009</v>
      </c>
      <c r="T16" s="146">
        <f t="shared" si="2"/>
        <v>4536.0000000000009</v>
      </c>
      <c r="U16" s="146">
        <f t="shared" si="3"/>
        <v>4536.0000000000009</v>
      </c>
      <c r="V16" s="145">
        <f t="shared" si="4"/>
        <v>4536.0000000000009</v>
      </c>
      <c r="W16" s="146">
        <f t="shared" si="5"/>
        <v>4536.0000000000009</v>
      </c>
      <c r="X16" s="146">
        <f t="shared" si="6"/>
        <v>4536.0000000000009</v>
      </c>
      <c r="Y16" s="146">
        <f t="shared" si="7"/>
        <v>4536.0000000000009</v>
      </c>
      <c r="Z16" s="147">
        <f t="shared" si="8"/>
        <v>1</v>
      </c>
      <c r="AA16" s="147">
        <f t="shared" si="8"/>
        <v>1</v>
      </c>
      <c r="AB16" s="147">
        <f t="shared" si="8"/>
        <v>1</v>
      </c>
      <c r="AC16" s="147">
        <f t="shared" si="8"/>
        <v>1</v>
      </c>
    </row>
    <row r="17" spans="1:29" s="96" customFormat="1">
      <c r="A17" s="92">
        <v>6</v>
      </c>
      <c r="B17" s="143" t="s">
        <v>427</v>
      </c>
      <c r="C17" s="92">
        <v>1</v>
      </c>
      <c r="D17" s="92">
        <v>1</v>
      </c>
      <c r="E17" s="92">
        <v>1</v>
      </c>
      <c r="F17" s="92">
        <v>1</v>
      </c>
      <c r="G17" s="126">
        <v>3.15</v>
      </c>
      <c r="H17" s="126">
        <v>3.15</v>
      </c>
      <c r="I17" s="144"/>
      <c r="J17" s="144"/>
      <c r="K17" s="144"/>
      <c r="L17" s="144"/>
      <c r="M17" s="144">
        <v>24</v>
      </c>
      <c r="N17" s="144" t="s">
        <v>996</v>
      </c>
      <c r="O17" s="144">
        <v>24</v>
      </c>
      <c r="P17" s="144" t="s">
        <v>996</v>
      </c>
      <c r="Q17" s="206">
        <v>30</v>
      </c>
      <c r="R17" s="145">
        <f t="shared" si="0"/>
        <v>0</v>
      </c>
      <c r="S17" s="146">
        <f t="shared" si="1"/>
        <v>0</v>
      </c>
      <c r="T17" s="146">
        <f t="shared" si="2"/>
        <v>2268</v>
      </c>
      <c r="U17" s="146">
        <f t="shared" si="3"/>
        <v>2268</v>
      </c>
      <c r="V17" s="145">
        <f t="shared" si="4"/>
        <v>0</v>
      </c>
      <c r="W17" s="146">
        <f t="shared" si="5"/>
        <v>0</v>
      </c>
      <c r="X17" s="146">
        <f t="shared" si="6"/>
        <v>2268</v>
      </c>
      <c r="Y17" s="146">
        <f t="shared" si="7"/>
        <v>2268</v>
      </c>
      <c r="Z17" s="147" t="e">
        <f t="shared" si="8"/>
        <v>#DIV/0!</v>
      </c>
      <c r="AA17" s="147" t="e">
        <f t="shared" si="8"/>
        <v>#DIV/0!</v>
      </c>
      <c r="AB17" s="147">
        <f t="shared" si="8"/>
        <v>1</v>
      </c>
      <c r="AC17" s="147">
        <f t="shared" si="8"/>
        <v>1</v>
      </c>
    </row>
    <row r="18" spans="1:29" s="96" customFormat="1" ht="30">
      <c r="A18" s="92">
        <v>7</v>
      </c>
      <c r="B18" s="476" t="s">
        <v>421</v>
      </c>
      <c r="C18" s="475">
        <v>2</v>
      </c>
      <c r="D18" s="475">
        <v>2</v>
      </c>
      <c r="E18" s="475">
        <v>2</v>
      </c>
      <c r="F18" s="475">
        <v>2</v>
      </c>
      <c r="G18" s="542">
        <v>5.3</v>
      </c>
      <c r="H18" s="542">
        <v>5.3</v>
      </c>
      <c r="I18" s="473"/>
      <c r="J18" s="473"/>
      <c r="K18" s="473"/>
      <c r="L18" s="473"/>
      <c r="M18" s="473">
        <v>8</v>
      </c>
      <c r="N18" s="626" t="s">
        <v>1807</v>
      </c>
      <c r="O18" s="473">
        <v>8</v>
      </c>
      <c r="P18" s="626" t="s">
        <v>1807</v>
      </c>
      <c r="Q18" s="206">
        <v>30</v>
      </c>
      <c r="R18" s="145">
        <f t="shared" si="0"/>
        <v>0</v>
      </c>
      <c r="S18" s="146">
        <f t="shared" si="1"/>
        <v>0</v>
      </c>
      <c r="T18" s="146">
        <f t="shared" si="2"/>
        <v>2544</v>
      </c>
      <c r="U18" s="146">
        <f t="shared" si="3"/>
        <v>2544</v>
      </c>
      <c r="V18" s="145">
        <f t="shared" si="4"/>
        <v>0</v>
      </c>
      <c r="W18" s="146">
        <f t="shared" si="5"/>
        <v>0</v>
      </c>
      <c r="X18" s="146">
        <f t="shared" si="6"/>
        <v>2544</v>
      </c>
      <c r="Y18" s="146">
        <f t="shared" si="7"/>
        <v>2544</v>
      </c>
      <c r="Z18" s="147" t="e">
        <f t="shared" si="8"/>
        <v>#DIV/0!</v>
      </c>
      <c r="AA18" s="147" t="e">
        <f t="shared" si="8"/>
        <v>#DIV/0!</v>
      </c>
      <c r="AB18" s="147">
        <f t="shared" si="8"/>
        <v>1</v>
      </c>
      <c r="AC18" s="147">
        <f t="shared" si="8"/>
        <v>1</v>
      </c>
    </row>
    <row r="19" spans="1:29" s="96" customFormat="1" ht="30">
      <c r="A19" s="92">
        <v>8</v>
      </c>
      <c r="B19" s="365" t="s">
        <v>663</v>
      </c>
      <c r="C19" s="130">
        <v>1</v>
      </c>
      <c r="D19" s="130">
        <v>1</v>
      </c>
      <c r="E19" s="130">
        <v>1</v>
      </c>
      <c r="F19" s="130">
        <v>1</v>
      </c>
      <c r="G19" s="126">
        <v>3.15</v>
      </c>
      <c r="H19" s="126">
        <v>3.15</v>
      </c>
      <c r="I19" s="144"/>
      <c r="J19" s="144"/>
      <c r="K19" s="144"/>
      <c r="L19" s="144"/>
      <c r="M19" s="144">
        <v>24</v>
      </c>
      <c r="N19" s="144" t="s">
        <v>996</v>
      </c>
      <c r="O19" s="144">
        <v>24</v>
      </c>
      <c r="P19" s="144" t="s">
        <v>996</v>
      </c>
      <c r="Q19" s="206">
        <v>30</v>
      </c>
      <c r="R19" s="145">
        <f t="shared" si="0"/>
        <v>0</v>
      </c>
      <c r="S19" s="146">
        <f t="shared" si="1"/>
        <v>0</v>
      </c>
      <c r="T19" s="146">
        <f t="shared" si="2"/>
        <v>2268</v>
      </c>
      <c r="U19" s="146">
        <f t="shared" si="3"/>
        <v>2268</v>
      </c>
      <c r="V19" s="145">
        <f t="shared" si="4"/>
        <v>0</v>
      </c>
      <c r="W19" s="146">
        <f t="shared" si="5"/>
        <v>0</v>
      </c>
      <c r="X19" s="146">
        <f t="shared" si="6"/>
        <v>2268</v>
      </c>
      <c r="Y19" s="146">
        <f t="shared" si="7"/>
        <v>2268</v>
      </c>
      <c r="Z19" s="147" t="e">
        <f t="shared" si="8"/>
        <v>#DIV/0!</v>
      </c>
      <c r="AA19" s="147" t="e">
        <f t="shared" si="8"/>
        <v>#DIV/0!</v>
      </c>
      <c r="AB19" s="147">
        <f t="shared" si="8"/>
        <v>1</v>
      </c>
      <c r="AC19" s="147">
        <f t="shared" si="8"/>
        <v>1</v>
      </c>
    </row>
    <row r="20" spans="1:29" s="96" customFormat="1">
      <c r="A20" s="92">
        <v>9</v>
      </c>
      <c r="B20" s="143" t="s">
        <v>420</v>
      </c>
      <c r="C20" s="92">
        <v>3</v>
      </c>
      <c r="D20" s="92">
        <v>3</v>
      </c>
      <c r="E20" s="92">
        <v>3</v>
      </c>
      <c r="F20" s="92">
        <v>3</v>
      </c>
      <c r="G20" s="126">
        <v>4</v>
      </c>
      <c r="H20" s="126">
        <v>4</v>
      </c>
      <c r="I20" s="144"/>
      <c r="J20" s="144"/>
      <c r="K20" s="144"/>
      <c r="L20" s="144"/>
      <c r="M20" s="144">
        <v>24</v>
      </c>
      <c r="N20" s="144" t="s">
        <v>996</v>
      </c>
      <c r="O20" s="144">
        <v>24</v>
      </c>
      <c r="P20" s="144" t="s">
        <v>996</v>
      </c>
      <c r="Q20" s="206">
        <v>30</v>
      </c>
      <c r="R20" s="145">
        <f t="shared" si="0"/>
        <v>0</v>
      </c>
      <c r="S20" s="146">
        <f t="shared" si="1"/>
        <v>0</v>
      </c>
      <c r="T20" s="146">
        <f t="shared" si="2"/>
        <v>8640</v>
      </c>
      <c r="U20" s="146">
        <f t="shared" si="3"/>
        <v>8640</v>
      </c>
      <c r="V20" s="145">
        <f t="shared" si="4"/>
        <v>0</v>
      </c>
      <c r="W20" s="146">
        <f t="shared" si="5"/>
        <v>0</v>
      </c>
      <c r="X20" s="146">
        <f t="shared" si="6"/>
        <v>8640</v>
      </c>
      <c r="Y20" s="146">
        <f t="shared" si="7"/>
        <v>8640</v>
      </c>
      <c r="Z20" s="147" t="e">
        <f t="shared" si="8"/>
        <v>#DIV/0!</v>
      </c>
      <c r="AA20" s="147" t="e">
        <f t="shared" si="8"/>
        <v>#DIV/0!</v>
      </c>
      <c r="AB20" s="147">
        <f t="shared" si="8"/>
        <v>1</v>
      </c>
      <c r="AC20" s="147">
        <f t="shared" si="8"/>
        <v>1</v>
      </c>
    </row>
    <row r="21" spans="1:29" s="322" customFormat="1" ht="30">
      <c r="A21" s="14">
        <v>10</v>
      </c>
      <c r="B21" s="629" t="s">
        <v>424</v>
      </c>
      <c r="C21" s="628">
        <v>6</v>
      </c>
      <c r="D21" s="628">
        <v>6</v>
      </c>
      <c r="E21" s="628">
        <v>6</v>
      </c>
      <c r="F21" s="628">
        <v>6</v>
      </c>
      <c r="G21" s="630">
        <v>8.1</v>
      </c>
      <c r="H21" s="630">
        <v>8.1</v>
      </c>
      <c r="I21" s="631"/>
      <c r="J21" s="631"/>
      <c r="K21" s="631"/>
      <c r="L21" s="631"/>
      <c r="M21" s="631">
        <v>8</v>
      </c>
      <c r="N21" s="632" t="s">
        <v>1808</v>
      </c>
      <c r="O21" s="631">
        <v>8</v>
      </c>
      <c r="P21" s="632" t="s">
        <v>1808</v>
      </c>
      <c r="Q21" s="633">
        <v>30</v>
      </c>
      <c r="R21" s="634">
        <f t="shared" si="0"/>
        <v>0</v>
      </c>
      <c r="S21" s="146">
        <f t="shared" si="1"/>
        <v>0</v>
      </c>
      <c r="T21" s="146">
        <f t="shared" si="2"/>
        <v>11663.999999999998</v>
      </c>
      <c r="U21" s="146">
        <f t="shared" si="3"/>
        <v>11663.999999999998</v>
      </c>
      <c r="V21" s="634">
        <f t="shared" si="4"/>
        <v>0</v>
      </c>
      <c r="W21" s="146">
        <f t="shared" si="5"/>
        <v>0</v>
      </c>
      <c r="X21" s="146">
        <f t="shared" si="6"/>
        <v>11663.999999999998</v>
      </c>
      <c r="Y21" s="146">
        <f t="shared" si="7"/>
        <v>11663.999999999998</v>
      </c>
      <c r="Z21" s="635" t="e">
        <f t="shared" si="8"/>
        <v>#DIV/0!</v>
      </c>
      <c r="AA21" s="635" t="e">
        <f t="shared" si="8"/>
        <v>#DIV/0!</v>
      </c>
      <c r="AB21" s="635">
        <f t="shared" si="8"/>
        <v>1</v>
      </c>
      <c r="AC21" s="635">
        <f t="shared" si="8"/>
        <v>1</v>
      </c>
    </row>
    <row r="22" spans="1:29" s="96" customFormat="1">
      <c r="A22" s="92">
        <v>11</v>
      </c>
      <c r="B22" s="143" t="s">
        <v>426</v>
      </c>
      <c r="C22" s="92">
        <v>8</v>
      </c>
      <c r="D22" s="92">
        <v>8</v>
      </c>
      <c r="E22" s="92">
        <v>8</v>
      </c>
      <c r="F22" s="92">
        <v>8</v>
      </c>
      <c r="G22" s="126">
        <v>3.15</v>
      </c>
      <c r="H22" s="126">
        <v>3.15</v>
      </c>
      <c r="I22" s="144"/>
      <c r="J22" s="144"/>
      <c r="K22" s="144"/>
      <c r="L22" s="144"/>
      <c r="M22" s="144">
        <v>24</v>
      </c>
      <c r="N22" s="144" t="s">
        <v>996</v>
      </c>
      <c r="O22" s="144">
        <v>24</v>
      </c>
      <c r="P22" s="144" t="s">
        <v>996</v>
      </c>
      <c r="Q22" s="206">
        <v>30</v>
      </c>
      <c r="R22" s="145">
        <f t="shared" si="0"/>
        <v>0</v>
      </c>
      <c r="S22" s="146">
        <f t="shared" si="1"/>
        <v>0</v>
      </c>
      <c r="T22" s="146">
        <f t="shared" si="2"/>
        <v>18144</v>
      </c>
      <c r="U22" s="146">
        <f t="shared" si="3"/>
        <v>18144</v>
      </c>
      <c r="V22" s="145">
        <f t="shared" si="4"/>
        <v>0</v>
      </c>
      <c r="W22" s="146">
        <f t="shared" si="5"/>
        <v>0</v>
      </c>
      <c r="X22" s="146">
        <f t="shared" si="6"/>
        <v>18144</v>
      </c>
      <c r="Y22" s="146">
        <f t="shared" si="7"/>
        <v>18144</v>
      </c>
      <c r="Z22" s="147" t="e">
        <f t="shared" si="8"/>
        <v>#DIV/0!</v>
      </c>
      <c r="AA22" s="147" t="e">
        <f t="shared" si="8"/>
        <v>#DIV/0!</v>
      </c>
      <c r="AB22" s="147">
        <f t="shared" si="8"/>
        <v>1</v>
      </c>
      <c r="AC22" s="147">
        <f t="shared" si="8"/>
        <v>1</v>
      </c>
    </row>
    <row r="23" spans="1:29" s="96" customFormat="1">
      <c r="A23" s="92">
        <v>12</v>
      </c>
      <c r="B23" s="365" t="s">
        <v>664</v>
      </c>
      <c r="C23" s="130">
        <v>1</v>
      </c>
      <c r="D23" s="130">
        <v>1</v>
      </c>
      <c r="E23" s="130">
        <v>1</v>
      </c>
      <c r="F23" s="130">
        <v>1</v>
      </c>
      <c r="G23" s="126">
        <v>3.15</v>
      </c>
      <c r="H23" s="126">
        <v>3.15</v>
      </c>
      <c r="I23" s="144"/>
      <c r="J23" s="144"/>
      <c r="K23" s="144"/>
      <c r="L23" s="144"/>
      <c r="M23" s="144">
        <v>24</v>
      </c>
      <c r="N23" s="144" t="s">
        <v>996</v>
      </c>
      <c r="O23" s="144">
        <v>24</v>
      </c>
      <c r="P23" s="144" t="s">
        <v>996</v>
      </c>
      <c r="Q23" s="206">
        <v>30</v>
      </c>
      <c r="R23" s="145">
        <f t="shared" si="0"/>
        <v>0</v>
      </c>
      <c r="S23" s="146">
        <f t="shared" si="1"/>
        <v>0</v>
      </c>
      <c r="T23" s="146">
        <f t="shared" si="2"/>
        <v>2268</v>
      </c>
      <c r="U23" s="146">
        <f t="shared" si="3"/>
        <v>2268</v>
      </c>
      <c r="V23" s="145">
        <f t="shared" si="4"/>
        <v>0</v>
      </c>
      <c r="W23" s="146">
        <f t="shared" si="5"/>
        <v>0</v>
      </c>
      <c r="X23" s="146">
        <f t="shared" si="6"/>
        <v>2268</v>
      </c>
      <c r="Y23" s="146">
        <f t="shared" si="7"/>
        <v>2268</v>
      </c>
      <c r="Z23" s="147" t="e">
        <f t="shared" ref="Z23:AC45" si="9">V23/R23</f>
        <v>#DIV/0!</v>
      </c>
      <c r="AA23" s="147" t="e">
        <f t="shared" si="9"/>
        <v>#DIV/0!</v>
      </c>
      <c r="AB23" s="147">
        <f t="shared" si="9"/>
        <v>1</v>
      </c>
      <c r="AC23" s="147">
        <f t="shared" si="9"/>
        <v>1</v>
      </c>
    </row>
    <row r="24" spans="1:29" s="96" customFormat="1">
      <c r="A24" s="92">
        <v>13</v>
      </c>
      <c r="B24" s="143" t="s">
        <v>419</v>
      </c>
      <c r="C24" s="92">
        <v>2</v>
      </c>
      <c r="D24" s="92">
        <v>2</v>
      </c>
      <c r="E24" s="92">
        <v>2</v>
      </c>
      <c r="F24" s="92">
        <v>2</v>
      </c>
      <c r="G24" s="126">
        <v>3.15</v>
      </c>
      <c r="H24" s="126">
        <v>3.15</v>
      </c>
      <c r="I24" s="144"/>
      <c r="J24" s="144"/>
      <c r="K24" s="144"/>
      <c r="L24" s="144"/>
      <c r="M24" s="144">
        <v>24</v>
      </c>
      <c r="N24" s="144" t="s">
        <v>996</v>
      </c>
      <c r="O24" s="144">
        <v>24</v>
      </c>
      <c r="P24" s="144" t="s">
        <v>996</v>
      </c>
      <c r="Q24" s="206">
        <v>30</v>
      </c>
      <c r="R24" s="145">
        <f t="shared" si="0"/>
        <v>0</v>
      </c>
      <c r="S24" s="146">
        <f t="shared" si="1"/>
        <v>0</v>
      </c>
      <c r="T24" s="146">
        <f t="shared" si="2"/>
        <v>4536</v>
      </c>
      <c r="U24" s="146">
        <f t="shared" si="3"/>
        <v>4536</v>
      </c>
      <c r="V24" s="145">
        <f t="shared" si="4"/>
        <v>0</v>
      </c>
      <c r="W24" s="146">
        <f t="shared" si="5"/>
        <v>0</v>
      </c>
      <c r="X24" s="146">
        <f t="shared" si="6"/>
        <v>4536</v>
      </c>
      <c r="Y24" s="146">
        <f t="shared" si="7"/>
        <v>4536</v>
      </c>
      <c r="Z24" s="147" t="e">
        <f t="shared" si="9"/>
        <v>#DIV/0!</v>
      </c>
      <c r="AA24" s="147" t="e">
        <f t="shared" si="9"/>
        <v>#DIV/0!</v>
      </c>
      <c r="AB24" s="147">
        <f t="shared" si="9"/>
        <v>1</v>
      </c>
      <c r="AC24" s="147">
        <f t="shared" si="9"/>
        <v>1</v>
      </c>
    </row>
    <row r="25" spans="1:29" s="96" customFormat="1">
      <c r="A25" s="92">
        <v>14</v>
      </c>
      <c r="B25" s="365" t="s">
        <v>665</v>
      </c>
      <c r="C25" s="92">
        <v>1</v>
      </c>
      <c r="D25" s="92">
        <v>1</v>
      </c>
      <c r="E25" s="92">
        <v>1</v>
      </c>
      <c r="F25" s="92">
        <v>1</v>
      </c>
      <c r="G25" s="126">
        <v>3.15</v>
      </c>
      <c r="H25" s="126">
        <v>3.15</v>
      </c>
      <c r="I25" s="144"/>
      <c r="J25" s="144"/>
      <c r="K25" s="144"/>
      <c r="L25" s="144"/>
      <c r="M25" s="144">
        <v>24</v>
      </c>
      <c r="N25" s="144" t="s">
        <v>996</v>
      </c>
      <c r="O25" s="144">
        <v>24</v>
      </c>
      <c r="P25" s="144" t="s">
        <v>996</v>
      </c>
      <c r="Q25" s="206">
        <v>30</v>
      </c>
      <c r="R25" s="145">
        <f t="shared" si="0"/>
        <v>0</v>
      </c>
      <c r="S25" s="146">
        <f t="shared" si="1"/>
        <v>0</v>
      </c>
      <c r="T25" s="146">
        <f t="shared" si="2"/>
        <v>2268</v>
      </c>
      <c r="U25" s="146">
        <f t="shared" si="3"/>
        <v>2268</v>
      </c>
      <c r="V25" s="145">
        <f t="shared" si="4"/>
        <v>0</v>
      </c>
      <c r="W25" s="146">
        <f t="shared" si="5"/>
        <v>0</v>
      </c>
      <c r="X25" s="146">
        <f t="shared" si="6"/>
        <v>2268</v>
      </c>
      <c r="Y25" s="146">
        <f t="shared" si="7"/>
        <v>2268</v>
      </c>
      <c r="Z25" s="147" t="e">
        <f t="shared" si="9"/>
        <v>#DIV/0!</v>
      </c>
      <c r="AA25" s="147" t="e">
        <f t="shared" si="9"/>
        <v>#DIV/0!</v>
      </c>
      <c r="AB25" s="147">
        <f t="shared" si="9"/>
        <v>1</v>
      </c>
      <c r="AC25" s="147">
        <f t="shared" si="9"/>
        <v>1</v>
      </c>
    </row>
    <row r="26" spans="1:29" s="96" customFormat="1">
      <c r="A26" s="92">
        <v>15</v>
      </c>
      <c r="B26" s="365" t="s">
        <v>666</v>
      </c>
      <c r="C26" s="92">
        <v>2</v>
      </c>
      <c r="D26" s="92">
        <v>2</v>
      </c>
      <c r="E26" s="92">
        <v>2</v>
      </c>
      <c r="F26" s="92">
        <v>2</v>
      </c>
      <c r="G26" s="126">
        <v>3.15</v>
      </c>
      <c r="H26" s="126">
        <v>3.15</v>
      </c>
      <c r="I26" s="144"/>
      <c r="J26" s="144"/>
      <c r="K26" s="144"/>
      <c r="L26" s="144"/>
      <c r="M26" s="144">
        <v>24</v>
      </c>
      <c r="N26" s="144" t="s">
        <v>996</v>
      </c>
      <c r="O26" s="144">
        <v>24</v>
      </c>
      <c r="P26" s="144" t="s">
        <v>996</v>
      </c>
      <c r="Q26" s="206">
        <v>30</v>
      </c>
      <c r="R26" s="145">
        <f t="shared" si="0"/>
        <v>0</v>
      </c>
      <c r="S26" s="146">
        <f t="shared" si="1"/>
        <v>0</v>
      </c>
      <c r="T26" s="146">
        <f t="shared" si="2"/>
        <v>4536</v>
      </c>
      <c r="U26" s="146">
        <f t="shared" si="3"/>
        <v>4536</v>
      </c>
      <c r="V26" s="145">
        <f t="shared" si="4"/>
        <v>0</v>
      </c>
      <c r="W26" s="146">
        <f t="shared" si="5"/>
        <v>0</v>
      </c>
      <c r="X26" s="146">
        <f t="shared" si="6"/>
        <v>4536</v>
      </c>
      <c r="Y26" s="146">
        <f t="shared" si="7"/>
        <v>4536</v>
      </c>
      <c r="Z26" s="147" t="e">
        <f t="shared" si="9"/>
        <v>#DIV/0!</v>
      </c>
      <c r="AA26" s="147" t="e">
        <f t="shared" si="9"/>
        <v>#DIV/0!</v>
      </c>
      <c r="AB26" s="147">
        <f t="shared" si="9"/>
        <v>1</v>
      </c>
      <c r="AC26" s="147">
        <f t="shared" si="9"/>
        <v>1</v>
      </c>
    </row>
    <row r="27" spans="1:29" s="96" customFormat="1" ht="30">
      <c r="A27" s="92">
        <v>16</v>
      </c>
      <c r="B27" s="636" t="s">
        <v>667</v>
      </c>
      <c r="C27" s="475">
        <v>1</v>
      </c>
      <c r="D27" s="475">
        <v>1</v>
      </c>
      <c r="E27" s="475">
        <v>1</v>
      </c>
      <c r="F27" s="475">
        <v>1</v>
      </c>
      <c r="G27" s="542">
        <v>4</v>
      </c>
      <c r="H27" s="542">
        <v>4</v>
      </c>
      <c r="I27" s="473"/>
      <c r="J27" s="473"/>
      <c r="K27" s="473"/>
      <c r="L27" s="473"/>
      <c r="M27" s="473">
        <v>4</v>
      </c>
      <c r="N27" s="626" t="s">
        <v>1809</v>
      </c>
      <c r="O27" s="473">
        <v>4</v>
      </c>
      <c r="P27" s="626" t="s">
        <v>1809</v>
      </c>
      <c r="Q27" s="206">
        <v>30</v>
      </c>
      <c r="R27" s="145">
        <f t="shared" si="0"/>
        <v>0</v>
      </c>
      <c r="S27" s="146">
        <f t="shared" si="1"/>
        <v>0</v>
      </c>
      <c r="T27" s="146">
        <f t="shared" si="2"/>
        <v>480</v>
      </c>
      <c r="U27" s="146">
        <f t="shared" si="3"/>
        <v>480</v>
      </c>
      <c r="V27" s="145">
        <f t="shared" si="4"/>
        <v>0</v>
      </c>
      <c r="W27" s="146">
        <f t="shared" si="5"/>
        <v>0</v>
      </c>
      <c r="X27" s="146">
        <f t="shared" si="6"/>
        <v>480</v>
      </c>
      <c r="Y27" s="146">
        <f t="shared" si="7"/>
        <v>480</v>
      </c>
      <c r="Z27" s="147" t="e">
        <f t="shared" si="9"/>
        <v>#DIV/0!</v>
      </c>
      <c r="AA27" s="147" t="e">
        <f t="shared" si="9"/>
        <v>#DIV/0!</v>
      </c>
      <c r="AB27" s="147">
        <f t="shared" si="9"/>
        <v>1</v>
      </c>
      <c r="AC27" s="147">
        <f t="shared" si="9"/>
        <v>1</v>
      </c>
    </row>
    <row r="28" spans="1:29" s="96" customFormat="1" ht="30">
      <c r="A28" s="92">
        <v>16</v>
      </c>
      <c r="B28" s="636" t="s">
        <v>1810</v>
      </c>
      <c r="C28" s="475">
        <v>1</v>
      </c>
      <c r="D28" s="475">
        <v>1</v>
      </c>
      <c r="E28" s="475">
        <v>1</v>
      </c>
      <c r="F28" s="475">
        <v>1</v>
      </c>
      <c r="G28" s="542">
        <v>4</v>
      </c>
      <c r="H28" s="542">
        <v>4</v>
      </c>
      <c r="I28" s="473"/>
      <c r="J28" s="473"/>
      <c r="K28" s="473"/>
      <c r="L28" s="473"/>
      <c r="M28" s="473">
        <v>4</v>
      </c>
      <c r="N28" s="626" t="s">
        <v>1809</v>
      </c>
      <c r="O28" s="473">
        <v>4</v>
      </c>
      <c r="P28" s="626" t="s">
        <v>1809</v>
      </c>
      <c r="Q28" s="206">
        <v>30</v>
      </c>
      <c r="R28" s="145">
        <f t="shared" si="0"/>
        <v>0</v>
      </c>
      <c r="S28" s="146">
        <f t="shared" si="1"/>
        <v>0</v>
      </c>
      <c r="T28" s="146">
        <f t="shared" si="2"/>
        <v>480</v>
      </c>
      <c r="U28" s="146">
        <f t="shared" si="3"/>
        <v>480</v>
      </c>
      <c r="V28" s="145">
        <f t="shared" si="4"/>
        <v>0</v>
      </c>
      <c r="W28" s="146">
        <f t="shared" si="5"/>
        <v>0</v>
      </c>
      <c r="X28" s="146">
        <f t="shared" si="6"/>
        <v>480</v>
      </c>
      <c r="Y28" s="146">
        <f t="shared" si="7"/>
        <v>480</v>
      </c>
      <c r="Z28" s="147" t="e">
        <f t="shared" si="9"/>
        <v>#DIV/0!</v>
      </c>
      <c r="AA28" s="147" t="e">
        <f t="shared" si="9"/>
        <v>#DIV/0!</v>
      </c>
      <c r="AB28" s="147">
        <f t="shared" si="9"/>
        <v>1</v>
      </c>
      <c r="AC28" s="147">
        <f t="shared" si="9"/>
        <v>1</v>
      </c>
    </row>
    <row r="29" spans="1:29" s="96" customFormat="1">
      <c r="A29" s="92">
        <v>17</v>
      </c>
      <c r="B29" s="476" t="s">
        <v>668</v>
      </c>
      <c r="C29" s="475">
        <v>8</v>
      </c>
      <c r="D29" s="475">
        <v>8</v>
      </c>
      <c r="E29" s="475">
        <v>8</v>
      </c>
      <c r="F29" s="475">
        <v>8</v>
      </c>
      <c r="G29" s="126">
        <v>5</v>
      </c>
      <c r="H29" s="126">
        <v>5</v>
      </c>
      <c r="I29" s="144"/>
      <c r="J29" s="144"/>
      <c r="K29" s="144"/>
      <c r="L29" s="144"/>
      <c r="M29" s="144">
        <v>5</v>
      </c>
      <c r="N29" s="144" t="s">
        <v>1123</v>
      </c>
      <c r="O29" s="144">
        <v>5</v>
      </c>
      <c r="P29" s="144" t="s">
        <v>1123</v>
      </c>
      <c r="Q29" s="206">
        <v>30</v>
      </c>
      <c r="R29" s="145">
        <f t="shared" si="0"/>
        <v>0</v>
      </c>
      <c r="S29" s="146">
        <f t="shared" si="1"/>
        <v>0</v>
      </c>
      <c r="T29" s="146">
        <f t="shared" si="2"/>
        <v>6000</v>
      </c>
      <c r="U29" s="146">
        <f t="shared" si="3"/>
        <v>6000</v>
      </c>
      <c r="V29" s="145">
        <f t="shared" si="4"/>
        <v>0</v>
      </c>
      <c r="W29" s="146">
        <f t="shared" si="5"/>
        <v>0</v>
      </c>
      <c r="X29" s="146">
        <f t="shared" si="6"/>
        <v>6000</v>
      </c>
      <c r="Y29" s="146">
        <f t="shared" si="7"/>
        <v>6000</v>
      </c>
      <c r="Z29" s="147" t="e">
        <f t="shared" si="9"/>
        <v>#DIV/0!</v>
      </c>
      <c r="AA29" s="147" t="e">
        <f t="shared" si="9"/>
        <v>#DIV/0!</v>
      </c>
      <c r="AB29" s="147">
        <f t="shared" si="9"/>
        <v>1</v>
      </c>
      <c r="AC29" s="147">
        <f t="shared" si="9"/>
        <v>1</v>
      </c>
    </row>
    <row r="30" spans="1:29" s="96" customFormat="1" ht="15.75">
      <c r="A30" s="92">
        <v>18</v>
      </c>
      <c r="B30" s="151" t="s">
        <v>669</v>
      </c>
      <c r="C30" s="130">
        <v>1</v>
      </c>
      <c r="D30" s="130">
        <v>1</v>
      </c>
      <c r="E30" s="130">
        <v>1</v>
      </c>
      <c r="F30" s="130">
        <v>1</v>
      </c>
      <c r="G30" s="126">
        <v>3</v>
      </c>
      <c r="H30" s="126">
        <v>3</v>
      </c>
      <c r="I30" s="144"/>
      <c r="J30" s="144"/>
      <c r="K30" s="144"/>
      <c r="L30" s="144"/>
      <c r="M30" s="144">
        <v>5</v>
      </c>
      <c r="N30" s="144" t="s">
        <v>1123</v>
      </c>
      <c r="O30" s="144">
        <v>5</v>
      </c>
      <c r="P30" s="144" t="s">
        <v>1123</v>
      </c>
      <c r="Q30" s="206">
        <v>30</v>
      </c>
      <c r="R30" s="145">
        <f t="shared" si="0"/>
        <v>0</v>
      </c>
      <c r="S30" s="146">
        <f t="shared" si="1"/>
        <v>0</v>
      </c>
      <c r="T30" s="146">
        <f t="shared" si="2"/>
        <v>450</v>
      </c>
      <c r="U30" s="146">
        <f t="shared" si="3"/>
        <v>450</v>
      </c>
      <c r="V30" s="145">
        <f t="shared" si="4"/>
        <v>0</v>
      </c>
      <c r="W30" s="146">
        <f t="shared" si="5"/>
        <v>0</v>
      </c>
      <c r="X30" s="146">
        <f t="shared" si="6"/>
        <v>450</v>
      </c>
      <c r="Y30" s="146">
        <f t="shared" si="7"/>
        <v>450</v>
      </c>
      <c r="Z30" s="147" t="e">
        <f t="shared" si="9"/>
        <v>#DIV/0!</v>
      </c>
      <c r="AA30" s="147" t="e">
        <f t="shared" si="9"/>
        <v>#DIV/0!</v>
      </c>
      <c r="AB30" s="147">
        <f t="shared" si="9"/>
        <v>1</v>
      </c>
      <c r="AC30" s="147">
        <f t="shared" si="9"/>
        <v>1</v>
      </c>
    </row>
    <row r="31" spans="1:29" s="96" customFormat="1" ht="15.75">
      <c r="A31" s="92">
        <v>19</v>
      </c>
      <c r="B31" s="440" t="s">
        <v>670</v>
      </c>
      <c r="C31" s="130">
        <v>2</v>
      </c>
      <c r="D31" s="130">
        <v>1</v>
      </c>
      <c r="E31" s="130">
        <v>1</v>
      </c>
      <c r="F31" s="130">
        <v>2</v>
      </c>
      <c r="G31" s="126">
        <v>2</v>
      </c>
      <c r="H31" s="126">
        <v>2</v>
      </c>
      <c r="I31" s="144"/>
      <c r="J31" s="144"/>
      <c r="K31" s="144"/>
      <c r="L31" s="144"/>
      <c r="M31" s="144">
        <v>5</v>
      </c>
      <c r="N31" s="144" t="s">
        <v>1123</v>
      </c>
      <c r="O31" s="144">
        <v>5</v>
      </c>
      <c r="P31" s="144" t="s">
        <v>1123</v>
      </c>
      <c r="Q31" s="206">
        <v>30</v>
      </c>
      <c r="R31" s="145">
        <f t="shared" si="0"/>
        <v>0</v>
      </c>
      <c r="S31" s="146">
        <f t="shared" si="1"/>
        <v>0</v>
      </c>
      <c r="T31" s="146">
        <f t="shared" si="2"/>
        <v>300</v>
      </c>
      <c r="U31" s="146">
        <f t="shared" si="3"/>
        <v>600</v>
      </c>
      <c r="V31" s="145">
        <f t="shared" si="4"/>
        <v>0</v>
      </c>
      <c r="W31" s="146">
        <f t="shared" si="5"/>
        <v>0</v>
      </c>
      <c r="X31" s="146">
        <f t="shared" si="6"/>
        <v>300</v>
      </c>
      <c r="Y31" s="146">
        <f t="shared" si="7"/>
        <v>600</v>
      </c>
      <c r="Z31" s="147" t="e">
        <f t="shared" si="9"/>
        <v>#DIV/0!</v>
      </c>
      <c r="AA31" s="147" t="e">
        <f t="shared" si="9"/>
        <v>#DIV/0!</v>
      </c>
      <c r="AB31" s="147">
        <f t="shared" si="9"/>
        <v>1</v>
      </c>
      <c r="AC31" s="147">
        <f t="shared" si="9"/>
        <v>1</v>
      </c>
    </row>
    <row r="32" spans="1:29" s="96" customFormat="1" ht="15.75">
      <c r="A32" s="92">
        <v>20</v>
      </c>
      <c r="B32" s="440" t="s">
        <v>671</v>
      </c>
      <c r="C32" s="130">
        <v>2</v>
      </c>
      <c r="D32" s="130">
        <v>1</v>
      </c>
      <c r="E32" s="130">
        <v>1</v>
      </c>
      <c r="F32" s="130">
        <v>2</v>
      </c>
      <c r="G32" s="126">
        <v>0.5</v>
      </c>
      <c r="H32" s="126">
        <v>0.5</v>
      </c>
      <c r="I32" s="144"/>
      <c r="J32" s="144"/>
      <c r="K32" s="144"/>
      <c r="L32" s="144"/>
      <c r="M32" s="144">
        <v>5</v>
      </c>
      <c r="N32" s="144" t="s">
        <v>1123</v>
      </c>
      <c r="O32" s="144">
        <v>5</v>
      </c>
      <c r="P32" s="144" t="s">
        <v>1123</v>
      </c>
      <c r="Q32" s="206">
        <v>30</v>
      </c>
      <c r="R32" s="145">
        <f t="shared" si="0"/>
        <v>0</v>
      </c>
      <c r="S32" s="146">
        <f t="shared" si="1"/>
        <v>0</v>
      </c>
      <c r="T32" s="146">
        <f t="shared" si="2"/>
        <v>75</v>
      </c>
      <c r="U32" s="146">
        <f t="shared" si="3"/>
        <v>150</v>
      </c>
      <c r="V32" s="145">
        <f t="shared" si="4"/>
        <v>0</v>
      </c>
      <c r="W32" s="146">
        <f t="shared" si="5"/>
        <v>0</v>
      </c>
      <c r="X32" s="146">
        <f t="shared" si="6"/>
        <v>75</v>
      </c>
      <c r="Y32" s="146">
        <f t="shared" si="7"/>
        <v>150</v>
      </c>
      <c r="Z32" s="147" t="e">
        <f t="shared" si="9"/>
        <v>#DIV/0!</v>
      </c>
      <c r="AA32" s="147" t="e">
        <f t="shared" si="9"/>
        <v>#DIV/0!</v>
      </c>
      <c r="AB32" s="147">
        <f t="shared" si="9"/>
        <v>1</v>
      </c>
      <c r="AC32" s="147">
        <f t="shared" si="9"/>
        <v>1</v>
      </c>
    </row>
    <row r="33" spans="1:29" s="96" customFormat="1" ht="15.75">
      <c r="A33" s="92">
        <v>21</v>
      </c>
      <c r="B33" s="440" t="s">
        <v>672</v>
      </c>
      <c r="C33" s="130">
        <v>1</v>
      </c>
      <c r="D33" s="130">
        <v>1</v>
      </c>
      <c r="E33" s="130">
        <v>1</v>
      </c>
      <c r="F33" s="130">
        <v>1</v>
      </c>
      <c r="G33" s="126">
        <v>5</v>
      </c>
      <c r="H33" s="126">
        <v>5</v>
      </c>
      <c r="I33" s="144"/>
      <c r="J33" s="144"/>
      <c r="K33" s="144"/>
      <c r="L33" s="144"/>
      <c r="M33" s="144">
        <v>5</v>
      </c>
      <c r="N33" s="144" t="s">
        <v>1123</v>
      </c>
      <c r="O33" s="144">
        <v>5</v>
      </c>
      <c r="P33" s="144" t="s">
        <v>1123</v>
      </c>
      <c r="Q33" s="206">
        <v>30</v>
      </c>
      <c r="R33" s="145">
        <f t="shared" si="0"/>
        <v>0</v>
      </c>
      <c r="S33" s="146">
        <f t="shared" si="1"/>
        <v>0</v>
      </c>
      <c r="T33" s="146">
        <f t="shared" si="2"/>
        <v>750</v>
      </c>
      <c r="U33" s="146">
        <f t="shared" si="3"/>
        <v>750</v>
      </c>
      <c r="V33" s="145">
        <f t="shared" si="4"/>
        <v>0</v>
      </c>
      <c r="W33" s="146">
        <f t="shared" si="5"/>
        <v>0</v>
      </c>
      <c r="X33" s="146">
        <f t="shared" si="6"/>
        <v>750</v>
      </c>
      <c r="Y33" s="146">
        <f t="shared" si="7"/>
        <v>750</v>
      </c>
      <c r="Z33" s="147" t="e">
        <f t="shared" si="9"/>
        <v>#DIV/0!</v>
      </c>
      <c r="AA33" s="147" t="e">
        <f t="shared" si="9"/>
        <v>#DIV/0!</v>
      </c>
      <c r="AB33" s="147">
        <f t="shared" si="9"/>
        <v>1</v>
      </c>
      <c r="AC33" s="147">
        <f t="shared" si="9"/>
        <v>1</v>
      </c>
    </row>
    <row r="34" spans="1:29" s="96" customFormat="1" ht="15.75">
      <c r="A34" s="92">
        <v>22</v>
      </c>
      <c r="B34" s="440" t="s">
        <v>673</v>
      </c>
      <c r="C34" s="130">
        <v>1</v>
      </c>
      <c r="D34" s="130">
        <v>1</v>
      </c>
      <c r="E34" s="130">
        <v>1</v>
      </c>
      <c r="F34" s="130">
        <v>1</v>
      </c>
      <c r="G34" s="126">
        <v>2</v>
      </c>
      <c r="H34" s="126">
        <v>2</v>
      </c>
      <c r="I34" s="144"/>
      <c r="J34" s="144"/>
      <c r="K34" s="144"/>
      <c r="L34" s="144"/>
      <c r="M34" s="144">
        <v>5</v>
      </c>
      <c r="N34" s="144" t="s">
        <v>1123</v>
      </c>
      <c r="O34" s="144">
        <v>5</v>
      </c>
      <c r="P34" s="144" t="s">
        <v>1123</v>
      </c>
      <c r="Q34" s="206">
        <v>30</v>
      </c>
      <c r="R34" s="145">
        <f t="shared" si="0"/>
        <v>0</v>
      </c>
      <c r="S34" s="146">
        <f t="shared" si="1"/>
        <v>0</v>
      </c>
      <c r="T34" s="146">
        <f t="shared" si="2"/>
        <v>300</v>
      </c>
      <c r="U34" s="146">
        <f t="shared" si="3"/>
        <v>300</v>
      </c>
      <c r="V34" s="145">
        <f t="shared" si="4"/>
        <v>0</v>
      </c>
      <c r="W34" s="146">
        <f t="shared" si="5"/>
        <v>0</v>
      </c>
      <c r="X34" s="146">
        <f t="shared" si="6"/>
        <v>300</v>
      </c>
      <c r="Y34" s="146">
        <f t="shared" si="7"/>
        <v>300</v>
      </c>
      <c r="Z34" s="147" t="e">
        <f t="shared" si="9"/>
        <v>#DIV/0!</v>
      </c>
      <c r="AA34" s="147" t="e">
        <f t="shared" si="9"/>
        <v>#DIV/0!</v>
      </c>
      <c r="AB34" s="147">
        <f t="shared" si="9"/>
        <v>1</v>
      </c>
      <c r="AC34" s="147">
        <f t="shared" si="9"/>
        <v>1</v>
      </c>
    </row>
    <row r="35" spans="1:29" s="96" customFormat="1" ht="15.75">
      <c r="A35" s="92">
        <v>23</v>
      </c>
      <c r="B35" s="440" t="s">
        <v>674</v>
      </c>
      <c r="C35" s="130">
        <v>2</v>
      </c>
      <c r="D35" s="130">
        <v>2</v>
      </c>
      <c r="E35" s="130">
        <v>2</v>
      </c>
      <c r="F35" s="130">
        <v>2</v>
      </c>
      <c r="G35" s="126">
        <v>3</v>
      </c>
      <c r="H35" s="126">
        <v>3</v>
      </c>
      <c r="I35" s="144"/>
      <c r="J35" s="144"/>
      <c r="K35" s="144"/>
      <c r="L35" s="144"/>
      <c r="M35" s="144">
        <v>5</v>
      </c>
      <c r="N35" s="144" t="s">
        <v>1123</v>
      </c>
      <c r="O35" s="144">
        <v>5</v>
      </c>
      <c r="P35" s="144" t="s">
        <v>1123</v>
      </c>
      <c r="Q35" s="206">
        <v>30</v>
      </c>
      <c r="R35" s="145">
        <f t="shared" si="0"/>
        <v>0</v>
      </c>
      <c r="S35" s="146">
        <f t="shared" si="1"/>
        <v>0</v>
      </c>
      <c r="T35" s="146">
        <f t="shared" si="2"/>
        <v>900</v>
      </c>
      <c r="U35" s="146">
        <f t="shared" si="3"/>
        <v>900</v>
      </c>
      <c r="V35" s="145">
        <f t="shared" si="4"/>
        <v>0</v>
      </c>
      <c r="W35" s="146">
        <f t="shared" si="5"/>
        <v>0</v>
      </c>
      <c r="X35" s="146">
        <f t="shared" si="6"/>
        <v>900</v>
      </c>
      <c r="Y35" s="146">
        <f t="shared" si="7"/>
        <v>900</v>
      </c>
      <c r="Z35" s="147" t="e">
        <f t="shared" si="9"/>
        <v>#DIV/0!</v>
      </c>
      <c r="AA35" s="147" t="e">
        <f t="shared" si="9"/>
        <v>#DIV/0!</v>
      </c>
      <c r="AB35" s="147">
        <f t="shared" si="9"/>
        <v>1</v>
      </c>
      <c r="AC35" s="147">
        <f t="shared" si="9"/>
        <v>1</v>
      </c>
    </row>
    <row r="36" spans="1:29" s="96" customFormat="1" ht="15.75">
      <c r="A36" s="92">
        <v>24</v>
      </c>
      <c r="B36" s="637" t="s">
        <v>675</v>
      </c>
      <c r="C36" s="505">
        <v>2</v>
      </c>
      <c r="D36" s="505">
        <v>2</v>
      </c>
      <c r="E36" s="505">
        <v>2</v>
      </c>
      <c r="F36" s="505">
        <v>2</v>
      </c>
      <c r="G36" s="542">
        <v>0.3</v>
      </c>
      <c r="H36" s="542">
        <v>0.3</v>
      </c>
      <c r="I36" s="473"/>
      <c r="J36" s="473"/>
      <c r="K36" s="473"/>
      <c r="L36" s="473"/>
      <c r="M36" s="473">
        <v>24</v>
      </c>
      <c r="N36" s="473" t="s">
        <v>996</v>
      </c>
      <c r="O36" s="473">
        <v>24</v>
      </c>
      <c r="P36" s="473" t="s">
        <v>996</v>
      </c>
      <c r="Q36" s="206">
        <v>30</v>
      </c>
      <c r="R36" s="145">
        <f t="shared" si="0"/>
        <v>0</v>
      </c>
      <c r="S36" s="146">
        <f t="shared" si="1"/>
        <v>0</v>
      </c>
      <c r="T36" s="146">
        <f t="shared" si="2"/>
        <v>431.99999999999994</v>
      </c>
      <c r="U36" s="146">
        <f t="shared" si="3"/>
        <v>431.99999999999994</v>
      </c>
      <c r="V36" s="145">
        <f t="shared" si="4"/>
        <v>0</v>
      </c>
      <c r="W36" s="146">
        <f t="shared" si="5"/>
        <v>0</v>
      </c>
      <c r="X36" s="146">
        <f t="shared" si="6"/>
        <v>431.99999999999994</v>
      </c>
      <c r="Y36" s="146">
        <f t="shared" si="7"/>
        <v>431.99999999999994</v>
      </c>
      <c r="Z36" s="147" t="e">
        <f t="shared" si="9"/>
        <v>#DIV/0!</v>
      </c>
      <c r="AA36" s="147" t="e">
        <f t="shared" si="9"/>
        <v>#DIV/0!</v>
      </c>
      <c r="AB36" s="147">
        <f t="shared" si="9"/>
        <v>1</v>
      </c>
      <c r="AC36" s="147">
        <f t="shared" si="9"/>
        <v>1</v>
      </c>
    </row>
    <row r="37" spans="1:29" s="96" customFormat="1">
      <c r="A37" s="92">
        <v>3</v>
      </c>
      <c r="B37" s="476" t="s">
        <v>729</v>
      </c>
      <c r="C37" s="572">
        <v>2</v>
      </c>
      <c r="D37" s="573">
        <v>2</v>
      </c>
      <c r="E37" s="573">
        <v>2</v>
      </c>
      <c r="F37" s="573">
        <v>2</v>
      </c>
      <c r="G37" s="472">
        <v>0.3</v>
      </c>
      <c r="H37" s="472">
        <v>0.3</v>
      </c>
      <c r="I37" s="472">
        <v>24</v>
      </c>
      <c r="J37" s="472" t="s">
        <v>996</v>
      </c>
      <c r="K37" s="472">
        <v>24</v>
      </c>
      <c r="L37" s="472" t="s">
        <v>996</v>
      </c>
      <c r="M37" s="472">
        <v>24</v>
      </c>
      <c r="N37" s="472" t="s">
        <v>996</v>
      </c>
      <c r="O37" s="472">
        <v>24</v>
      </c>
      <c r="P37" s="472" t="s">
        <v>996</v>
      </c>
      <c r="Q37" s="486">
        <v>30</v>
      </c>
      <c r="R37" s="145">
        <f t="shared" si="0"/>
        <v>431.99999999999994</v>
      </c>
      <c r="S37" s="146">
        <f t="shared" si="1"/>
        <v>431.99999999999994</v>
      </c>
      <c r="T37" s="146">
        <f t="shared" si="2"/>
        <v>431.99999999999994</v>
      </c>
      <c r="U37" s="146">
        <f t="shared" si="3"/>
        <v>431.99999999999994</v>
      </c>
      <c r="V37" s="145">
        <f t="shared" si="4"/>
        <v>431.99999999999994</v>
      </c>
      <c r="W37" s="146">
        <f t="shared" si="5"/>
        <v>431.99999999999994</v>
      </c>
      <c r="X37" s="146">
        <f t="shared" si="6"/>
        <v>431.99999999999994</v>
      </c>
      <c r="Y37" s="146">
        <f t="shared" si="7"/>
        <v>431.99999999999994</v>
      </c>
      <c r="Z37" s="147">
        <f t="shared" si="9"/>
        <v>1</v>
      </c>
      <c r="AA37" s="147">
        <f t="shared" si="9"/>
        <v>1</v>
      </c>
      <c r="AB37" s="147">
        <f t="shared" si="9"/>
        <v>1</v>
      </c>
      <c r="AC37" s="147">
        <f t="shared" si="9"/>
        <v>1</v>
      </c>
    </row>
    <row r="38" spans="1:29" s="96" customFormat="1">
      <c r="A38" s="92">
        <v>25</v>
      </c>
      <c r="B38" s="476" t="s">
        <v>676</v>
      </c>
      <c r="C38" s="505">
        <v>4</v>
      </c>
      <c r="D38" s="505">
        <v>4</v>
      </c>
      <c r="E38" s="505">
        <v>4</v>
      </c>
      <c r="F38" s="505">
        <v>4</v>
      </c>
      <c r="G38" s="542">
        <v>0.32</v>
      </c>
      <c r="H38" s="542">
        <v>0.32</v>
      </c>
      <c r="I38" s="473"/>
      <c r="J38" s="473"/>
      <c r="K38" s="473"/>
      <c r="L38" s="473"/>
      <c r="M38" s="472">
        <v>24</v>
      </c>
      <c r="N38" s="472" t="s">
        <v>996</v>
      </c>
      <c r="O38" s="472">
        <v>24</v>
      </c>
      <c r="P38" s="472" t="s">
        <v>996</v>
      </c>
      <c r="Q38" s="206">
        <v>30</v>
      </c>
      <c r="R38" s="145">
        <f t="shared" si="0"/>
        <v>0</v>
      </c>
      <c r="S38" s="146">
        <f t="shared" si="1"/>
        <v>0</v>
      </c>
      <c r="T38" s="146">
        <f t="shared" si="2"/>
        <v>921.59999999999991</v>
      </c>
      <c r="U38" s="146">
        <f t="shared" si="3"/>
        <v>921.59999999999991</v>
      </c>
      <c r="V38" s="145">
        <f t="shared" si="4"/>
        <v>0</v>
      </c>
      <c r="W38" s="146">
        <f t="shared" si="5"/>
        <v>0</v>
      </c>
      <c r="X38" s="146">
        <f t="shared" si="6"/>
        <v>921.59999999999991</v>
      </c>
      <c r="Y38" s="146">
        <f t="shared" si="7"/>
        <v>921.59999999999991</v>
      </c>
      <c r="Z38" s="147" t="e">
        <f t="shared" si="9"/>
        <v>#DIV/0!</v>
      </c>
      <c r="AA38" s="147" t="e">
        <f t="shared" si="9"/>
        <v>#DIV/0!</v>
      </c>
      <c r="AB38" s="147">
        <f t="shared" si="9"/>
        <v>1</v>
      </c>
      <c r="AC38" s="147">
        <f t="shared" si="9"/>
        <v>1</v>
      </c>
    </row>
    <row r="39" spans="1:29" s="96" customFormat="1">
      <c r="A39" s="92">
        <v>26</v>
      </c>
      <c r="B39" s="143" t="s">
        <v>677</v>
      </c>
      <c r="C39" s="130">
        <v>12</v>
      </c>
      <c r="D39" s="130">
        <v>15</v>
      </c>
      <c r="E39" s="130">
        <v>15</v>
      </c>
      <c r="F39" s="130">
        <v>15</v>
      </c>
      <c r="G39" s="126">
        <v>0.1</v>
      </c>
      <c r="H39" s="126">
        <v>0.1</v>
      </c>
      <c r="I39" s="144"/>
      <c r="J39" s="144"/>
      <c r="K39" s="144"/>
      <c r="L39" s="144"/>
      <c r="M39" s="144">
        <v>5</v>
      </c>
      <c r="N39" s="144" t="s">
        <v>1123</v>
      </c>
      <c r="O39" s="144">
        <v>5</v>
      </c>
      <c r="P39" s="144" t="s">
        <v>1123</v>
      </c>
      <c r="Q39" s="206">
        <v>30</v>
      </c>
      <c r="R39" s="145">
        <f t="shared" si="0"/>
        <v>0</v>
      </c>
      <c r="S39" s="146">
        <f t="shared" si="1"/>
        <v>0</v>
      </c>
      <c r="T39" s="146">
        <f t="shared" si="2"/>
        <v>225</v>
      </c>
      <c r="U39" s="146">
        <f t="shared" si="3"/>
        <v>225</v>
      </c>
      <c r="V39" s="145">
        <f t="shared" si="4"/>
        <v>0</v>
      </c>
      <c r="W39" s="146">
        <f t="shared" si="5"/>
        <v>0</v>
      </c>
      <c r="X39" s="146">
        <f t="shared" si="6"/>
        <v>225</v>
      </c>
      <c r="Y39" s="146">
        <f t="shared" si="7"/>
        <v>225</v>
      </c>
      <c r="Z39" s="147" t="e">
        <f t="shared" si="9"/>
        <v>#DIV/0!</v>
      </c>
      <c r="AA39" s="147" t="e">
        <f t="shared" si="9"/>
        <v>#DIV/0!</v>
      </c>
      <c r="AB39" s="147">
        <f t="shared" si="9"/>
        <v>1</v>
      </c>
      <c r="AC39" s="147">
        <f t="shared" si="9"/>
        <v>1</v>
      </c>
    </row>
    <row r="40" spans="1:29" s="96" customFormat="1" ht="15.75">
      <c r="A40" s="92">
        <v>27</v>
      </c>
      <c r="B40" s="441" t="s">
        <v>678</v>
      </c>
      <c r="C40" s="130">
        <v>1</v>
      </c>
      <c r="D40" s="130">
        <v>1</v>
      </c>
      <c r="E40" s="130">
        <v>1</v>
      </c>
      <c r="F40" s="130">
        <v>1</v>
      </c>
      <c r="G40" s="126">
        <v>5</v>
      </c>
      <c r="H40" s="126">
        <v>5</v>
      </c>
      <c r="I40" s="144"/>
      <c r="J40" s="144"/>
      <c r="K40" s="144"/>
      <c r="L40" s="144"/>
      <c r="M40" s="144">
        <v>5</v>
      </c>
      <c r="N40" s="144" t="s">
        <v>1123</v>
      </c>
      <c r="O40" s="144">
        <v>5</v>
      </c>
      <c r="P40" s="144" t="s">
        <v>1123</v>
      </c>
      <c r="Q40" s="206">
        <v>30</v>
      </c>
      <c r="R40" s="145">
        <f t="shared" si="0"/>
        <v>0</v>
      </c>
      <c r="S40" s="146">
        <f t="shared" si="1"/>
        <v>0</v>
      </c>
      <c r="T40" s="146">
        <f t="shared" si="2"/>
        <v>750</v>
      </c>
      <c r="U40" s="146">
        <f t="shared" si="3"/>
        <v>750</v>
      </c>
      <c r="V40" s="145">
        <f t="shared" si="4"/>
        <v>0</v>
      </c>
      <c r="W40" s="146">
        <f t="shared" si="5"/>
        <v>0</v>
      </c>
      <c r="X40" s="146">
        <f t="shared" si="6"/>
        <v>750</v>
      </c>
      <c r="Y40" s="146">
        <f t="shared" si="7"/>
        <v>750</v>
      </c>
      <c r="Z40" s="147" t="e">
        <f t="shared" si="9"/>
        <v>#DIV/0!</v>
      </c>
      <c r="AA40" s="147" t="e">
        <f t="shared" si="9"/>
        <v>#DIV/0!</v>
      </c>
      <c r="AB40" s="147">
        <f t="shared" si="9"/>
        <v>1</v>
      </c>
      <c r="AC40" s="147">
        <f t="shared" si="9"/>
        <v>1</v>
      </c>
    </row>
    <row r="41" spans="1:29" s="96" customFormat="1" ht="15.75">
      <c r="A41" s="92">
        <v>28</v>
      </c>
      <c r="B41" s="441" t="s">
        <v>679</v>
      </c>
      <c r="C41" s="130">
        <v>1</v>
      </c>
      <c r="D41" s="130">
        <v>1</v>
      </c>
      <c r="E41" s="130">
        <v>1</v>
      </c>
      <c r="F41" s="130">
        <v>1</v>
      </c>
      <c r="G41" s="126">
        <v>0.2</v>
      </c>
      <c r="H41" s="126">
        <v>0.2</v>
      </c>
      <c r="I41" s="144"/>
      <c r="J41" s="144"/>
      <c r="K41" s="144"/>
      <c r="L41" s="144"/>
      <c r="M41" s="144">
        <v>5</v>
      </c>
      <c r="N41" s="144" t="s">
        <v>1123</v>
      </c>
      <c r="O41" s="144">
        <v>5</v>
      </c>
      <c r="P41" s="144" t="s">
        <v>1123</v>
      </c>
      <c r="Q41" s="206">
        <v>30</v>
      </c>
      <c r="R41" s="145">
        <f t="shared" si="0"/>
        <v>0</v>
      </c>
      <c r="S41" s="146">
        <f t="shared" si="1"/>
        <v>0</v>
      </c>
      <c r="T41" s="146">
        <f t="shared" si="2"/>
        <v>30</v>
      </c>
      <c r="U41" s="146">
        <f t="shared" si="3"/>
        <v>30</v>
      </c>
      <c r="V41" s="145">
        <f t="shared" si="4"/>
        <v>0</v>
      </c>
      <c r="W41" s="146">
        <f t="shared" si="5"/>
        <v>0</v>
      </c>
      <c r="X41" s="146">
        <f t="shared" si="6"/>
        <v>30</v>
      </c>
      <c r="Y41" s="146">
        <f t="shared" si="7"/>
        <v>30</v>
      </c>
      <c r="Z41" s="147" t="e">
        <f t="shared" si="9"/>
        <v>#DIV/0!</v>
      </c>
      <c r="AA41" s="147" t="e">
        <f t="shared" si="9"/>
        <v>#DIV/0!</v>
      </c>
      <c r="AB41" s="147">
        <f t="shared" si="9"/>
        <v>1</v>
      </c>
      <c r="AC41" s="147">
        <f t="shared" si="9"/>
        <v>1</v>
      </c>
    </row>
    <row r="42" spans="1:29" s="96" customFormat="1" ht="15.75">
      <c r="A42" s="92">
        <v>29</v>
      </c>
      <c r="B42" s="441" t="s">
        <v>680</v>
      </c>
      <c r="C42" s="130">
        <v>2</v>
      </c>
      <c r="D42" s="130">
        <v>2</v>
      </c>
      <c r="E42" s="130">
        <v>2</v>
      </c>
      <c r="F42" s="130">
        <v>2</v>
      </c>
      <c r="G42" s="126">
        <v>0.2</v>
      </c>
      <c r="H42" s="126">
        <v>0.2</v>
      </c>
      <c r="I42" s="144"/>
      <c r="J42" s="144"/>
      <c r="K42" s="144"/>
      <c r="L42" s="144"/>
      <c r="M42" s="144">
        <v>5</v>
      </c>
      <c r="N42" s="144" t="s">
        <v>1123</v>
      </c>
      <c r="O42" s="144">
        <v>5</v>
      </c>
      <c r="P42" s="144" t="s">
        <v>1123</v>
      </c>
      <c r="Q42" s="206">
        <v>30</v>
      </c>
      <c r="R42" s="145">
        <f t="shared" si="0"/>
        <v>0</v>
      </c>
      <c r="S42" s="146">
        <f t="shared" si="1"/>
        <v>0</v>
      </c>
      <c r="T42" s="146">
        <f t="shared" si="2"/>
        <v>60</v>
      </c>
      <c r="U42" s="146">
        <f t="shared" si="3"/>
        <v>60</v>
      </c>
      <c r="V42" s="145">
        <f t="shared" si="4"/>
        <v>0</v>
      </c>
      <c r="W42" s="146">
        <f t="shared" si="5"/>
        <v>0</v>
      </c>
      <c r="X42" s="146">
        <f t="shared" si="6"/>
        <v>60</v>
      </c>
      <c r="Y42" s="146">
        <f t="shared" si="7"/>
        <v>60</v>
      </c>
      <c r="Z42" s="147" t="e">
        <f t="shared" si="9"/>
        <v>#DIV/0!</v>
      </c>
      <c r="AA42" s="147" t="e">
        <f t="shared" si="9"/>
        <v>#DIV/0!</v>
      </c>
      <c r="AB42" s="147">
        <f t="shared" si="9"/>
        <v>1</v>
      </c>
      <c r="AC42" s="147">
        <f t="shared" si="9"/>
        <v>1</v>
      </c>
    </row>
    <row r="43" spans="1:29" s="96" customFormat="1" ht="15.75">
      <c r="A43" s="92">
        <v>30</v>
      </c>
      <c r="B43" s="441" t="s">
        <v>681</v>
      </c>
      <c r="C43" s="130">
        <v>3</v>
      </c>
      <c r="D43" s="130">
        <v>3</v>
      </c>
      <c r="E43" s="130">
        <v>3</v>
      </c>
      <c r="F43" s="130">
        <v>3</v>
      </c>
      <c r="G43" s="126">
        <v>0.1</v>
      </c>
      <c r="H43" s="126">
        <v>0.1</v>
      </c>
      <c r="I43" s="144"/>
      <c r="J43" s="144"/>
      <c r="K43" s="144"/>
      <c r="L43" s="144"/>
      <c r="M43" s="144">
        <v>5</v>
      </c>
      <c r="N43" s="144" t="s">
        <v>1123</v>
      </c>
      <c r="O43" s="144">
        <v>5</v>
      </c>
      <c r="P43" s="144" t="s">
        <v>1123</v>
      </c>
      <c r="Q43" s="206">
        <v>30</v>
      </c>
      <c r="R43" s="145">
        <f t="shared" si="0"/>
        <v>0</v>
      </c>
      <c r="S43" s="146">
        <f t="shared" si="1"/>
        <v>0</v>
      </c>
      <c r="T43" s="146">
        <f t="shared" si="2"/>
        <v>45.000000000000007</v>
      </c>
      <c r="U43" s="146">
        <f t="shared" si="3"/>
        <v>45.000000000000007</v>
      </c>
      <c r="V43" s="145">
        <f t="shared" si="4"/>
        <v>0</v>
      </c>
      <c r="W43" s="146">
        <f t="shared" si="5"/>
        <v>0</v>
      </c>
      <c r="X43" s="146">
        <f t="shared" si="6"/>
        <v>45.000000000000007</v>
      </c>
      <c r="Y43" s="146">
        <f t="shared" si="7"/>
        <v>45.000000000000007</v>
      </c>
      <c r="Z43" s="147" t="e">
        <f t="shared" si="9"/>
        <v>#DIV/0!</v>
      </c>
      <c r="AA43" s="147" t="e">
        <f t="shared" si="9"/>
        <v>#DIV/0!</v>
      </c>
      <c r="AB43" s="147">
        <f t="shared" si="9"/>
        <v>1</v>
      </c>
      <c r="AC43" s="147">
        <f t="shared" si="9"/>
        <v>1</v>
      </c>
    </row>
    <row r="44" spans="1:29" s="96" customFormat="1" ht="15.75">
      <c r="A44" s="92">
        <v>31</v>
      </c>
      <c r="B44" s="441" t="s">
        <v>682</v>
      </c>
      <c r="C44" s="130">
        <v>3</v>
      </c>
      <c r="D44" s="130">
        <v>3</v>
      </c>
      <c r="E44" s="130">
        <v>3</v>
      </c>
      <c r="F44" s="130">
        <v>3</v>
      </c>
      <c r="G44" s="126">
        <v>0.1</v>
      </c>
      <c r="H44" s="126">
        <v>0.1</v>
      </c>
      <c r="I44" s="144"/>
      <c r="J44" s="144"/>
      <c r="K44" s="144"/>
      <c r="L44" s="144"/>
      <c r="M44" s="144">
        <v>5</v>
      </c>
      <c r="N44" s="144" t="s">
        <v>1123</v>
      </c>
      <c r="O44" s="144">
        <v>5</v>
      </c>
      <c r="P44" s="144" t="s">
        <v>1123</v>
      </c>
      <c r="Q44" s="206">
        <v>30</v>
      </c>
      <c r="R44" s="145">
        <f t="shared" si="0"/>
        <v>0</v>
      </c>
      <c r="S44" s="146">
        <f t="shared" si="1"/>
        <v>0</v>
      </c>
      <c r="T44" s="146">
        <f t="shared" si="2"/>
        <v>45.000000000000007</v>
      </c>
      <c r="U44" s="146">
        <f t="shared" si="3"/>
        <v>45.000000000000007</v>
      </c>
      <c r="V44" s="145">
        <f t="shared" si="4"/>
        <v>0</v>
      </c>
      <c r="W44" s="146">
        <f t="shared" si="5"/>
        <v>0</v>
      </c>
      <c r="X44" s="146">
        <f t="shared" si="6"/>
        <v>45.000000000000007</v>
      </c>
      <c r="Y44" s="146">
        <f t="shared" si="7"/>
        <v>45.000000000000007</v>
      </c>
      <c r="Z44" s="147" t="e">
        <f t="shared" si="9"/>
        <v>#DIV/0!</v>
      </c>
      <c r="AA44" s="147" t="e">
        <f t="shared" si="9"/>
        <v>#DIV/0!</v>
      </c>
      <c r="AB44" s="147">
        <f t="shared" si="9"/>
        <v>1</v>
      </c>
      <c r="AC44" s="147">
        <f t="shared" si="9"/>
        <v>1</v>
      </c>
    </row>
    <row r="45" spans="1:29" s="96" customFormat="1">
      <c r="A45" s="92">
        <v>32</v>
      </c>
      <c r="B45" s="143" t="s">
        <v>683</v>
      </c>
      <c r="C45" s="130">
        <v>8</v>
      </c>
      <c r="D45" s="130">
        <v>12</v>
      </c>
      <c r="E45" s="130">
        <v>12</v>
      </c>
      <c r="F45" s="130">
        <v>12</v>
      </c>
      <c r="G45" s="126">
        <v>0.25</v>
      </c>
      <c r="H45" s="126">
        <v>0.25</v>
      </c>
      <c r="I45" s="144"/>
      <c r="J45" s="144"/>
      <c r="K45" s="144"/>
      <c r="L45" s="144"/>
      <c r="M45" s="144">
        <v>5</v>
      </c>
      <c r="N45" s="144" t="s">
        <v>1123</v>
      </c>
      <c r="O45" s="144">
        <v>5</v>
      </c>
      <c r="P45" s="144" t="s">
        <v>1123</v>
      </c>
      <c r="Q45" s="206">
        <v>30</v>
      </c>
      <c r="R45" s="145">
        <f t="shared" si="0"/>
        <v>0</v>
      </c>
      <c r="S45" s="146">
        <f t="shared" si="1"/>
        <v>0</v>
      </c>
      <c r="T45" s="146">
        <f t="shared" si="2"/>
        <v>450</v>
      </c>
      <c r="U45" s="146">
        <f t="shared" si="3"/>
        <v>450</v>
      </c>
      <c r="V45" s="145">
        <f t="shared" si="4"/>
        <v>0</v>
      </c>
      <c r="W45" s="146">
        <f t="shared" si="5"/>
        <v>0</v>
      </c>
      <c r="X45" s="146">
        <f t="shared" si="6"/>
        <v>450</v>
      </c>
      <c r="Y45" s="146">
        <f t="shared" si="7"/>
        <v>450</v>
      </c>
      <c r="Z45" s="147" t="e">
        <f t="shared" si="9"/>
        <v>#DIV/0!</v>
      </c>
      <c r="AA45" s="147" t="e">
        <f t="shared" si="9"/>
        <v>#DIV/0!</v>
      </c>
      <c r="AB45" s="147">
        <f t="shared" si="9"/>
        <v>1</v>
      </c>
      <c r="AC45" s="147">
        <f t="shared" si="9"/>
        <v>1</v>
      </c>
    </row>
    <row r="46" spans="1:29" s="96" customFormat="1">
      <c r="A46" s="276" t="s">
        <v>18</v>
      </c>
      <c r="B46" s="442" t="s">
        <v>214</v>
      </c>
      <c r="C46" s="133"/>
      <c r="D46" s="92"/>
      <c r="E46" s="92"/>
      <c r="F46" s="92"/>
      <c r="G46" s="149"/>
      <c r="H46" s="149"/>
      <c r="I46" s="144"/>
      <c r="J46" s="144"/>
      <c r="K46" s="144"/>
      <c r="L46" s="144"/>
      <c r="M46" s="144"/>
      <c r="N46" s="144"/>
      <c r="O46" s="144"/>
      <c r="P46" s="144"/>
      <c r="Q46" s="206"/>
      <c r="R46" s="145">
        <f t="shared" ref="R46:R50" si="10">C46*G46*I46*Q46</f>
        <v>0</v>
      </c>
      <c r="S46" s="146">
        <f t="shared" ref="S46:S50" si="11">D46*G46*K46*Q46</f>
        <v>0</v>
      </c>
      <c r="T46" s="146">
        <f t="shared" ref="T46:T50" si="12">E46*G46*M46*Q46</f>
        <v>0</v>
      </c>
      <c r="U46" s="146">
        <f t="shared" ref="U46:U50" si="13">F46*G46*O46*Q46</f>
        <v>0</v>
      </c>
      <c r="V46" s="145">
        <f t="shared" ref="V46:V50" si="14">C46*H46*I46*Q46</f>
        <v>0</v>
      </c>
      <c r="W46" s="146">
        <f t="shared" ref="W46:W50" si="15">D46*H46*K46*Q46</f>
        <v>0</v>
      </c>
      <c r="X46" s="146">
        <f t="shared" ref="X46:X50" si="16">E46*H46*M46*Q46</f>
        <v>0</v>
      </c>
      <c r="Y46" s="146">
        <f t="shared" ref="Y46:Y50" si="17">F46*H46*O46*Q46</f>
        <v>0</v>
      </c>
      <c r="Z46" s="147" t="e">
        <f t="shared" ref="Z46:Z50" si="18">V46/R46</f>
        <v>#DIV/0!</v>
      </c>
      <c r="AA46" s="147" t="e">
        <f t="shared" ref="AA46:AA50" si="19">W46/S46</f>
        <v>#DIV/0!</v>
      </c>
      <c r="AB46" s="147" t="e">
        <f t="shared" ref="AB46:AB50" si="20">X46/T46</f>
        <v>#DIV/0!</v>
      </c>
      <c r="AC46" s="147" t="e">
        <f t="shared" ref="AC46:AC50" si="21">Y46/U46</f>
        <v>#DIV/0!</v>
      </c>
    </row>
    <row r="47" spans="1:29" s="96" customFormat="1" ht="45">
      <c r="A47" s="92">
        <v>1</v>
      </c>
      <c r="B47" s="143" t="s">
        <v>557</v>
      </c>
      <c r="C47" s="92">
        <v>1</v>
      </c>
      <c r="D47" s="92">
        <v>1</v>
      </c>
      <c r="E47" s="92">
        <v>1</v>
      </c>
      <c r="F47" s="92">
        <v>1</v>
      </c>
      <c r="G47" s="149">
        <v>26</v>
      </c>
      <c r="H47" s="149">
        <v>26</v>
      </c>
      <c r="I47" s="144">
        <v>5</v>
      </c>
      <c r="J47" s="150" t="s">
        <v>1124</v>
      </c>
      <c r="K47" s="144">
        <v>5</v>
      </c>
      <c r="L47" s="150" t="s">
        <v>1124</v>
      </c>
      <c r="M47" s="144">
        <v>5</v>
      </c>
      <c r="N47" s="150" t="s">
        <v>1124</v>
      </c>
      <c r="O47" s="144">
        <v>5</v>
      </c>
      <c r="P47" s="150" t="s">
        <v>1124</v>
      </c>
      <c r="Q47" s="206">
        <v>30</v>
      </c>
      <c r="R47" s="145">
        <f t="shared" si="10"/>
        <v>3900</v>
      </c>
      <c r="S47" s="146">
        <f t="shared" si="11"/>
        <v>3900</v>
      </c>
      <c r="T47" s="146">
        <f t="shared" si="12"/>
        <v>3900</v>
      </c>
      <c r="U47" s="146">
        <f t="shared" si="13"/>
        <v>3900</v>
      </c>
      <c r="V47" s="145">
        <f t="shared" si="14"/>
        <v>3900</v>
      </c>
      <c r="W47" s="146">
        <f t="shared" si="15"/>
        <v>3900</v>
      </c>
      <c r="X47" s="146">
        <f t="shared" si="16"/>
        <v>3900</v>
      </c>
      <c r="Y47" s="146">
        <f t="shared" si="17"/>
        <v>3900</v>
      </c>
      <c r="Z47" s="95">
        <f t="shared" si="18"/>
        <v>1</v>
      </c>
      <c r="AA47" s="95">
        <f t="shared" si="19"/>
        <v>1</v>
      </c>
      <c r="AB47" s="95">
        <f t="shared" si="20"/>
        <v>1</v>
      </c>
      <c r="AC47" s="95">
        <f t="shared" si="21"/>
        <v>1</v>
      </c>
    </row>
    <row r="48" spans="1:29" s="96" customFormat="1">
      <c r="A48" s="92">
        <v>2</v>
      </c>
      <c r="B48" s="143" t="s">
        <v>558</v>
      </c>
      <c r="C48" s="92">
        <v>1</v>
      </c>
      <c r="D48" s="92">
        <v>1</v>
      </c>
      <c r="E48" s="92">
        <v>1</v>
      </c>
      <c r="F48" s="92">
        <v>1</v>
      </c>
      <c r="G48" s="149">
        <v>7.5</v>
      </c>
      <c r="H48" s="149">
        <v>7.5</v>
      </c>
      <c r="I48" s="144">
        <v>5</v>
      </c>
      <c r="J48" s="144" t="s">
        <v>1125</v>
      </c>
      <c r="K48" s="144">
        <v>5</v>
      </c>
      <c r="L48" s="144" t="s">
        <v>1123</v>
      </c>
      <c r="M48" s="144">
        <v>5</v>
      </c>
      <c r="N48" s="144" t="s">
        <v>1123</v>
      </c>
      <c r="O48" s="144">
        <v>5</v>
      </c>
      <c r="P48" s="144" t="s">
        <v>1123</v>
      </c>
      <c r="Q48" s="206">
        <v>30</v>
      </c>
      <c r="R48" s="145">
        <f t="shared" si="10"/>
        <v>1125</v>
      </c>
      <c r="S48" s="146">
        <f t="shared" si="11"/>
        <v>1125</v>
      </c>
      <c r="T48" s="146">
        <f t="shared" si="12"/>
        <v>1125</v>
      </c>
      <c r="U48" s="146">
        <f t="shared" si="13"/>
        <v>1125</v>
      </c>
      <c r="V48" s="145">
        <f t="shared" si="14"/>
        <v>1125</v>
      </c>
      <c r="W48" s="146">
        <f t="shared" si="15"/>
        <v>1125</v>
      </c>
      <c r="X48" s="146">
        <f t="shared" si="16"/>
        <v>1125</v>
      </c>
      <c r="Y48" s="146">
        <f t="shared" si="17"/>
        <v>1125</v>
      </c>
      <c r="Z48" s="95">
        <f t="shared" si="18"/>
        <v>1</v>
      </c>
      <c r="AA48" s="95">
        <f t="shared" si="19"/>
        <v>1</v>
      </c>
      <c r="AB48" s="95">
        <f t="shared" si="20"/>
        <v>1</v>
      </c>
      <c r="AC48" s="95">
        <f t="shared" si="21"/>
        <v>1</v>
      </c>
    </row>
    <row r="49" spans="1:29" s="96" customFormat="1">
      <c r="A49" s="92">
        <v>3</v>
      </c>
      <c r="B49" s="126" t="s">
        <v>280</v>
      </c>
      <c r="C49" s="92">
        <v>1</v>
      </c>
      <c r="D49" s="92">
        <v>1</v>
      </c>
      <c r="E49" s="92">
        <v>1</v>
      </c>
      <c r="F49" s="92">
        <v>1</v>
      </c>
      <c r="G49" s="149">
        <v>11</v>
      </c>
      <c r="H49" s="149">
        <v>11</v>
      </c>
      <c r="I49" s="144">
        <v>8</v>
      </c>
      <c r="J49" s="144" t="s">
        <v>1120</v>
      </c>
      <c r="K49" s="144">
        <v>8</v>
      </c>
      <c r="L49" s="144" t="s">
        <v>1120</v>
      </c>
      <c r="M49" s="144">
        <v>8</v>
      </c>
      <c r="N49" s="144" t="s">
        <v>1120</v>
      </c>
      <c r="O49" s="144">
        <v>8</v>
      </c>
      <c r="P49" s="144" t="s">
        <v>1120</v>
      </c>
      <c r="Q49" s="206">
        <v>30</v>
      </c>
      <c r="R49" s="145">
        <f t="shared" si="10"/>
        <v>2640</v>
      </c>
      <c r="S49" s="146">
        <f t="shared" si="11"/>
        <v>2640</v>
      </c>
      <c r="T49" s="146">
        <f t="shared" si="12"/>
        <v>2640</v>
      </c>
      <c r="U49" s="146">
        <f t="shared" si="13"/>
        <v>2640</v>
      </c>
      <c r="V49" s="145">
        <f t="shared" si="14"/>
        <v>2640</v>
      </c>
      <c r="W49" s="146">
        <f t="shared" si="15"/>
        <v>2640</v>
      </c>
      <c r="X49" s="146">
        <f t="shared" si="16"/>
        <v>2640</v>
      </c>
      <c r="Y49" s="146">
        <f t="shared" si="17"/>
        <v>2640</v>
      </c>
      <c r="Z49" s="95">
        <f t="shared" si="18"/>
        <v>1</v>
      </c>
      <c r="AA49" s="95">
        <f t="shared" si="19"/>
        <v>1</v>
      </c>
      <c r="AB49" s="95">
        <f t="shared" si="20"/>
        <v>1</v>
      </c>
      <c r="AC49" s="95">
        <f t="shared" si="21"/>
        <v>1</v>
      </c>
    </row>
    <row r="50" spans="1:29" s="96" customFormat="1">
      <c r="A50" s="92">
        <v>4</v>
      </c>
      <c r="B50" s="143" t="s">
        <v>559</v>
      </c>
      <c r="C50" s="92">
        <v>1</v>
      </c>
      <c r="D50" s="92">
        <v>1</v>
      </c>
      <c r="E50" s="92">
        <v>1</v>
      </c>
      <c r="F50" s="92">
        <v>1</v>
      </c>
      <c r="G50" s="149">
        <v>15</v>
      </c>
      <c r="H50" s="149">
        <v>15</v>
      </c>
      <c r="I50" s="144"/>
      <c r="J50" s="144"/>
      <c r="K50" s="144"/>
      <c r="L50" s="144"/>
      <c r="M50" s="144"/>
      <c r="N50" s="144"/>
      <c r="O50" s="144"/>
      <c r="P50" s="144"/>
      <c r="Q50" s="206">
        <v>30</v>
      </c>
      <c r="R50" s="145">
        <f t="shared" si="10"/>
        <v>0</v>
      </c>
      <c r="S50" s="146">
        <f t="shared" si="11"/>
        <v>0</v>
      </c>
      <c r="T50" s="146">
        <f t="shared" si="12"/>
        <v>0</v>
      </c>
      <c r="U50" s="146">
        <f t="shared" si="13"/>
        <v>0</v>
      </c>
      <c r="V50" s="145">
        <f t="shared" si="14"/>
        <v>0</v>
      </c>
      <c r="W50" s="146">
        <f t="shared" si="15"/>
        <v>0</v>
      </c>
      <c r="X50" s="146">
        <f t="shared" si="16"/>
        <v>0</v>
      </c>
      <c r="Y50" s="146">
        <f t="shared" si="17"/>
        <v>0</v>
      </c>
      <c r="Z50" s="95" t="e">
        <f t="shared" si="18"/>
        <v>#DIV/0!</v>
      </c>
      <c r="AA50" s="95" t="e">
        <f t="shared" si="19"/>
        <v>#DIV/0!</v>
      </c>
      <c r="AB50" s="95" t="e">
        <f t="shared" si="20"/>
        <v>#DIV/0!</v>
      </c>
      <c r="AC50" s="95" t="e">
        <f t="shared" si="21"/>
        <v>#DIV/0!</v>
      </c>
    </row>
    <row r="51" spans="1:29" s="96" customFormat="1">
      <c r="A51" s="92"/>
      <c r="B51" s="443" t="s">
        <v>321</v>
      </c>
      <c r="C51" s="92"/>
      <c r="D51" s="92"/>
      <c r="E51" s="92"/>
      <c r="F51" s="92"/>
      <c r="G51" s="149"/>
      <c r="H51" s="149"/>
      <c r="I51" s="144"/>
      <c r="J51" s="144"/>
      <c r="K51" s="144"/>
      <c r="L51" s="144"/>
      <c r="M51" s="144"/>
      <c r="N51" s="144"/>
      <c r="O51" s="144"/>
      <c r="P51" s="144"/>
      <c r="Q51" s="206"/>
      <c r="R51" s="145"/>
      <c r="S51" s="146"/>
      <c r="T51" s="146"/>
      <c r="U51" s="146"/>
      <c r="V51" s="145"/>
      <c r="W51" s="146"/>
      <c r="X51" s="146"/>
      <c r="Y51" s="146"/>
      <c r="Z51" s="95"/>
      <c r="AA51" s="95"/>
      <c r="AB51" s="95"/>
      <c r="AC51" s="95"/>
    </row>
    <row r="52" spans="1:29" s="96" customFormat="1">
      <c r="A52" s="92">
        <v>5</v>
      </c>
      <c r="B52" s="143" t="s">
        <v>428</v>
      </c>
      <c r="C52" s="92">
        <v>1</v>
      </c>
      <c r="D52" s="92">
        <v>1</v>
      </c>
      <c r="E52" s="92">
        <v>1</v>
      </c>
      <c r="F52" s="92">
        <v>1</v>
      </c>
      <c r="G52" s="149">
        <v>4</v>
      </c>
      <c r="H52" s="149">
        <v>4</v>
      </c>
      <c r="I52" s="144">
        <v>24</v>
      </c>
      <c r="J52" s="144" t="s">
        <v>996</v>
      </c>
      <c r="K52" s="144">
        <v>24</v>
      </c>
      <c r="L52" s="144" t="s">
        <v>996</v>
      </c>
      <c r="M52" s="144">
        <v>24</v>
      </c>
      <c r="N52" s="144" t="s">
        <v>996</v>
      </c>
      <c r="O52" s="144">
        <v>24</v>
      </c>
      <c r="P52" s="144" t="s">
        <v>996</v>
      </c>
      <c r="Q52" s="206">
        <v>30</v>
      </c>
      <c r="R52" s="145">
        <f>C52*G52*I52*Q52</f>
        <v>2880</v>
      </c>
      <c r="S52" s="146">
        <f>D52*G52*K52*Q52</f>
        <v>2880</v>
      </c>
      <c r="T52" s="146">
        <f>E52*G52*M52*Q52</f>
        <v>2880</v>
      </c>
      <c r="U52" s="146">
        <f>F52*G52*O52*Q52</f>
        <v>2880</v>
      </c>
      <c r="V52" s="145">
        <f>C52*H52*I52*Q52</f>
        <v>2880</v>
      </c>
      <c r="W52" s="146">
        <f>D52*H52*K52*Q52</f>
        <v>2880</v>
      </c>
      <c r="X52" s="146">
        <f>E52*H52*M52*Q52</f>
        <v>2880</v>
      </c>
      <c r="Y52" s="146">
        <f>F52*H52*O52*Q52</f>
        <v>2880</v>
      </c>
      <c r="Z52" s="95">
        <f t="shared" ref="Z52:AC53" si="22">V52/R52</f>
        <v>1</v>
      </c>
      <c r="AA52" s="95">
        <f t="shared" si="22"/>
        <v>1</v>
      </c>
      <c r="AB52" s="95">
        <f t="shared" si="22"/>
        <v>1</v>
      </c>
      <c r="AC52" s="95">
        <f t="shared" si="22"/>
        <v>1</v>
      </c>
    </row>
    <row r="53" spans="1:29" s="96" customFormat="1">
      <c r="A53" s="92">
        <v>6</v>
      </c>
      <c r="B53" s="143" t="s">
        <v>429</v>
      </c>
      <c r="C53" s="92">
        <v>1</v>
      </c>
      <c r="D53" s="92">
        <v>1</v>
      </c>
      <c r="E53" s="92">
        <v>1</v>
      </c>
      <c r="F53" s="92">
        <v>1</v>
      </c>
      <c r="G53" s="149">
        <v>0.26</v>
      </c>
      <c r="H53" s="149">
        <v>0.26</v>
      </c>
      <c r="I53" s="144">
        <v>5</v>
      </c>
      <c r="J53" s="144" t="s">
        <v>1125</v>
      </c>
      <c r="K53" s="144">
        <v>5</v>
      </c>
      <c r="L53" s="144" t="s">
        <v>1123</v>
      </c>
      <c r="M53" s="144">
        <v>5</v>
      </c>
      <c r="N53" s="144" t="s">
        <v>1123</v>
      </c>
      <c r="O53" s="144">
        <v>5</v>
      </c>
      <c r="P53" s="144" t="s">
        <v>1123</v>
      </c>
      <c r="Q53" s="206">
        <v>30</v>
      </c>
      <c r="R53" s="145">
        <f>C53*G53*I53*Q53</f>
        <v>39</v>
      </c>
      <c r="S53" s="146">
        <f>D53*G53*K53*Q53</f>
        <v>39</v>
      </c>
      <c r="T53" s="146">
        <f>E53*G53*M53*Q53</f>
        <v>39</v>
      </c>
      <c r="U53" s="146">
        <f>F53*G53*O53*Q53</f>
        <v>39</v>
      </c>
      <c r="V53" s="145">
        <f>C53*H53*I53*Q53</f>
        <v>39</v>
      </c>
      <c r="W53" s="146">
        <f>D53*H53*K53*Q53</f>
        <v>39</v>
      </c>
      <c r="X53" s="146">
        <f>E53*H53*M53*Q53</f>
        <v>39</v>
      </c>
      <c r="Y53" s="146">
        <f>F53*H53*O53*Q53</f>
        <v>39</v>
      </c>
      <c r="Z53" s="95">
        <f t="shared" si="22"/>
        <v>1</v>
      </c>
      <c r="AA53" s="95">
        <f t="shared" si="22"/>
        <v>1</v>
      </c>
      <c r="AB53" s="95">
        <f t="shared" si="22"/>
        <v>1</v>
      </c>
      <c r="AC53" s="95">
        <f t="shared" si="22"/>
        <v>1</v>
      </c>
    </row>
    <row r="54" spans="1:29" s="96" customFormat="1">
      <c r="A54" s="92">
        <v>7</v>
      </c>
      <c r="B54" s="143" t="s">
        <v>684</v>
      </c>
      <c r="C54" s="130">
        <v>1</v>
      </c>
      <c r="D54" s="130">
        <v>1</v>
      </c>
      <c r="E54" s="130">
        <v>1</v>
      </c>
      <c r="F54" s="130">
        <v>1</v>
      </c>
      <c r="G54" s="148">
        <v>0.25</v>
      </c>
      <c r="H54" s="148">
        <v>0.25</v>
      </c>
      <c r="I54" s="144">
        <v>5</v>
      </c>
      <c r="J54" s="144" t="s">
        <v>1125</v>
      </c>
      <c r="K54" s="144">
        <v>5</v>
      </c>
      <c r="L54" s="144" t="s">
        <v>1123</v>
      </c>
      <c r="M54" s="144">
        <v>5</v>
      </c>
      <c r="N54" s="144" t="s">
        <v>1123</v>
      </c>
      <c r="O54" s="144">
        <v>5</v>
      </c>
      <c r="P54" s="144" t="s">
        <v>1123</v>
      </c>
      <c r="Q54" s="206">
        <v>30</v>
      </c>
      <c r="R54" s="145"/>
      <c r="S54" s="146"/>
      <c r="T54" s="146"/>
      <c r="U54" s="146"/>
      <c r="V54" s="145"/>
      <c r="W54" s="146"/>
      <c r="X54" s="146"/>
      <c r="Y54" s="146"/>
      <c r="Z54" s="95"/>
      <c r="AA54" s="95"/>
      <c r="AB54" s="95"/>
      <c r="AC54" s="95"/>
    </row>
    <row r="55" spans="1:29" s="96" customFormat="1">
      <c r="A55" s="92">
        <v>8</v>
      </c>
      <c r="B55" s="143" t="s">
        <v>685</v>
      </c>
      <c r="C55" s="130">
        <v>1</v>
      </c>
      <c r="D55" s="130">
        <v>1</v>
      </c>
      <c r="E55" s="130">
        <v>1</v>
      </c>
      <c r="F55" s="130">
        <v>1</v>
      </c>
      <c r="G55" s="148">
        <v>0.25</v>
      </c>
      <c r="H55" s="148">
        <v>0.25</v>
      </c>
      <c r="I55" s="144">
        <v>5</v>
      </c>
      <c r="J55" s="144" t="s">
        <v>1125</v>
      </c>
      <c r="K55" s="144">
        <v>5</v>
      </c>
      <c r="L55" s="144" t="s">
        <v>1123</v>
      </c>
      <c r="M55" s="144">
        <v>5</v>
      </c>
      <c r="N55" s="144" t="s">
        <v>1123</v>
      </c>
      <c r="O55" s="144">
        <v>5</v>
      </c>
      <c r="P55" s="144" t="s">
        <v>1123</v>
      </c>
      <c r="Q55" s="206">
        <v>30</v>
      </c>
      <c r="R55" s="145"/>
      <c r="S55" s="146"/>
      <c r="T55" s="146"/>
      <c r="U55" s="146"/>
      <c r="V55" s="145"/>
      <c r="W55" s="146"/>
      <c r="X55" s="146"/>
      <c r="Y55" s="146"/>
      <c r="Z55" s="95"/>
      <c r="AA55" s="95"/>
      <c r="AB55" s="95"/>
      <c r="AC55" s="95"/>
    </row>
    <row r="56" spans="1:29" s="96" customFormat="1">
      <c r="A56" s="92">
        <v>9</v>
      </c>
      <c r="B56" s="143" t="s">
        <v>686</v>
      </c>
      <c r="C56" s="130">
        <v>1</v>
      </c>
      <c r="D56" s="130">
        <v>1</v>
      </c>
      <c r="E56" s="130">
        <v>1</v>
      </c>
      <c r="F56" s="130">
        <v>1</v>
      </c>
      <c r="G56" s="148">
        <v>0.25</v>
      </c>
      <c r="H56" s="148">
        <v>0.25</v>
      </c>
      <c r="I56" s="144">
        <v>5</v>
      </c>
      <c r="J56" s="144" t="s">
        <v>1125</v>
      </c>
      <c r="K56" s="144">
        <v>5</v>
      </c>
      <c r="L56" s="144" t="s">
        <v>1123</v>
      </c>
      <c r="M56" s="144">
        <v>5</v>
      </c>
      <c r="N56" s="144" t="s">
        <v>1123</v>
      </c>
      <c r="O56" s="144">
        <v>5</v>
      </c>
      <c r="P56" s="144" t="s">
        <v>1123</v>
      </c>
      <c r="Q56" s="206">
        <v>30</v>
      </c>
      <c r="R56" s="145"/>
      <c r="S56" s="146"/>
      <c r="T56" s="146"/>
      <c r="U56" s="146"/>
      <c r="V56" s="145"/>
      <c r="W56" s="146"/>
      <c r="X56" s="146"/>
      <c r="Y56" s="146"/>
      <c r="Z56" s="95"/>
      <c r="AA56" s="95"/>
      <c r="AB56" s="95"/>
      <c r="AC56" s="95"/>
    </row>
    <row r="57" spans="1:29" s="96" customFormat="1">
      <c r="A57" s="92">
        <v>10</v>
      </c>
      <c r="B57" s="143" t="s">
        <v>687</v>
      </c>
      <c r="C57" s="130">
        <v>1</v>
      </c>
      <c r="D57" s="130">
        <v>1</v>
      </c>
      <c r="E57" s="130">
        <v>1</v>
      </c>
      <c r="F57" s="130">
        <v>1</v>
      </c>
      <c r="G57" s="148">
        <v>0.25</v>
      </c>
      <c r="H57" s="148">
        <v>0.25</v>
      </c>
      <c r="I57" s="144">
        <v>5</v>
      </c>
      <c r="J57" s="144" t="s">
        <v>1125</v>
      </c>
      <c r="K57" s="144">
        <v>5</v>
      </c>
      <c r="L57" s="144" t="s">
        <v>1123</v>
      </c>
      <c r="M57" s="144">
        <v>5</v>
      </c>
      <c r="N57" s="144" t="s">
        <v>1123</v>
      </c>
      <c r="O57" s="144">
        <v>5</v>
      </c>
      <c r="P57" s="144" t="s">
        <v>1123</v>
      </c>
      <c r="Q57" s="206">
        <v>30</v>
      </c>
      <c r="R57" s="145"/>
      <c r="S57" s="146"/>
      <c r="T57" s="146"/>
      <c r="U57" s="146"/>
      <c r="V57" s="145"/>
      <c r="W57" s="146"/>
      <c r="X57" s="146"/>
      <c r="Y57" s="146"/>
      <c r="Z57" s="95"/>
      <c r="AA57" s="95"/>
      <c r="AB57" s="95"/>
      <c r="AC57" s="95"/>
    </row>
    <row r="58" spans="1:29" s="96" customFormat="1">
      <c r="A58" s="92">
        <v>11</v>
      </c>
      <c r="B58" s="143" t="s">
        <v>431</v>
      </c>
      <c r="C58" s="92">
        <v>1</v>
      </c>
      <c r="D58" s="92">
        <v>1</v>
      </c>
      <c r="E58" s="92">
        <v>1</v>
      </c>
      <c r="F58" s="92">
        <v>1</v>
      </c>
      <c r="G58" s="149">
        <v>5</v>
      </c>
      <c r="H58" s="149">
        <v>5</v>
      </c>
      <c r="I58" s="144">
        <v>5</v>
      </c>
      <c r="J58" s="144" t="s">
        <v>1125</v>
      </c>
      <c r="K58" s="144">
        <v>5</v>
      </c>
      <c r="L58" s="144" t="s">
        <v>1123</v>
      </c>
      <c r="M58" s="144">
        <v>5</v>
      </c>
      <c r="N58" s="144" t="s">
        <v>1123</v>
      </c>
      <c r="O58" s="144">
        <v>5</v>
      </c>
      <c r="P58" s="144" t="s">
        <v>1123</v>
      </c>
      <c r="Q58" s="206">
        <v>30</v>
      </c>
      <c r="R58" s="145">
        <f>C58*G58*I58*Q58</f>
        <v>750</v>
      </c>
      <c r="S58" s="146">
        <f>D58*G58*K58*Q58</f>
        <v>750</v>
      </c>
      <c r="T58" s="146">
        <f>E58*G58*M58*Q58</f>
        <v>750</v>
      </c>
      <c r="U58" s="146">
        <f>F58*G58*O58*Q58</f>
        <v>750</v>
      </c>
      <c r="V58" s="145">
        <f>C58*H58*I58*Q58</f>
        <v>750</v>
      </c>
      <c r="W58" s="146">
        <f>D58*H58*K58*Q58</f>
        <v>750</v>
      </c>
      <c r="X58" s="146">
        <f>E58*H58*M58*Q58</f>
        <v>750</v>
      </c>
      <c r="Y58" s="146">
        <f>F58*H58*O58*Q58</f>
        <v>750</v>
      </c>
      <c r="Z58" s="95">
        <f t="shared" ref="Z58:AC62" si="23">V58/R58</f>
        <v>1</v>
      </c>
      <c r="AA58" s="95">
        <f t="shared" si="23"/>
        <v>1</v>
      </c>
      <c r="AB58" s="95">
        <f t="shared" si="23"/>
        <v>1</v>
      </c>
      <c r="AC58" s="95">
        <f t="shared" si="23"/>
        <v>1</v>
      </c>
    </row>
    <row r="59" spans="1:29" s="96" customFormat="1">
      <c r="A59" s="92">
        <v>12</v>
      </c>
      <c r="B59" s="143" t="s">
        <v>443</v>
      </c>
      <c r="C59" s="92">
        <v>1</v>
      </c>
      <c r="D59" s="92">
        <v>1</v>
      </c>
      <c r="E59" s="92">
        <v>1</v>
      </c>
      <c r="F59" s="92">
        <v>1</v>
      </c>
      <c r="G59" s="149">
        <v>4</v>
      </c>
      <c r="H59" s="149">
        <v>4</v>
      </c>
      <c r="I59" s="144">
        <v>24</v>
      </c>
      <c r="J59" s="144" t="s">
        <v>996</v>
      </c>
      <c r="K59" s="144">
        <v>24</v>
      </c>
      <c r="L59" s="144" t="s">
        <v>996</v>
      </c>
      <c r="M59" s="144">
        <v>24</v>
      </c>
      <c r="N59" s="144" t="s">
        <v>996</v>
      </c>
      <c r="O59" s="144">
        <v>24</v>
      </c>
      <c r="P59" s="144" t="s">
        <v>996</v>
      </c>
      <c r="Q59" s="206">
        <v>30</v>
      </c>
      <c r="R59" s="145">
        <f>C59*G59*I59*Q59</f>
        <v>2880</v>
      </c>
      <c r="S59" s="146">
        <f>D59*G59*K59*Q59</f>
        <v>2880</v>
      </c>
      <c r="T59" s="146">
        <f>E59*G59*M59*Q59</f>
        <v>2880</v>
      </c>
      <c r="U59" s="146">
        <f>F59*G59*O59*Q59</f>
        <v>2880</v>
      </c>
      <c r="V59" s="145">
        <f>C59*H59*I59*Q59</f>
        <v>2880</v>
      </c>
      <c r="W59" s="146">
        <f>D59*H59*K59*Q59</f>
        <v>2880</v>
      </c>
      <c r="X59" s="146">
        <f>E59*H59*M59*Q59</f>
        <v>2880</v>
      </c>
      <c r="Y59" s="146">
        <f>F59*H59*O59*Q59</f>
        <v>2880</v>
      </c>
      <c r="Z59" s="95">
        <f t="shared" si="23"/>
        <v>1</v>
      </c>
      <c r="AA59" s="95">
        <f t="shared" si="23"/>
        <v>1</v>
      </c>
      <c r="AB59" s="95">
        <f t="shared" si="23"/>
        <v>1</v>
      </c>
      <c r="AC59" s="95">
        <f t="shared" si="23"/>
        <v>1</v>
      </c>
    </row>
    <row r="60" spans="1:29" s="96" customFormat="1">
      <c r="A60" s="92">
        <v>13</v>
      </c>
      <c r="B60" s="143" t="s">
        <v>423</v>
      </c>
      <c r="C60" s="92">
        <v>2</v>
      </c>
      <c r="D60" s="92">
        <v>2</v>
      </c>
      <c r="E60" s="92">
        <v>2</v>
      </c>
      <c r="F60" s="92">
        <v>2</v>
      </c>
      <c r="G60" s="148">
        <v>3.6</v>
      </c>
      <c r="H60" s="148">
        <v>3.6</v>
      </c>
      <c r="I60" s="144">
        <v>24</v>
      </c>
      <c r="J60" s="144" t="s">
        <v>996</v>
      </c>
      <c r="K60" s="144">
        <v>24</v>
      </c>
      <c r="L60" s="144" t="s">
        <v>996</v>
      </c>
      <c r="M60" s="144">
        <v>24</v>
      </c>
      <c r="N60" s="144" t="s">
        <v>996</v>
      </c>
      <c r="O60" s="144">
        <v>24</v>
      </c>
      <c r="P60" s="144" t="s">
        <v>996</v>
      </c>
      <c r="Q60" s="206">
        <v>30</v>
      </c>
      <c r="R60" s="145">
        <f>C60*G60*I60*Q60</f>
        <v>5184</v>
      </c>
      <c r="S60" s="146">
        <f>D60*G60*K60*Q60</f>
        <v>5184</v>
      </c>
      <c r="T60" s="146">
        <f>E60*G60*M60*Q60</f>
        <v>5184</v>
      </c>
      <c r="U60" s="146">
        <f>F60*G60*O60*Q60</f>
        <v>5184</v>
      </c>
      <c r="V60" s="145">
        <f>C60*H60*I60*Q60</f>
        <v>5184</v>
      </c>
      <c r="W60" s="146">
        <f>D60*H60*K60*Q60</f>
        <v>5184</v>
      </c>
      <c r="X60" s="146">
        <f>E60*H60*M60*Q60</f>
        <v>5184</v>
      </c>
      <c r="Y60" s="146">
        <f>F60*H60*O60*Q60</f>
        <v>5184</v>
      </c>
      <c r="Z60" s="95">
        <f t="shared" si="23"/>
        <v>1</v>
      </c>
      <c r="AA60" s="95">
        <f t="shared" si="23"/>
        <v>1</v>
      </c>
      <c r="AB60" s="95">
        <f t="shared" si="23"/>
        <v>1</v>
      </c>
      <c r="AC60" s="95">
        <f t="shared" si="23"/>
        <v>1</v>
      </c>
    </row>
    <row r="61" spans="1:29" s="96" customFormat="1">
      <c r="A61" s="92">
        <v>14</v>
      </c>
      <c r="B61" s="143" t="s">
        <v>433</v>
      </c>
      <c r="C61" s="92">
        <v>1</v>
      </c>
      <c r="D61" s="92">
        <v>1</v>
      </c>
      <c r="E61" s="92">
        <v>1</v>
      </c>
      <c r="F61" s="92">
        <v>1</v>
      </c>
      <c r="G61" s="148">
        <v>8.6999999999999993</v>
      </c>
      <c r="H61" s="148">
        <v>8.6999999999999993</v>
      </c>
      <c r="I61" s="144">
        <v>5</v>
      </c>
      <c r="J61" s="144" t="s">
        <v>1125</v>
      </c>
      <c r="K61" s="144">
        <v>5</v>
      </c>
      <c r="L61" s="144" t="s">
        <v>1123</v>
      </c>
      <c r="M61" s="144">
        <v>5</v>
      </c>
      <c r="N61" s="144" t="s">
        <v>1123</v>
      </c>
      <c r="O61" s="144">
        <v>5</v>
      </c>
      <c r="P61" s="144" t="s">
        <v>1123</v>
      </c>
      <c r="Q61" s="206">
        <v>30</v>
      </c>
      <c r="R61" s="145">
        <f>C61*G61*I61*Q61</f>
        <v>1305</v>
      </c>
      <c r="S61" s="146">
        <f>D61*G61*K61*Q61</f>
        <v>1305</v>
      </c>
      <c r="T61" s="146">
        <f>E61*G61*M61*Q61</f>
        <v>1305</v>
      </c>
      <c r="U61" s="146">
        <f>F61*G61*O61*Q61</f>
        <v>1305</v>
      </c>
      <c r="V61" s="145">
        <f>C61*H61*I61*Q61</f>
        <v>1305</v>
      </c>
      <c r="W61" s="146">
        <f>D61*H61*K61*Q61</f>
        <v>1305</v>
      </c>
      <c r="X61" s="146">
        <f>E61*H61*M61*Q61</f>
        <v>1305</v>
      </c>
      <c r="Y61" s="146">
        <f>F61*H61*O61*Q61</f>
        <v>1305</v>
      </c>
      <c r="Z61" s="95">
        <f t="shared" si="23"/>
        <v>1</v>
      </c>
      <c r="AA61" s="95">
        <f t="shared" si="23"/>
        <v>1</v>
      </c>
      <c r="AB61" s="95">
        <f t="shared" si="23"/>
        <v>1</v>
      </c>
      <c r="AC61" s="95">
        <f t="shared" si="23"/>
        <v>1</v>
      </c>
    </row>
    <row r="62" spans="1:29" s="96" customFormat="1">
      <c r="A62" s="92">
        <v>15</v>
      </c>
      <c r="B62" s="143" t="s">
        <v>432</v>
      </c>
      <c r="C62" s="92">
        <v>1</v>
      </c>
      <c r="D62" s="92">
        <v>1</v>
      </c>
      <c r="E62" s="92">
        <v>1</v>
      </c>
      <c r="F62" s="92">
        <v>1</v>
      </c>
      <c r="G62" s="148">
        <v>14.7</v>
      </c>
      <c r="H62" s="148">
        <v>14.7</v>
      </c>
      <c r="I62" s="144">
        <v>5</v>
      </c>
      <c r="J62" s="144" t="s">
        <v>1125</v>
      </c>
      <c r="K62" s="144">
        <v>5</v>
      </c>
      <c r="L62" s="144" t="s">
        <v>1123</v>
      </c>
      <c r="M62" s="144">
        <v>5</v>
      </c>
      <c r="N62" s="144" t="s">
        <v>1123</v>
      </c>
      <c r="O62" s="144">
        <v>5</v>
      </c>
      <c r="P62" s="144" t="s">
        <v>1123</v>
      </c>
      <c r="Q62" s="206">
        <v>30</v>
      </c>
      <c r="R62" s="145">
        <f>C62*G62*I62*Q62</f>
        <v>2205</v>
      </c>
      <c r="S62" s="146">
        <f>D62*G62*K62*Q62</f>
        <v>2205</v>
      </c>
      <c r="T62" s="146">
        <f>E62*G62*M62*Q62</f>
        <v>2205</v>
      </c>
      <c r="U62" s="146">
        <f>F62*G62*O62*Q62</f>
        <v>2205</v>
      </c>
      <c r="V62" s="145">
        <f>C62*H62*I62*Q62</f>
        <v>2205</v>
      </c>
      <c r="W62" s="146">
        <f>D62*H62*K62*Q62</f>
        <v>2205</v>
      </c>
      <c r="X62" s="146">
        <f>E62*H62*M62*Q62</f>
        <v>2205</v>
      </c>
      <c r="Y62" s="146">
        <f>F62*H62*O62*Q62</f>
        <v>2205</v>
      </c>
      <c r="Z62" s="95">
        <f t="shared" si="23"/>
        <v>1</v>
      </c>
      <c r="AA62" s="95">
        <f t="shared" si="23"/>
        <v>1</v>
      </c>
      <c r="AB62" s="95">
        <f t="shared" si="23"/>
        <v>1</v>
      </c>
      <c r="AC62" s="95">
        <f t="shared" si="23"/>
        <v>1</v>
      </c>
    </row>
    <row r="63" spans="1:29" s="96" customFormat="1">
      <c r="A63" s="92">
        <v>16</v>
      </c>
      <c r="B63" s="143" t="s">
        <v>688</v>
      </c>
      <c r="C63" s="92">
        <v>1</v>
      </c>
      <c r="D63" s="92">
        <v>1</v>
      </c>
      <c r="E63" s="92">
        <v>1</v>
      </c>
      <c r="F63" s="92">
        <v>1</v>
      </c>
      <c r="G63" s="148">
        <v>4</v>
      </c>
      <c r="H63" s="148">
        <v>4</v>
      </c>
      <c r="I63" s="144">
        <v>5</v>
      </c>
      <c r="J63" s="144" t="s">
        <v>1125</v>
      </c>
      <c r="K63" s="144">
        <v>5</v>
      </c>
      <c r="L63" s="144" t="s">
        <v>1123</v>
      </c>
      <c r="M63" s="144">
        <v>5</v>
      </c>
      <c r="N63" s="144" t="s">
        <v>1123</v>
      </c>
      <c r="O63" s="144">
        <v>5</v>
      </c>
      <c r="P63" s="144" t="s">
        <v>1123</v>
      </c>
      <c r="Q63" s="206">
        <v>30</v>
      </c>
      <c r="R63" s="145"/>
      <c r="S63" s="146"/>
      <c r="T63" s="146"/>
      <c r="U63" s="146"/>
      <c r="V63" s="145"/>
      <c r="W63" s="146"/>
      <c r="X63" s="146"/>
      <c r="Y63" s="146"/>
      <c r="Z63" s="95"/>
      <c r="AA63" s="95"/>
      <c r="AB63" s="95"/>
      <c r="AC63" s="95"/>
    </row>
    <row r="64" spans="1:29" s="96" customFormat="1">
      <c r="A64" s="92">
        <v>17</v>
      </c>
      <c r="B64" s="143" t="s">
        <v>436</v>
      </c>
      <c r="C64" s="92">
        <v>1</v>
      </c>
      <c r="D64" s="92">
        <v>1</v>
      </c>
      <c r="E64" s="92">
        <v>1</v>
      </c>
      <c r="F64" s="92">
        <v>1</v>
      </c>
      <c r="G64" s="148">
        <v>0.13</v>
      </c>
      <c r="H64" s="148">
        <v>0.13</v>
      </c>
      <c r="I64" s="144">
        <v>24</v>
      </c>
      <c r="J64" s="144" t="s">
        <v>996</v>
      </c>
      <c r="K64" s="144">
        <v>24</v>
      </c>
      <c r="L64" s="144" t="s">
        <v>996</v>
      </c>
      <c r="M64" s="144">
        <v>24</v>
      </c>
      <c r="N64" s="144" t="s">
        <v>996</v>
      </c>
      <c r="O64" s="144">
        <v>24</v>
      </c>
      <c r="P64" s="144" t="s">
        <v>996</v>
      </c>
      <c r="Q64" s="206">
        <v>30</v>
      </c>
      <c r="R64" s="145">
        <f t="shared" ref="R64:R71" si="24">C64*G64*I64*Q64</f>
        <v>93.600000000000009</v>
      </c>
      <c r="S64" s="146">
        <f t="shared" ref="S64:S71" si="25">D64*G64*K64*Q64</f>
        <v>93.600000000000009</v>
      </c>
      <c r="T64" s="146">
        <f t="shared" ref="T64:T71" si="26">E64*G64*M64*Q64</f>
        <v>93.600000000000009</v>
      </c>
      <c r="U64" s="146">
        <f t="shared" ref="U64:U71" si="27">F64*G64*O64*Q64</f>
        <v>93.600000000000009</v>
      </c>
      <c r="V64" s="145">
        <f t="shared" ref="V64:V71" si="28">C64*H64*I64*Q64</f>
        <v>93.600000000000009</v>
      </c>
      <c r="W64" s="146">
        <f t="shared" ref="W64:W71" si="29">D64*H64*K64*Q64</f>
        <v>93.600000000000009</v>
      </c>
      <c r="X64" s="146">
        <f t="shared" ref="X64:X71" si="30">E64*H64*M64*Q64</f>
        <v>93.600000000000009</v>
      </c>
      <c r="Y64" s="146">
        <f t="shared" ref="Y64:Y71" si="31">F64*H64*O64*Q64</f>
        <v>93.600000000000009</v>
      </c>
      <c r="Z64" s="95">
        <f t="shared" ref="Z64:AC71" si="32">V64/R64</f>
        <v>1</v>
      </c>
      <c r="AA64" s="95">
        <f t="shared" si="32"/>
        <v>1</v>
      </c>
      <c r="AB64" s="95">
        <f t="shared" si="32"/>
        <v>1</v>
      </c>
      <c r="AC64" s="95">
        <f t="shared" si="32"/>
        <v>1</v>
      </c>
    </row>
    <row r="65" spans="1:29" s="96" customFormat="1">
      <c r="A65" s="92">
        <v>18</v>
      </c>
      <c r="B65" s="143" t="s">
        <v>437</v>
      </c>
      <c r="C65" s="92">
        <v>1</v>
      </c>
      <c r="D65" s="92">
        <v>1</v>
      </c>
      <c r="E65" s="92">
        <v>1</v>
      </c>
      <c r="F65" s="92">
        <v>1</v>
      </c>
      <c r="G65" s="148">
        <v>0.13</v>
      </c>
      <c r="H65" s="148">
        <v>0.13</v>
      </c>
      <c r="I65" s="144">
        <v>24</v>
      </c>
      <c r="J65" s="144" t="s">
        <v>996</v>
      </c>
      <c r="K65" s="144">
        <v>24</v>
      </c>
      <c r="L65" s="144" t="s">
        <v>996</v>
      </c>
      <c r="M65" s="144">
        <v>24</v>
      </c>
      <c r="N65" s="144" t="s">
        <v>996</v>
      </c>
      <c r="O65" s="144">
        <v>24</v>
      </c>
      <c r="P65" s="144" t="s">
        <v>996</v>
      </c>
      <c r="Q65" s="206">
        <v>30</v>
      </c>
      <c r="R65" s="145">
        <f t="shared" si="24"/>
        <v>93.600000000000009</v>
      </c>
      <c r="S65" s="146">
        <f t="shared" si="25"/>
        <v>93.600000000000009</v>
      </c>
      <c r="T65" s="146">
        <f t="shared" si="26"/>
        <v>93.600000000000009</v>
      </c>
      <c r="U65" s="146">
        <f t="shared" si="27"/>
        <v>93.600000000000009</v>
      </c>
      <c r="V65" s="145">
        <f t="shared" si="28"/>
        <v>93.600000000000009</v>
      </c>
      <c r="W65" s="146">
        <f t="shared" si="29"/>
        <v>93.600000000000009</v>
      </c>
      <c r="X65" s="146">
        <f t="shared" si="30"/>
        <v>93.600000000000009</v>
      </c>
      <c r="Y65" s="146">
        <f t="shared" si="31"/>
        <v>93.600000000000009</v>
      </c>
      <c r="Z65" s="95">
        <f t="shared" si="32"/>
        <v>1</v>
      </c>
      <c r="AA65" s="95">
        <f t="shared" si="32"/>
        <v>1</v>
      </c>
      <c r="AB65" s="95">
        <f t="shared" si="32"/>
        <v>1</v>
      </c>
      <c r="AC65" s="95">
        <f t="shared" si="32"/>
        <v>1</v>
      </c>
    </row>
    <row r="66" spans="1:29" s="96" customFormat="1">
      <c r="A66" s="92">
        <v>19</v>
      </c>
      <c r="B66" s="143" t="s">
        <v>438</v>
      </c>
      <c r="C66" s="92">
        <v>1</v>
      </c>
      <c r="D66" s="92">
        <v>1</v>
      </c>
      <c r="E66" s="92">
        <v>1</v>
      </c>
      <c r="F66" s="92">
        <v>1</v>
      </c>
      <c r="G66" s="148">
        <v>0.13</v>
      </c>
      <c r="H66" s="148">
        <v>0.13</v>
      </c>
      <c r="I66" s="144">
        <v>24</v>
      </c>
      <c r="J66" s="144" t="s">
        <v>996</v>
      </c>
      <c r="K66" s="144">
        <v>24</v>
      </c>
      <c r="L66" s="144" t="s">
        <v>996</v>
      </c>
      <c r="M66" s="144">
        <v>24</v>
      </c>
      <c r="N66" s="144" t="s">
        <v>996</v>
      </c>
      <c r="O66" s="144">
        <v>24</v>
      </c>
      <c r="P66" s="144" t="s">
        <v>996</v>
      </c>
      <c r="Q66" s="206">
        <v>30</v>
      </c>
      <c r="R66" s="145">
        <f t="shared" si="24"/>
        <v>93.600000000000009</v>
      </c>
      <c r="S66" s="146">
        <f t="shared" si="25"/>
        <v>93.600000000000009</v>
      </c>
      <c r="T66" s="146">
        <f t="shared" si="26"/>
        <v>93.600000000000009</v>
      </c>
      <c r="U66" s="146">
        <f t="shared" si="27"/>
        <v>93.600000000000009</v>
      </c>
      <c r="V66" s="145">
        <f t="shared" si="28"/>
        <v>93.600000000000009</v>
      </c>
      <c r="W66" s="146">
        <f t="shared" si="29"/>
        <v>93.600000000000009</v>
      </c>
      <c r="X66" s="146">
        <f t="shared" si="30"/>
        <v>93.600000000000009</v>
      </c>
      <c r="Y66" s="146">
        <f t="shared" si="31"/>
        <v>93.600000000000009</v>
      </c>
      <c r="Z66" s="95">
        <f t="shared" si="32"/>
        <v>1</v>
      </c>
      <c r="AA66" s="95">
        <f t="shared" si="32"/>
        <v>1</v>
      </c>
      <c r="AB66" s="95">
        <f t="shared" si="32"/>
        <v>1</v>
      </c>
      <c r="AC66" s="95">
        <f t="shared" si="32"/>
        <v>1</v>
      </c>
    </row>
    <row r="67" spans="1:29" s="96" customFormat="1">
      <c r="A67" s="92">
        <v>20</v>
      </c>
      <c r="B67" s="143" t="s">
        <v>439</v>
      </c>
      <c r="C67" s="92">
        <v>1</v>
      </c>
      <c r="D67" s="92">
        <v>1</v>
      </c>
      <c r="E67" s="92">
        <v>1</v>
      </c>
      <c r="F67" s="92">
        <v>1</v>
      </c>
      <c r="G67" s="148">
        <v>0.35</v>
      </c>
      <c r="H67" s="148">
        <v>0.35</v>
      </c>
      <c r="I67" s="144">
        <v>24</v>
      </c>
      <c r="J67" s="144" t="s">
        <v>996</v>
      </c>
      <c r="K67" s="144">
        <v>24</v>
      </c>
      <c r="L67" s="144" t="s">
        <v>996</v>
      </c>
      <c r="M67" s="144">
        <v>24</v>
      </c>
      <c r="N67" s="144" t="s">
        <v>996</v>
      </c>
      <c r="O67" s="144">
        <v>24</v>
      </c>
      <c r="P67" s="144" t="s">
        <v>996</v>
      </c>
      <c r="Q67" s="206">
        <v>30</v>
      </c>
      <c r="R67" s="145">
        <f t="shared" si="24"/>
        <v>251.99999999999994</v>
      </c>
      <c r="S67" s="146">
        <f t="shared" si="25"/>
        <v>251.99999999999994</v>
      </c>
      <c r="T67" s="146">
        <f t="shared" si="26"/>
        <v>251.99999999999994</v>
      </c>
      <c r="U67" s="146">
        <f t="shared" si="27"/>
        <v>251.99999999999994</v>
      </c>
      <c r="V67" s="145">
        <f t="shared" si="28"/>
        <v>251.99999999999994</v>
      </c>
      <c r="W67" s="146">
        <f t="shared" si="29"/>
        <v>251.99999999999994</v>
      </c>
      <c r="X67" s="146">
        <f t="shared" si="30"/>
        <v>251.99999999999994</v>
      </c>
      <c r="Y67" s="146">
        <f t="shared" si="31"/>
        <v>251.99999999999994</v>
      </c>
      <c r="Z67" s="95">
        <f t="shared" si="32"/>
        <v>1</v>
      </c>
      <c r="AA67" s="95">
        <f t="shared" si="32"/>
        <v>1</v>
      </c>
      <c r="AB67" s="95">
        <f t="shared" si="32"/>
        <v>1</v>
      </c>
      <c r="AC67" s="95">
        <f t="shared" si="32"/>
        <v>1</v>
      </c>
    </row>
    <row r="68" spans="1:29" s="96" customFormat="1">
      <c r="A68" s="92">
        <v>21</v>
      </c>
      <c r="B68" s="143" t="s">
        <v>440</v>
      </c>
      <c r="C68" s="92">
        <v>1</v>
      </c>
      <c r="D68" s="92">
        <v>1</v>
      </c>
      <c r="E68" s="92">
        <v>1</v>
      </c>
      <c r="F68" s="92">
        <v>1</v>
      </c>
      <c r="G68" s="148">
        <v>0.35</v>
      </c>
      <c r="H68" s="148">
        <v>0.35</v>
      </c>
      <c r="I68" s="144">
        <v>24</v>
      </c>
      <c r="J68" s="144" t="s">
        <v>996</v>
      </c>
      <c r="K68" s="144">
        <v>24</v>
      </c>
      <c r="L68" s="144" t="s">
        <v>996</v>
      </c>
      <c r="M68" s="144">
        <v>24</v>
      </c>
      <c r="N68" s="144" t="s">
        <v>996</v>
      </c>
      <c r="O68" s="144">
        <v>24</v>
      </c>
      <c r="P68" s="144" t="s">
        <v>996</v>
      </c>
      <c r="Q68" s="206">
        <v>30</v>
      </c>
      <c r="R68" s="145">
        <f t="shared" si="24"/>
        <v>251.99999999999994</v>
      </c>
      <c r="S68" s="146">
        <f t="shared" si="25"/>
        <v>251.99999999999994</v>
      </c>
      <c r="T68" s="146">
        <f t="shared" si="26"/>
        <v>251.99999999999994</v>
      </c>
      <c r="U68" s="146">
        <f t="shared" si="27"/>
        <v>251.99999999999994</v>
      </c>
      <c r="V68" s="145">
        <f t="shared" si="28"/>
        <v>251.99999999999994</v>
      </c>
      <c r="W68" s="146">
        <f t="shared" si="29"/>
        <v>251.99999999999994</v>
      </c>
      <c r="X68" s="146">
        <f t="shared" si="30"/>
        <v>251.99999999999994</v>
      </c>
      <c r="Y68" s="146">
        <f t="shared" si="31"/>
        <v>251.99999999999994</v>
      </c>
      <c r="Z68" s="95">
        <f t="shared" si="32"/>
        <v>1</v>
      </c>
      <c r="AA68" s="95">
        <f t="shared" si="32"/>
        <v>1</v>
      </c>
      <c r="AB68" s="95">
        <f t="shared" si="32"/>
        <v>1</v>
      </c>
      <c r="AC68" s="95">
        <f t="shared" si="32"/>
        <v>1</v>
      </c>
    </row>
    <row r="69" spans="1:29" s="96" customFormat="1">
      <c r="A69" s="92">
        <v>22</v>
      </c>
      <c r="B69" s="143" t="s">
        <v>441</v>
      </c>
      <c r="C69" s="92">
        <v>1</v>
      </c>
      <c r="D69" s="92">
        <v>1</v>
      </c>
      <c r="E69" s="92">
        <v>1</v>
      </c>
      <c r="F69" s="92">
        <v>1</v>
      </c>
      <c r="G69" s="148">
        <v>0.35</v>
      </c>
      <c r="H69" s="148">
        <v>0.35</v>
      </c>
      <c r="I69" s="144">
        <v>24</v>
      </c>
      <c r="J69" s="144" t="s">
        <v>996</v>
      </c>
      <c r="K69" s="144">
        <v>24</v>
      </c>
      <c r="L69" s="144" t="s">
        <v>996</v>
      </c>
      <c r="M69" s="144">
        <v>24</v>
      </c>
      <c r="N69" s="144" t="s">
        <v>996</v>
      </c>
      <c r="O69" s="144">
        <v>24</v>
      </c>
      <c r="P69" s="144" t="s">
        <v>996</v>
      </c>
      <c r="Q69" s="206">
        <v>30</v>
      </c>
      <c r="R69" s="145">
        <f t="shared" si="24"/>
        <v>251.99999999999994</v>
      </c>
      <c r="S69" s="146">
        <f t="shared" si="25"/>
        <v>251.99999999999994</v>
      </c>
      <c r="T69" s="146">
        <f t="shared" si="26"/>
        <v>251.99999999999994</v>
      </c>
      <c r="U69" s="146">
        <f t="shared" si="27"/>
        <v>251.99999999999994</v>
      </c>
      <c r="V69" s="145">
        <f t="shared" si="28"/>
        <v>251.99999999999994</v>
      </c>
      <c r="W69" s="146">
        <f t="shared" si="29"/>
        <v>251.99999999999994</v>
      </c>
      <c r="X69" s="146">
        <f t="shared" si="30"/>
        <v>251.99999999999994</v>
      </c>
      <c r="Y69" s="146">
        <f t="shared" si="31"/>
        <v>251.99999999999994</v>
      </c>
      <c r="Z69" s="95">
        <f t="shared" si="32"/>
        <v>1</v>
      </c>
      <c r="AA69" s="95">
        <f t="shared" si="32"/>
        <v>1</v>
      </c>
      <c r="AB69" s="95">
        <f t="shared" si="32"/>
        <v>1</v>
      </c>
      <c r="AC69" s="95">
        <f t="shared" si="32"/>
        <v>1</v>
      </c>
    </row>
    <row r="70" spans="1:29" s="96" customFormat="1">
      <c r="A70" s="92">
        <v>23</v>
      </c>
      <c r="B70" s="143" t="s">
        <v>689</v>
      </c>
      <c r="C70" s="130">
        <v>1</v>
      </c>
      <c r="D70" s="130">
        <v>1</v>
      </c>
      <c r="E70" s="130">
        <v>1</v>
      </c>
      <c r="F70" s="130">
        <v>1</v>
      </c>
      <c r="G70" s="148">
        <v>8.5</v>
      </c>
      <c r="H70" s="148">
        <v>8.5</v>
      </c>
      <c r="I70" s="148">
        <v>15</v>
      </c>
      <c r="J70" s="148" t="s">
        <v>1121</v>
      </c>
      <c r="K70" s="148">
        <v>15</v>
      </c>
      <c r="L70" s="148" t="s">
        <v>1121</v>
      </c>
      <c r="M70" s="148">
        <v>15</v>
      </c>
      <c r="N70" s="148" t="s">
        <v>1121</v>
      </c>
      <c r="O70" s="148">
        <v>15</v>
      </c>
      <c r="P70" s="148" t="s">
        <v>1121</v>
      </c>
      <c r="Q70" s="136">
        <v>30</v>
      </c>
      <c r="R70" s="145">
        <f t="shared" si="24"/>
        <v>3825</v>
      </c>
      <c r="S70" s="146">
        <f t="shared" si="25"/>
        <v>3825</v>
      </c>
      <c r="T70" s="146">
        <f t="shared" si="26"/>
        <v>3825</v>
      </c>
      <c r="U70" s="146">
        <f t="shared" si="27"/>
        <v>3825</v>
      </c>
      <c r="V70" s="145">
        <f t="shared" si="28"/>
        <v>3825</v>
      </c>
      <c r="W70" s="146">
        <f t="shared" si="29"/>
        <v>3825</v>
      </c>
      <c r="X70" s="146">
        <f t="shared" si="30"/>
        <v>3825</v>
      </c>
      <c r="Y70" s="146">
        <f t="shared" si="31"/>
        <v>3825</v>
      </c>
      <c r="Z70" s="95">
        <f t="shared" si="32"/>
        <v>1</v>
      </c>
      <c r="AA70" s="95">
        <f t="shared" si="32"/>
        <v>1</v>
      </c>
      <c r="AB70" s="95">
        <f t="shared" si="32"/>
        <v>1</v>
      </c>
      <c r="AC70" s="95">
        <f t="shared" si="32"/>
        <v>1</v>
      </c>
    </row>
    <row r="71" spans="1:29" s="96" customFormat="1">
      <c r="A71" s="92">
        <v>24</v>
      </c>
      <c r="B71" s="143" t="s">
        <v>690</v>
      </c>
      <c r="C71" s="92">
        <v>1</v>
      </c>
      <c r="D71" s="92">
        <v>1</v>
      </c>
      <c r="E71" s="92">
        <v>1</v>
      </c>
      <c r="F71" s="92">
        <v>1</v>
      </c>
      <c r="G71" s="148">
        <v>1.8</v>
      </c>
      <c r="H71" s="148">
        <v>1.8</v>
      </c>
      <c r="I71" s="144">
        <v>4</v>
      </c>
      <c r="J71" s="144">
        <v>0</v>
      </c>
      <c r="K71" s="144">
        <v>4</v>
      </c>
      <c r="L71" s="144">
        <v>0</v>
      </c>
      <c r="M71" s="144">
        <v>4</v>
      </c>
      <c r="N71" s="144">
        <v>0</v>
      </c>
      <c r="O71" s="144">
        <v>4</v>
      </c>
      <c r="P71" s="144">
        <v>0</v>
      </c>
      <c r="Q71" s="206">
        <v>30</v>
      </c>
      <c r="R71" s="145">
        <f t="shared" si="24"/>
        <v>216</v>
      </c>
      <c r="S71" s="146">
        <f t="shared" si="25"/>
        <v>216</v>
      </c>
      <c r="T71" s="146">
        <f t="shared" si="26"/>
        <v>216</v>
      </c>
      <c r="U71" s="146">
        <f t="shared" si="27"/>
        <v>216</v>
      </c>
      <c r="V71" s="145">
        <f t="shared" si="28"/>
        <v>216</v>
      </c>
      <c r="W71" s="146">
        <f t="shared" si="29"/>
        <v>216</v>
      </c>
      <c r="X71" s="146">
        <f t="shared" si="30"/>
        <v>216</v>
      </c>
      <c r="Y71" s="146">
        <f t="shared" si="31"/>
        <v>216</v>
      </c>
      <c r="Z71" s="95">
        <f t="shared" si="32"/>
        <v>1</v>
      </c>
      <c r="AA71" s="95">
        <f t="shared" si="32"/>
        <v>1</v>
      </c>
      <c r="AB71" s="95">
        <f t="shared" si="32"/>
        <v>1</v>
      </c>
      <c r="AC71" s="95">
        <f t="shared" si="32"/>
        <v>1</v>
      </c>
    </row>
    <row r="72" spans="1:29" s="96" customFormat="1">
      <c r="A72" s="92"/>
      <c r="B72" s="443" t="s">
        <v>691</v>
      </c>
      <c r="C72" s="92"/>
      <c r="D72" s="92"/>
      <c r="E72" s="92"/>
      <c r="F72" s="92"/>
      <c r="G72" s="148"/>
      <c r="H72" s="148"/>
      <c r="I72" s="144"/>
      <c r="J72" s="144"/>
      <c r="K72" s="144"/>
      <c r="L72" s="144"/>
      <c r="M72" s="144"/>
      <c r="N72" s="144"/>
      <c r="O72" s="144"/>
      <c r="P72" s="144"/>
      <c r="Q72" s="206"/>
      <c r="R72" s="145"/>
      <c r="S72" s="146"/>
      <c r="T72" s="146"/>
      <c r="U72" s="146"/>
      <c r="V72" s="145"/>
      <c r="W72" s="146"/>
      <c r="X72" s="146"/>
      <c r="Y72" s="146"/>
      <c r="Z72" s="95"/>
      <c r="AA72" s="95"/>
      <c r="AB72" s="95"/>
      <c r="AC72" s="95"/>
    </row>
    <row r="73" spans="1:29" s="96" customFormat="1">
      <c r="A73" s="92">
        <v>26</v>
      </c>
      <c r="B73" s="143" t="s">
        <v>432</v>
      </c>
      <c r="C73" s="92">
        <v>1</v>
      </c>
      <c r="D73" s="92">
        <v>1</v>
      </c>
      <c r="E73" s="92">
        <v>1</v>
      </c>
      <c r="F73" s="92">
        <v>1</v>
      </c>
      <c r="G73" s="148">
        <v>14.7</v>
      </c>
      <c r="H73" s="148">
        <v>14.7</v>
      </c>
      <c r="I73" s="144">
        <v>0</v>
      </c>
      <c r="J73" s="144">
        <v>0</v>
      </c>
      <c r="K73" s="144">
        <v>8</v>
      </c>
      <c r="L73" s="144" t="s">
        <v>1120</v>
      </c>
      <c r="M73" s="144">
        <v>8</v>
      </c>
      <c r="N73" s="144" t="s">
        <v>1120</v>
      </c>
      <c r="O73" s="144">
        <v>8</v>
      </c>
      <c r="P73" s="144" t="s">
        <v>1120</v>
      </c>
      <c r="Q73" s="206">
        <v>30</v>
      </c>
      <c r="R73" s="145">
        <f>C73*G73*I73*Q73</f>
        <v>0</v>
      </c>
      <c r="S73" s="146">
        <f>D73*G73*K73*Q73</f>
        <v>3528</v>
      </c>
      <c r="T73" s="146">
        <f>E73*G73*M73*Q73</f>
        <v>3528</v>
      </c>
      <c r="U73" s="146">
        <f>F73*G73*O73*Q73</f>
        <v>3528</v>
      </c>
      <c r="V73" s="145">
        <f>C73*H73*I73*Q73</f>
        <v>0</v>
      </c>
      <c r="W73" s="146">
        <f>D73*H73*K73*Q73</f>
        <v>3528</v>
      </c>
      <c r="X73" s="146">
        <f>E73*H73*M73*Q73</f>
        <v>3528</v>
      </c>
      <c r="Y73" s="146">
        <f>F73*H73*O73*Q73</f>
        <v>3528</v>
      </c>
      <c r="Z73" s="95" t="e">
        <f t="shared" ref="Z73:AC76" si="33">V73/R73</f>
        <v>#DIV/0!</v>
      </c>
      <c r="AA73" s="95">
        <f t="shared" si="33"/>
        <v>1</v>
      </c>
      <c r="AB73" s="95">
        <f t="shared" si="33"/>
        <v>1</v>
      </c>
      <c r="AC73" s="95">
        <f t="shared" si="33"/>
        <v>1</v>
      </c>
    </row>
    <row r="74" spans="1:29" s="96" customFormat="1">
      <c r="A74" s="92">
        <v>27</v>
      </c>
      <c r="B74" s="143" t="s">
        <v>692</v>
      </c>
      <c r="C74" s="92">
        <v>1</v>
      </c>
      <c r="D74" s="92">
        <v>1</v>
      </c>
      <c r="E74" s="92">
        <v>1</v>
      </c>
      <c r="F74" s="92">
        <v>1</v>
      </c>
      <c r="G74" s="148">
        <v>1.8</v>
      </c>
      <c r="H74" s="148">
        <v>1.8</v>
      </c>
      <c r="I74" s="144">
        <v>0</v>
      </c>
      <c r="J74" s="144">
        <v>0</v>
      </c>
      <c r="K74" s="144">
        <v>4</v>
      </c>
      <c r="L74" s="144">
        <v>0</v>
      </c>
      <c r="M74" s="144">
        <v>4</v>
      </c>
      <c r="N74" s="144">
        <v>0</v>
      </c>
      <c r="O74" s="144">
        <v>4</v>
      </c>
      <c r="P74" s="144">
        <v>0</v>
      </c>
      <c r="Q74" s="206">
        <v>30</v>
      </c>
      <c r="R74" s="145">
        <f>C74*G74*I74*Q74</f>
        <v>0</v>
      </c>
      <c r="S74" s="146">
        <f>D74*G74*K74*Q74</f>
        <v>216</v>
      </c>
      <c r="T74" s="146">
        <f>E74*G74*M74*Q74</f>
        <v>216</v>
      </c>
      <c r="U74" s="146">
        <f>F74*G74*O74*Q74</f>
        <v>216</v>
      </c>
      <c r="V74" s="145">
        <f>C74*H74*I74*Q74</f>
        <v>0</v>
      </c>
      <c r="W74" s="146">
        <f>D74*H74*K74*Q74</f>
        <v>216</v>
      </c>
      <c r="X74" s="146">
        <f>E74*H74*M74*Q74</f>
        <v>216</v>
      </c>
      <c r="Y74" s="146">
        <f>F74*H74*O74*Q74</f>
        <v>216</v>
      </c>
      <c r="Z74" s="95" t="e">
        <f t="shared" si="33"/>
        <v>#DIV/0!</v>
      </c>
      <c r="AA74" s="95">
        <f t="shared" si="33"/>
        <v>1</v>
      </c>
      <c r="AB74" s="95">
        <f t="shared" si="33"/>
        <v>1</v>
      </c>
      <c r="AC74" s="95">
        <f t="shared" si="33"/>
        <v>1</v>
      </c>
    </row>
    <row r="75" spans="1:29" s="96" customFormat="1">
      <c r="A75" s="92">
        <v>28</v>
      </c>
      <c r="B75" s="143" t="s">
        <v>435</v>
      </c>
      <c r="C75" s="92">
        <v>1</v>
      </c>
      <c r="D75" s="92">
        <v>1</v>
      </c>
      <c r="E75" s="92">
        <v>1</v>
      </c>
      <c r="F75" s="92">
        <v>1</v>
      </c>
      <c r="G75" s="148">
        <v>0.21</v>
      </c>
      <c r="H75" s="148">
        <v>0.21</v>
      </c>
      <c r="I75" s="144">
        <v>0</v>
      </c>
      <c r="J75" s="144">
        <v>0</v>
      </c>
      <c r="K75" s="144">
        <v>0</v>
      </c>
      <c r="L75" s="144">
        <v>0</v>
      </c>
      <c r="M75" s="144">
        <v>0</v>
      </c>
      <c r="N75" s="144">
        <v>0</v>
      </c>
      <c r="O75" s="144">
        <v>0</v>
      </c>
      <c r="P75" s="144">
        <v>0</v>
      </c>
      <c r="Q75" s="206">
        <v>30</v>
      </c>
      <c r="R75" s="145">
        <f>C75*G75*I75*Q75</f>
        <v>0</v>
      </c>
      <c r="S75" s="146">
        <f>D75*G75*K75*Q75</f>
        <v>0</v>
      </c>
      <c r="T75" s="146">
        <f>E75*G75*M75*Q75</f>
        <v>0</v>
      </c>
      <c r="U75" s="146">
        <f>F75*G75*O75*Q75</f>
        <v>0</v>
      </c>
      <c r="V75" s="145">
        <f>C75*H75*I75*Q75</f>
        <v>0</v>
      </c>
      <c r="W75" s="146">
        <f>D75*H75*K75*Q75</f>
        <v>0</v>
      </c>
      <c r="X75" s="146">
        <f>E75*H75*M75*Q75</f>
        <v>0</v>
      </c>
      <c r="Y75" s="146">
        <f>F75*H75*O75*Q75</f>
        <v>0</v>
      </c>
      <c r="Z75" s="95" t="e">
        <f t="shared" si="33"/>
        <v>#DIV/0!</v>
      </c>
      <c r="AA75" s="95" t="e">
        <f t="shared" si="33"/>
        <v>#DIV/0!</v>
      </c>
      <c r="AB75" s="95" t="e">
        <f t="shared" si="33"/>
        <v>#DIV/0!</v>
      </c>
      <c r="AC75" s="95" t="e">
        <f t="shared" si="33"/>
        <v>#DIV/0!</v>
      </c>
    </row>
    <row r="76" spans="1:29" s="96" customFormat="1">
      <c r="A76" s="92">
        <v>29</v>
      </c>
      <c r="B76" s="143" t="s">
        <v>693</v>
      </c>
      <c r="C76" s="130">
        <v>1</v>
      </c>
      <c r="D76" s="130">
        <v>1</v>
      </c>
      <c r="E76" s="130">
        <v>1</v>
      </c>
      <c r="F76" s="130">
        <v>1</v>
      </c>
      <c r="G76" s="148">
        <v>8.5</v>
      </c>
      <c r="H76" s="148">
        <v>8.5</v>
      </c>
      <c r="I76" s="148">
        <v>15</v>
      </c>
      <c r="J76" s="148" t="s">
        <v>1121</v>
      </c>
      <c r="K76" s="148">
        <v>15</v>
      </c>
      <c r="L76" s="148" t="s">
        <v>1121</v>
      </c>
      <c r="M76" s="148">
        <v>15</v>
      </c>
      <c r="N76" s="148" t="s">
        <v>1121</v>
      </c>
      <c r="O76" s="148">
        <v>15</v>
      </c>
      <c r="P76" s="148" t="s">
        <v>1121</v>
      </c>
      <c r="Q76" s="136">
        <v>30</v>
      </c>
      <c r="R76" s="145">
        <f>C76*G76*I76*Q76</f>
        <v>3825</v>
      </c>
      <c r="S76" s="146">
        <f>D76*G76*K76*Q76</f>
        <v>3825</v>
      </c>
      <c r="T76" s="146">
        <f>E76*G76*M76*Q76</f>
        <v>3825</v>
      </c>
      <c r="U76" s="146">
        <f>F76*G76*O76*Q76</f>
        <v>3825</v>
      </c>
      <c r="V76" s="145">
        <f>C76*H76*I76*Q76</f>
        <v>3825</v>
      </c>
      <c r="W76" s="146">
        <f>D76*H76*K76*Q76</f>
        <v>3825</v>
      </c>
      <c r="X76" s="146">
        <f>E76*H76*M76*Q76</f>
        <v>3825</v>
      </c>
      <c r="Y76" s="146">
        <f>F76*H76*O76*Q76</f>
        <v>3825</v>
      </c>
      <c r="Z76" s="95">
        <f t="shared" si="33"/>
        <v>1</v>
      </c>
      <c r="AA76" s="95">
        <f t="shared" si="33"/>
        <v>1</v>
      </c>
      <c r="AB76" s="95">
        <f t="shared" si="33"/>
        <v>1</v>
      </c>
      <c r="AC76" s="95">
        <f t="shared" si="33"/>
        <v>1</v>
      </c>
    </row>
    <row r="77" spans="1:29" s="96" customFormat="1">
      <c r="A77" s="92">
        <v>30</v>
      </c>
      <c r="B77" s="143" t="s">
        <v>430</v>
      </c>
      <c r="C77" s="130">
        <v>1</v>
      </c>
      <c r="D77" s="130">
        <v>1</v>
      </c>
      <c r="E77" s="130">
        <v>1</v>
      </c>
      <c r="F77" s="130">
        <v>1</v>
      </c>
      <c r="G77" s="149">
        <v>0.26</v>
      </c>
      <c r="H77" s="149">
        <v>0.26</v>
      </c>
      <c r="I77" s="144">
        <v>0</v>
      </c>
      <c r="J77" s="144"/>
      <c r="K77" s="144">
        <v>8</v>
      </c>
      <c r="L77" s="144" t="s">
        <v>1120</v>
      </c>
      <c r="M77" s="144">
        <v>8</v>
      </c>
      <c r="N77" s="144" t="s">
        <v>1120</v>
      </c>
      <c r="O77" s="144">
        <v>8</v>
      </c>
      <c r="P77" s="144" t="s">
        <v>1120</v>
      </c>
      <c r="Q77" s="206">
        <v>30</v>
      </c>
      <c r="R77" s="145"/>
      <c r="S77" s="146"/>
      <c r="T77" s="146"/>
      <c r="U77" s="146"/>
      <c r="V77" s="145"/>
      <c r="W77" s="146"/>
      <c r="X77" s="146"/>
      <c r="Y77" s="146"/>
      <c r="Z77" s="95"/>
      <c r="AA77" s="95"/>
      <c r="AB77" s="95"/>
      <c r="AC77" s="95"/>
    </row>
    <row r="78" spans="1:29" s="96" customFormat="1">
      <c r="A78" s="92">
        <v>31</v>
      </c>
      <c r="B78" s="143" t="s">
        <v>694</v>
      </c>
      <c r="C78" s="130">
        <v>1</v>
      </c>
      <c r="D78" s="130">
        <v>1</v>
      </c>
      <c r="E78" s="130">
        <v>1</v>
      </c>
      <c r="F78" s="130">
        <v>1</v>
      </c>
      <c r="G78" s="148">
        <v>2.25</v>
      </c>
      <c r="H78" s="148">
        <v>2.25</v>
      </c>
      <c r="I78" s="144">
        <v>0</v>
      </c>
      <c r="J78" s="144"/>
      <c r="K78" s="144">
        <v>8</v>
      </c>
      <c r="L78" s="144" t="s">
        <v>1120</v>
      </c>
      <c r="M78" s="144">
        <v>8</v>
      </c>
      <c r="N78" s="144" t="s">
        <v>1120</v>
      </c>
      <c r="O78" s="144">
        <v>8</v>
      </c>
      <c r="P78" s="144" t="s">
        <v>1120</v>
      </c>
      <c r="Q78" s="206">
        <v>30</v>
      </c>
      <c r="R78" s="145"/>
      <c r="S78" s="146"/>
      <c r="T78" s="146"/>
      <c r="U78" s="146"/>
      <c r="V78" s="145"/>
      <c r="W78" s="146"/>
      <c r="X78" s="146"/>
      <c r="Y78" s="146"/>
      <c r="Z78" s="95"/>
      <c r="AA78" s="95"/>
      <c r="AB78" s="95"/>
      <c r="AC78" s="95"/>
    </row>
    <row r="79" spans="1:29" s="96" customFormat="1">
      <c r="A79" s="92">
        <v>32</v>
      </c>
      <c r="B79" s="143" t="s">
        <v>684</v>
      </c>
      <c r="C79" s="130">
        <v>1</v>
      </c>
      <c r="D79" s="130">
        <v>1</v>
      </c>
      <c r="E79" s="130">
        <v>1</v>
      </c>
      <c r="F79" s="130">
        <v>1</v>
      </c>
      <c r="G79" s="148">
        <v>0.25</v>
      </c>
      <c r="H79" s="148">
        <v>0.25</v>
      </c>
      <c r="I79" s="144">
        <v>0</v>
      </c>
      <c r="J79" s="144"/>
      <c r="K79" s="144">
        <v>8</v>
      </c>
      <c r="L79" s="144" t="s">
        <v>1120</v>
      </c>
      <c r="M79" s="144">
        <v>8</v>
      </c>
      <c r="N79" s="144" t="s">
        <v>1120</v>
      </c>
      <c r="O79" s="144">
        <v>8</v>
      </c>
      <c r="P79" s="144" t="s">
        <v>1120</v>
      </c>
      <c r="Q79" s="206">
        <v>30</v>
      </c>
      <c r="R79" s="145"/>
      <c r="S79" s="146"/>
      <c r="T79" s="146"/>
      <c r="U79" s="146"/>
      <c r="V79" s="145"/>
      <c r="W79" s="146"/>
      <c r="X79" s="146"/>
      <c r="Y79" s="146"/>
      <c r="Z79" s="95"/>
      <c r="AA79" s="95"/>
      <c r="AB79" s="95"/>
      <c r="AC79" s="95"/>
    </row>
    <row r="80" spans="1:29" s="96" customFormat="1">
      <c r="A80" s="92">
        <v>33</v>
      </c>
      <c r="B80" s="143" t="s">
        <v>685</v>
      </c>
      <c r="C80" s="130">
        <v>1</v>
      </c>
      <c r="D80" s="130">
        <v>1</v>
      </c>
      <c r="E80" s="130">
        <v>1</v>
      </c>
      <c r="F80" s="130">
        <v>1</v>
      </c>
      <c r="G80" s="148">
        <v>0.25</v>
      </c>
      <c r="H80" s="148">
        <v>0.25</v>
      </c>
      <c r="I80" s="144">
        <v>0</v>
      </c>
      <c r="J80" s="144"/>
      <c r="K80" s="144">
        <v>8</v>
      </c>
      <c r="L80" s="144" t="s">
        <v>1120</v>
      </c>
      <c r="M80" s="144">
        <v>8</v>
      </c>
      <c r="N80" s="144" t="s">
        <v>1120</v>
      </c>
      <c r="O80" s="144">
        <v>8</v>
      </c>
      <c r="P80" s="144" t="s">
        <v>1120</v>
      </c>
      <c r="Q80" s="206">
        <v>30</v>
      </c>
      <c r="R80" s="145"/>
      <c r="S80" s="146"/>
      <c r="T80" s="146"/>
      <c r="U80" s="146"/>
      <c r="V80" s="145"/>
      <c r="W80" s="146"/>
      <c r="X80" s="146"/>
      <c r="Y80" s="146"/>
      <c r="Z80" s="95"/>
      <c r="AA80" s="95"/>
      <c r="AB80" s="95"/>
      <c r="AC80" s="95"/>
    </row>
    <row r="81" spans="1:29" s="96" customFormat="1">
      <c r="A81" s="92">
        <v>34</v>
      </c>
      <c r="B81" s="143" t="s">
        <v>686</v>
      </c>
      <c r="C81" s="130">
        <v>1</v>
      </c>
      <c r="D81" s="130">
        <v>1</v>
      </c>
      <c r="E81" s="130">
        <v>1</v>
      </c>
      <c r="F81" s="130">
        <v>1</v>
      </c>
      <c r="G81" s="148">
        <v>0.25</v>
      </c>
      <c r="H81" s="148">
        <v>0.25</v>
      </c>
      <c r="I81" s="144">
        <v>0</v>
      </c>
      <c r="J81" s="144"/>
      <c r="K81" s="144">
        <v>8</v>
      </c>
      <c r="L81" s="144" t="s">
        <v>1120</v>
      </c>
      <c r="M81" s="144">
        <v>8</v>
      </c>
      <c r="N81" s="144" t="s">
        <v>1120</v>
      </c>
      <c r="O81" s="144">
        <v>8</v>
      </c>
      <c r="P81" s="144" t="s">
        <v>1120</v>
      </c>
      <c r="Q81" s="206">
        <v>30</v>
      </c>
      <c r="R81" s="145"/>
      <c r="S81" s="146"/>
      <c r="T81" s="146"/>
      <c r="U81" s="146"/>
      <c r="V81" s="145"/>
      <c r="W81" s="146"/>
      <c r="X81" s="146"/>
      <c r="Y81" s="146"/>
      <c r="Z81" s="95"/>
      <c r="AA81" s="95"/>
      <c r="AB81" s="95"/>
      <c r="AC81" s="95"/>
    </row>
    <row r="82" spans="1:29" s="96" customFormat="1">
      <c r="A82" s="92">
        <v>35</v>
      </c>
      <c r="B82" s="143" t="s">
        <v>687</v>
      </c>
      <c r="C82" s="130">
        <v>1</v>
      </c>
      <c r="D82" s="130">
        <v>1</v>
      </c>
      <c r="E82" s="130">
        <v>1</v>
      </c>
      <c r="F82" s="130">
        <v>1</v>
      </c>
      <c r="G82" s="148">
        <v>0.25</v>
      </c>
      <c r="H82" s="148">
        <v>0.25</v>
      </c>
      <c r="I82" s="144">
        <v>0</v>
      </c>
      <c r="J82" s="144"/>
      <c r="K82" s="144">
        <v>8</v>
      </c>
      <c r="L82" s="144" t="s">
        <v>1120</v>
      </c>
      <c r="M82" s="144">
        <v>8</v>
      </c>
      <c r="N82" s="144" t="s">
        <v>1120</v>
      </c>
      <c r="O82" s="144">
        <v>8</v>
      </c>
      <c r="P82" s="144" t="s">
        <v>1120</v>
      </c>
      <c r="Q82" s="206">
        <v>30</v>
      </c>
      <c r="R82" s="145"/>
      <c r="S82" s="146"/>
      <c r="T82" s="146"/>
      <c r="U82" s="146"/>
      <c r="V82" s="145"/>
      <c r="W82" s="146"/>
      <c r="X82" s="146"/>
      <c r="Y82" s="146"/>
      <c r="Z82" s="95"/>
      <c r="AA82" s="95"/>
      <c r="AB82" s="95"/>
      <c r="AC82" s="95"/>
    </row>
    <row r="83" spans="1:29" s="96" customFormat="1">
      <c r="A83" s="92">
        <v>36</v>
      </c>
      <c r="B83" s="143" t="s">
        <v>434</v>
      </c>
      <c r="C83" s="92">
        <v>0</v>
      </c>
      <c r="D83" s="92">
        <v>0</v>
      </c>
      <c r="E83" s="92">
        <v>0</v>
      </c>
      <c r="F83" s="92">
        <v>0</v>
      </c>
      <c r="G83" s="148">
        <v>0.15</v>
      </c>
      <c r="H83" s="148">
        <v>0.15</v>
      </c>
      <c r="I83" s="144">
        <v>0</v>
      </c>
      <c r="J83" s="144">
        <v>0</v>
      </c>
      <c r="K83" s="144">
        <v>0</v>
      </c>
      <c r="L83" s="144">
        <v>0</v>
      </c>
      <c r="M83" s="144">
        <v>0</v>
      </c>
      <c r="N83" s="144">
        <v>0</v>
      </c>
      <c r="O83" s="144">
        <v>0</v>
      </c>
      <c r="P83" s="144">
        <v>0</v>
      </c>
      <c r="Q83" s="206">
        <v>30</v>
      </c>
      <c r="R83" s="145">
        <f>C83*G83*I83*Q83</f>
        <v>0</v>
      </c>
      <c r="S83" s="146">
        <f>D83*G83*K83*Q83</f>
        <v>0</v>
      </c>
      <c r="T83" s="146">
        <f>E83*G83*M83*Q83</f>
        <v>0</v>
      </c>
      <c r="U83" s="146">
        <f>F83*G83*O83*Q83</f>
        <v>0</v>
      </c>
      <c r="V83" s="145">
        <f>C83*H83*I83*Q83</f>
        <v>0</v>
      </c>
      <c r="W83" s="146">
        <f>D83*H83*K83*Q83</f>
        <v>0</v>
      </c>
      <c r="X83" s="146">
        <f>E83*H83*M83*Q83</f>
        <v>0</v>
      </c>
      <c r="Y83" s="146">
        <f>F83*H83*O83*Q83</f>
        <v>0</v>
      </c>
      <c r="Z83" s="95" t="e">
        <f t="shared" ref="Z83:AC84" si="34">V83/R83</f>
        <v>#DIV/0!</v>
      </c>
      <c r="AA83" s="95" t="e">
        <f t="shared" si="34"/>
        <v>#DIV/0!</v>
      </c>
      <c r="AB83" s="95" t="e">
        <f t="shared" si="34"/>
        <v>#DIV/0!</v>
      </c>
      <c r="AC83" s="95" t="e">
        <f t="shared" si="34"/>
        <v>#DIV/0!</v>
      </c>
    </row>
    <row r="84" spans="1:29" s="96" customFormat="1">
      <c r="A84" s="92">
        <v>37</v>
      </c>
      <c r="B84" s="143" t="s">
        <v>393</v>
      </c>
      <c r="C84" s="92">
        <v>1</v>
      </c>
      <c r="D84" s="92">
        <v>1</v>
      </c>
      <c r="E84" s="92">
        <v>1</v>
      </c>
      <c r="F84" s="92">
        <v>1</v>
      </c>
      <c r="G84" s="126">
        <v>7.18</v>
      </c>
      <c r="H84" s="126">
        <v>7.18</v>
      </c>
      <c r="I84" s="144">
        <v>24</v>
      </c>
      <c r="J84" s="144" t="s">
        <v>996</v>
      </c>
      <c r="K84" s="144">
        <v>24</v>
      </c>
      <c r="L84" s="144" t="s">
        <v>996</v>
      </c>
      <c r="M84" s="144">
        <v>24</v>
      </c>
      <c r="N84" s="144" t="s">
        <v>996</v>
      </c>
      <c r="O84" s="144">
        <v>24</v>
      </c>
      <c r="P84" s="144" t="s">
        <v>996</v>
      </c>
      <c r="Q84" s="206">
        <v>30</v>
      </c>
      <c r="R84" s="145">
        <f>C84*G84*I84*Q84</f>
        <v>5169.5999999999995</v>
      </c>
      <c r="S84" s="146">
        <f>D84*G84*K84*Q84</f>
        <v>5169.5999999999995</v>
      </c>
      <c r="T84" s="146">
        <f>E84*G84*M84*Q84</f>
        <v>5169.5999999999995</v>
      </c>
      <c r="U84" s="146">
        <f>F84*G84*O84*Q84</f>
        <v>5169.5999999999995</v>
      </c>
      <c r="V84" s="145">
        <f>C84*H84*I84*Q84</f>
        <v>5169.5999999999995</v>
      </c>
      <c r="W84" s="146">
        <f>D84*H84*K84*Q84</f>
        <v>5169.5999999999995</v>
      </c>
      <c r="X84" s="146">
        <f>E84*H84*M84*Q84</f>
        <v>5169.5999999999995</v>
      </c>
      <c r="Y84" s="146">
        <f>F84*H84*O84*Q84</f>
        <v>5169.5999999999995</v>
      </c>
      <c r="Z84" s="95">
        <f t="shared" si="34"/>
        <v>1</v>
      </c>
      <c r="AA84" s="95">
        <f t="shared" si="34"/>
        <v>1</v>
      </c>
      <c r="AB84" s="95">
        <f t="shared" si="34"/>
        <v>1</v>
      </c>
      <c r="AC84" s="95">
        <f t="shared" si="34"/>
        <v>1</v>
      </c>
    </row>
    <row r="85" spans="1:29" s="96" customFormat="1">
      <c r="A85" s="92">
        <v>38</v>
      </c>
      <c r="B85" s="143" t="s">
        <v>473</v>
      </c>
      <c r="C85" s="92">
        <v>1</v>
      </c>
      <c r="D85" s="92">
        <v>1</v>
      </c>
      <c r="E85" s="92">
        <v>1</v>
      </c>
      <c r="F85" s="92">
        <v>1</v>
      </c>
      <c r="G85" s="126">
        <v>1.05</v>
      </c>
      <c r="H85" s="126">
        <v>1.05</v>
      </c>
      <c r="I85" s="144">
        <v>24</v>
      </c>
      <c r="J85" s="144" t="s">
        <v>996</v>
      </c>
      <c r="K85" s="144">
        <v>24</v>
      </c>
      <c r="L85" s="144" t="s">
        <v>996</v>
      </c>
      <c r="M85" s="144">
        <v>24</v>
      </c>
      <c r="N85" s="144" t="s">
        <v>996</v>
      </c>
      <c r="O85" s="144">
        <v>24</v>
      </c>
      <c r="P85" s="144" t="s">
        <v>996</v>
      </c>
      <c r="Q85" s="206">
        <v>30</v>
      </c>
      <c r="R85" s="145"/>
      <c r="S85" s="146"/>
      <c r="T85" s="146"/>
      <c r="U85" s="146"/>
      <c r="V85" s="145"/>
      <c r="W85" s="146"/>
      <c r="X85" s="146"/>
      <c r="Y85" s="146"/>
      <c r="Z85" s="95"/>
      <c r="AA85" s="95"/>
      <c r="AB85" s="95"/>
      <c r="AC85" s="95"/>
    </row>
    <row r="86" spans="1:29" s="96" customFormat="1">
      <c r="A86" s="92">
        <v>39</v>
      </c>
      <c r="B86" s="143" t="s">
        <v>446</v>
      </c>
      <c r="C86" s="130">
        <v>1</v>
      </c>
      <c r="D86" s="130">
        <v>1</v>
      </c>
      <c r="E86" s="130">
        <v>1</v>
      </c>
      <c r="F86" s="130">
        <v>1</v>
      </c>
      <c r="G86" s="148">
        <v>0.15</v>
      </c>
      <c r="H86" s="148">
        <v>0.15</v>
      </c>
      <c r="I86" s="148">
        <v>0</v>
      </c>
      <c r="J86" s="148"/>
      <c r="K86" s="148">
        <v>4</v>
      </c>
      <c r="L86" s="148" t="s">
        <v>1126</v>
      </c>
      <c r="M86" s="148">
        <v>4</v>
      </c>
      <c r="N86" s="148" t="s">
        <v>1126</v>
      </c>
      <c r="O86" s="148">
        <v>4</v>
      </c>
      <c r="P86" s="148" t="s">
        <v>1126</v>
      </c>
      <c r="Q86" s="136">
        <v>30</v>
      </c>
      <c r="R86" s="145">
        <f>C86*G86*I86*Q86</f>
        <v>0</v>
      </c>
      <c r="S86" s="146">
        <f>D86*G86*K86*Q86</f>
        <v>18</v>
      </c>
      <c r="T86" s="146">
        <f>E86*G86*M86*Q86</f>
        <v>18</v>
      </c>
      <c r="U86" s="146">
        <f>F86*G86*O86*Q86</f>
        <v>18</v>
      </c>
      <c r="V86" s="145">
        <f>C86*H86*I86*Q86</f>
        <v>0</v>
      </c>
      <c r="W86" s="146">
        <f>D86*H86*K86*Q86</f>
        <v>18</v>
      </c>
      <c r="X86" s="146">
        <f>E86*H86*M86*Q86</f>
        <v>18</v>
      </c>
      <c r="Y86" s="146">
        <f>F86*H86*O86*Q86</f>
        <v>18</v>
      </c>
      <c r="Z86" s="95" t="e">
        <f t="shared" ref="Z86:AC89" si="35">V86/R86</f>
        <v>#DIV/0!</v>
      </c>
      <c r="AA86" s="95">
        <f t="shared" si="35"/>
        <v>1</v>
      </c>
      <c r="AB86" s="95">
        <f t="shared" si="35"/>
        <v>1</v>
      </c>
      <c r="AC86" s="95">
        <f t="shared" si="35"/>
        <v>1</v>
      </c>
    </row>
    <row r="87" spans="1:29" s="96" customFormat="1">
      <c r="A87" s="92">
        <v>40</v>
      </c>
      <c r="B87" s="143" t="s">
        <v>447</v>
      </c>
      <c r="C87" s="130">
        <v>1</v>
      </c>
      <c r="D87" s="130">
        <v>1</v>
      </c>
      <c r="E87" s="130">
        <v>1</v>
      </c>
      <c r="F87" s="130">
        <v>1</v>
      </c>
      <c r="G87" s="148">
        <v>0.15</v>
      </c>
      <c r="H87" s="148">
        <v>0.15</v>
      </c>
      <c r="I87" s="148">
        <v>0</v>
      </c>
      <c r="J87" s="148"/>
      <c r="K87" s="148">
        <v>4</v>
      </c>
      <c r="L87" s="148" t="s">
        <v>1126</v>
      </c>
      <c r="M87" s="148">
        <v>4</v>
      </c>
      <c r="N87" s="148" t="s">
        <v>1126</v>
      </c>
      <c r="O87" s="148">
        <v>4</v>
      </c>
      <c r="P87" s="148" t="s">
        <v>1126</v>
      </c>
      <c r="Q87" s="136">
        <v>30</v>
      </c>
      <c r="R87" s="145">
        <f>C87*G87*I87*Q87</f>
        <v>0</v>
      </c>
      <c r="S87" s="146">
        <f>D87*G87*K87*Q87</f>
        <v>18</v>
      </c>
      <c r="T87" s="146">
        <f>E87*G87*M87*Q87</f>
        <v>18</v>
      </c>
      <c r="U87" s="146">
        <f>F87*G87*O87*Q87</f>
        <v>18</v>
      </c>
      <c r="V87" s="145">
        <f>C87*H87*I87*Q87</f>
        <v>0</v>
      </c>
      <c r="W87" s="146">
        <f>D87*H87*K87*Q87</f>
        <v>18</v>
      </c>
      <c r="X87" s="146">
        <f>E87*H87*M87*Q87</f>
        <v>18</v>
      </c>
      <c r="Y87" s="146">
        <f>F87*H87*O87*Q87</f>
        <v>18</v>
      </c>
      <c r="Z87" s="95" t="e">
        <f t="shared" si="35"/>
        <v>#DIV/0!</v>
      </c>
      <c r="AA87" s="95">
        <f t="shared" si="35"/>
        <v>1</v>
      </c>
      <c r="AB87" s="95">
        <f t="shared" si="35"/>
        <v>1</v>
      </c>
      <c r="AC87" s="95">
        <f t="shared" si="35"/>
        <v>1</v>
      </c>
    </row>
    <row r="88" spans="1:29" s="96" customFormat="1">
      <c r="A88" s="92">
        <v>41</v>
      </c>
      <c r="B88" s="143" t="s">
        <v>448</v>
      </c>
      <c r="C88" s="130">
        <v>1</v>
      </c>
      <c r="D88" s="130">
        <v>1</v>
      </c>
      <c r="E88" s="130">
        <v>1</v>
      </c>
      <c r="F88" s="130">
        <v>1</v>
      </c>
      <c r="G88" s="148">
        <v>0.15</v>
      </c>
      <c r="H88" s="148">
        <v>0.15</v>
      </c>
      <c r="I88" s="148">
        <v>0</v>
      </c>
      <c r="J88" s="148"/>
      <c r="K88" s="148">
        <v>4</v>
      </c>
      <c r="L88" s="148" t="s">
        <v>1126</v>
      </c>
      <c r="M88" s="148">
        <v>4</v>
      </c>
      <c r="N88" s="148" t="s">
        <v>1126</v>
      </c>
      <c r="O88" s="148">
        <v>4</v>
      </c>
      <c r="P88" s="148" t="s">
        <v>1126</v>
      </c>
      <c r="Q88" s="136">
        <v>30</v>
      </c>
      <c r="R88" s="145">
        <f>C88*G88*I88*Q88</f>
        <v>0</v>
      </c>
      <c r="S88" s="146">
        <f>D88*G88*K88*Q88</f>
        <v>18</v>
      </c>
      <c r="T88" s="146">
        <f>E88*G88*M88*Q88</f>
        <v>18</v>
      </c>
      <c r="U88" s="146">
        <f>F88*G88*O88*Q88</f>
        <v>18</v>
      </c>
      <c r="V88" s="145">
        <f>C88*H88*I88*Q88</f>
        <v>0</v>
      </c>
      <c r="W88" s="146">
        <f>D88*H88*K88*Q88</f>
        <v>18</v>
      </c>
      <c r="X88" s="146">
        <f>E88*H88*M88*Q88</f>
        <v>18</v>
      </c>
      <c r="Y88" s="146">
        <f>F88*H88*O88*Q88</f>
        <v>18</v>
      </c>
      <c r="Z88" s="95" t="e">
        <f t="shared" si="35"/>
        <v>#DIV/0!</v>
      </c>
      <c r="AA88" s="95">
        <f t="shared" si="35"/>
        <v>1</v>
      </c>
      <c r="AB88" s="95">
        <f t="shared" si="35"/>
        <v>1</v>
      </c>
      <c r="AC88" s="95">
        <f t="shared" si="35"/>
        <v>1</v>
      </c>
    </row>
    <row r="89" spans="1:29" s="96" customFormat="1">
      <c r="A89" s="92">
        <v>42</v>
      </c>
      <c r="B89" s="143" t="s">
        <v>449</v>
      </c>
      <c r="C89" s="130">
        <v>1</v>
      </c>
      <c r="D89" s="130">
        <v>1</v>
      </c>
      <c r="E89" s="130">
        <v>1</v>
      </c>
      <c r="F89" s="130">
        <v>1</v>
      </c>
      <c r="G89" s="148">
        <v>0.15</v>
      </c>
      <c r="H89" s="148">
        <v>0.15</v>
      </c>
      <c r="I89" s="148">
        <v>0</v>
      </c>
      <c r="J89" s="148"/>
      <c r="K89" s="148">
        <v>4</v>
      </c>
      <c r="L89" s="148" t="s">
        <v>1126</v>
      </c>
      <c r="M89" s="148">
        <v>4</v>
      </c>
      <c r="N89" s="148" t="s">
        <v>1126</v>
      </c>
      <c r="O89" s="148">
        <v>4</v>
      </c>
      <c r="P89" s="148" t="s">
        <v>1126</v>
      </c>
      <c r="Q89" s="136">
        <v>30</v>
      </c>
      <c r="R89" s="145">
        <f>C89*G89*I89*Q89</f>
        <v>0</v>
      </c>
      <c r="S89" s="146">
        <f>D89*G89*K89*Q89</f>
        <v>18</v>
      </c>
      <c r="T89" s="146">
        <f>E89*G89*M89*Q89</f>
        <v>18</v>
      </c>
      <c r="U89" s="146">
        <f>F89*G89*O89*Q89</f>
        <v>18</v>
      </c>
      <c r="V89" s="145">
        <f>C89*H89*I89*Q89</f>
        <v>0</v>
      </c>
      <c r="W89" s="146">
        <f>D89*H89*K89*Q89</f>
        <v>18</v>
      </c>
      <c r="X89" s="146">
        <f>E89*H89*M89*Q89</f>
        <v>18</v>
      </c>
      <c r="Y89" s="146">
        <f>F89*H89*O89*Q89</f>
        <v>18</v>
      </c>
      <c r="Z89" s="95" t="e">
        <f t="shared" si="35"/>
        <v>#DIV/0!</v>
      </c>
      <c r="AA89" s="95">
        <f t="shared" si="35"/>
        <v>1</v>
      </c>
      <c r="AB89" s="95">
        <f t="shared" si="35"/>
        <v>1</v>
      </c>
      <c r="AC89" s="95">
        <f t="shared" si="35"/>
        <v>1</v>
      </c>
    </row>
    <row r="90" spans="1:29" s="96" customFormat="1">
      <c r="A90" s="92">
        <v>43</v>
      </c>
      <c r="B90" s="143" t="s">
        <v>695</v>
      </c>
      <c r="C90" s="92">
        <v>1</v>
      </c>
      <c r="D90" s="92">
        <v>1</v>
      </c>
      <c r="E90" s="92">
        <v>1</v>
      </c>
      <c r="F90" s="92">
        <v>1</v>
      </c>
      <c r="G90" s="126">
        <v>0.28999999999999998</v>
      </c>
      <c r="H90" s="126">
        <v>0.28999999999999998</v>
      </c>
      <c r="I90" s="148">
        <v>0</v>
      </c>
      <c r="J90" s="148"/>
      <c r="K90" s="148">
        <v>4</v>
      </c>
      <c r="L90" s="148" t="s">
        <v>1126</v>
      </c>
      <c r="M90" s="148">
        <v>4</v>
      </c>
      <c r="N90" s="148" t="s">
        <v>1126</v>
      </c>
      <c r="O90" s="148">
        <v>4</v>
      </c>
      <c r="P90" s="148" t="s">
        <v>1126</v>
      </c>
      <c r="Q90" s="136">
        <v>30</v>
      </c>
      <c r="R90" s="145"/>
      <c r="S90" s="146"/>
      <c r="T90" s="146"/>
      <c r="U90" s="146"/>
      <c r="V90" s="145"/>
      <c r="W90" s="146"/>
      <c r="X90" s="146"/>
      <c r="Y90" s="146"/>
      <c r="Z90" s="95"/>
      <c r="AA90" s="95"/>
      <c r="AB90" s="95"/>
      <c r="AC90" s="95"/>
    </row>
    <row r="91" spans="1:29" s="96" customFormat="1">
      <c r="A91" s="92">
        <v>44</v>
      </c>
      <c r="B91" s="143" t="s">
        <v>696</v>
      </c>
      <c r="C91" s="92">
        <v>1</v>
      </c>
      <c r="D91" s="92">
        <v>1</v>
      </c>
      <c r="E91" s="92">
        <v>1</v>
      </c>
      <c r="F91" s="92">
        <v>1</v>
      </c>
      <c r="G91" s="126">
        <v>0.28999999999999998</v>
      </c>
      <c r="H91" s="126">
        <v>0.28999999999999998</v>
      </c>
      <c r="I91" s="148">
        <v>0</v>
      </c>
      <c r="J91" s="148"/>
      <c r="K91" s="148">
        <v>4</v>
      </c>
      <c r="L91" s="148" t="s">
        <v>1126</v>
      </c>
      <c r="M91" s="148">
        <v>4</v>
      </c>
      <c r="N91" s="148" t="s">
        <v>1126</v>
      </c>
      <c r="O91" s="148">
        <v>4</v>
      </c>
      <c r="P91" s="148" t="s">
        <v>1126</v>
      </c>
      <c r="Q91" s="136">
        <v>30</v>
      </c>
      <c r="R91" s="145"/>
      <c r="S91" s="146"/>
      <c r="T91" s="146"/>
      <c r="U91" s="146"/>
      <c r="V91" s="145"/>
      <c r="W91" s="146"/>
      <c r="X91" s="146"/>
      <c r="Y91" s="146"/>
      <c r="Z91" s="95"/>
      <c r="AA91" s="95"/>
      <c r="AB91" s="95"/>
      <c r="AC91" s="95"/>
    </row>
    <row r="92" spans="1:29" s="96" customFormat="1">
      <c r="A92" s="92">
        <v>45</v>
      </c>
      <c r="B92" s="143" t="s">
        <v>694</v>
      </c>
      <c r="C92" s="92">
        <v>1</v>
      </c>
      <c r="D92" s="92">
        <v>1</v>
      </c>
      <c r="E92" s="92">
        <v>1</v>
      </c>
      <c r="F92" s="92">
        <v>1</v>
      </c>
      <c r="G92" s="126">
        <v>1.75</v>
      </c>
      <c r="H92" s="126">
        <v>1.75</v>
      </c>
      <c r="I92" s="148">
        <v>4</v>
      </c>
      <c r="J92" s="148" t="s">
        <v>1126</v>
      </c>
      <c r="K92" s="148">
        <v>4</v>
      </c>
      <c r="L92" s="148" t="s">
        <v>1126</v>
      </c>
      <c r="M92" s="148">
        <v>4</v>
      </c>
      <c r="N92" s="148" t="s">
        <v>1126</v>
      </c>
      <c r="O92" s="148">
        <v>4</v>
      </c>
      <c r="P92" s="148" t="s">
        <v>1126</v>
      </c>
      <c r="Q92" s="136">
        <v>30</v>
      </c>
      <c r="R92" s="145"/>
      <c r="S92" s="146"/>
      <c r="T92" s="146"/>
      <c r="U92" s="146"/>
      <c r="V92" s="145"/>
      <c r="W92" s="146"/>
      <c r="X92" s="146"/>
      <c r="Y92" s="146"/>
      <c r="Z92" s="95"/>
      <c r="AA92" s="95"/>
      <c r="AB92" s="95"/>
      <c r="AC92" s="95"/>
    </row>
    <row r="93" spans="1:29" s="96" customFormat="1">
      <c r="A93" s="276" t="s">
        <v>24</v>
      </c>
      <c r="B93" s="149" t="s">
        <v>218</v>
      </c>
      <c r="C93" s="133"/>
      <c r="D93" s="14"/>
      <c r="E93" s="14"/>
      <c r="F93" s="14"/>
      <c r="G93" s="148"/>
      <c r="H93" s="148"/>
      <c r="I93" s="144"/>
      <c r="J93" s="144"/>
      <c r="K93" s="144"/>
      <c r="L93" s="144"/>
      <c r="M93" s="144"/>
      <c r="N93" s="144"/>
      <c r="O93" s="144"/>
      <c r="P93" s="144"/>
      <c r="Q93" s="136"/>
      <c r="R93" s="145">
        <f t="shared" ref="R93:R98" si="36">C93*G93*I93*Q93</f>
        <v>0</v>
      </c>
      <c r="S93" s="146">
        <f t="shared" ref="S93:S98" si="37">D93*G93*K93*Q93</f>
        <v>0</v>
      </c>
      <c r="T93" s="146">
        <f t="shared" ref="T93:T98" si="38">E93*G93*M93*Q93</f>
        <v>0</v>
      </c>
      <c r="U93" s="146">
        <f t="shared" ref="U93:U98" si="39">F93*G93*O93*Q93</f>
        <v>0</v>
      </c>
      <c r="V93" s="145">
        <f t="shared" ref="V93:V98" si="40">C93*H93*I93*Q93</f>
        <v>0</v>
      </c>
      <c r="W93" s="146">
        <f t="shared" ref="W93:W98" si="41">D93*H93*K93*Q93</f>
        <v>0</v>
      </c>
      <c r="X93" s="146">
        <f t="shared" ref="X93:X98" si="42">E93*H93*M93*Q93</f>
        <v>0</v>
      </c>
      <c r="Y93" s="146">
        <f t="shared" ref="Y93:Y98" si="43">F93*H93*O93*Q93</f>
        <v>0</v>
      </c>
      <c r="Z93" s="95" t="e">
        <f t="shared" ref="Z93:AC98" si="44">V93/R93</f>
        <v>#DIV/0!</v>
      </c>
      <c r="AA93" s="95" t="e">
        <f t="shared" si="44"/>
        <v>#DIV/0!</v>
      </c>
      <c r="AB93" s="95" t="e">
        <f t="shared" si="44"/>
        <v>#DIV/0!</v>
      </c>
      <c r="AC93" s="95" t="e">
        <f t="shared" si="44"/>
        <v>#DIV/0!</v>
      </c>
    </row>
    <row r="94" spans="1:29" s="96" customFormat="1">
      <c r="A94" s="92">
        <v>1</v>
      </c>
      <c r="B94" s="143" t="s">
        <v>558</v>
      </c>
      <c r="C94" s="92">
        <v>4</v>
      </c>
      <c r="D94" s="92">
        <v>4</v>
      </c>
      <c r="E94" s="92">
        <v>4</v>
      </c>
      <c r="F94" s="92">
        <v>4</v>
      </c>
      <c r="G94" s="149">
        <v>7.5</v>
      </c>
      <c r="H94" s="149">
        <v>7.5</v>
      </c>
      <c r="I94" s="144">
        <v>0</v>
      </c>
      <c r="J94" s="144">
        <v>0</v>
      </c>
      <c r="K94" s="144">
        <v>0</v>
      </c>
      <c r="L94" s="144">
        <v>0</v>
      </c>
      <c r="M94" s="144">
        <v>5</v>
      </c>
      <c r="N94" s="144" t="s">
        <v>1123</v>
      </c>
      <c r="O94" s="144">
        <v>5</v>
      </c>
      <c r="P94" s="144" t="s">
        <v>1123</v>
      </c>
      <c r="Q94" s="206">
        <v>30</v>
      </c>
      <c r="R94" s="145">
        <f t="shared" si="36"/>
        <v>0</v>
      </c>
      <c r="S94" s="146">
        <f t="shared" si="37"/>
        <v>0</v>
      </c>
      <c r="T94" s="146">
        <f t="shared" si="38"/>
        <v>4500</v>
      </c>
      <c r="U94" s="146">
        <f t="shared" si="39"/>
        <v>4500</v>
      </c>
      <c r="V94" s="145">
        <f t="shared" si="40"/>
        <v>0</v>
      </c>
      <c r="W94" s="146">
        <f t="shared" si="41"/>
        <v>0</v>
      </c>
      <c r="X94" s="146">
        <f t="shared" si="42"/>
        <v>4500</v>
      </c>
      <c r="Y94" s="146">
        <f t="shared" si="43"/>
        <v>4500</v>
      </c>
      <c r="Z94" s="95" t="e">
        <f t="shared" si="44"/>
        <v>#DIV/0!</v>
      </c>
      <c r="AA94" s="95" t="e">
        <f t="shared" si="44"/>
        <v>#DIV/0!</v>
      </c>
      <c r="AB94" s="95">
        <f t="shared" si="44"/>
        <v>1</v>
      </c>
      <c r="AC94" s="95">
        <f t="shared" si="44"/>
        <v>1</v>
      </c>
    </row>
    <row r="95" spans="1:29" s="96" customFormat="1">
      <c r="A95" s="92">
        <v>2</v>
      </c>
      <c r="B95" s="126" t="s">
        <v>560</v>
      </c>
      <c r="C95" s="92">
        <v>4</v>
      </c>
      <c r="D95" s="92">
        <v>4</v>
      </c>
      <c r="E95" s="92">
        <v>4</v>
      </c>
      <c r="F95" s="92">
        <v>4</v>
      </c>
      <c r="G95" s="149">
        <v>11</v>
      </c>
      <c r="H95" s="149">
        <v>11</v>
      </c>
      <c r="I95" s="144">
        <v>8</v>
      </c>
      <c r="J95" s="144" t="s">
        <v>1120</v>
      </c>
      <c r="K95" s="144">
        <v>8</v>
      </c>
      <c r="L95" s="144" t="s">
        <v>1120</v>
      </c>
      <c r="M95" s="144">
        <v>8</v>
      </c>
      <c r="N95" s="144" t="s">
        <v>1120</v>
      </c>
      <c r="O95" s="144">
        <v>8</v>
      </c>
      <c r="P95" s="144" t="s">
        <v>1120</v>
      </c>
      <c r="Q95" s="206">
        <v>30</v>
      </c>
      <c r="R95" s="145">
        <f t="shared" si="36"/>
        <v>10560</v>
      </c>
      <c r="S95" s="146">
        <f t="shared" si="37"/>
        <v>10560</v>
      </c>
      <c r="T95" s="146">
        <f t="shared" si="38"/>
        <v>10560</v>
      </c>
      <c r="U95" s="146">
        <f t="shared" si="39"/>
        <v>10560</v>
      </c>
      <c r="V95" s="145">
        <f t="shared" si="40"/>
        <v>10560</v>
      </c>
      <c r="W95" s="146">
        <f t="shared" si="41"/>
        <v>10560</v>
      </c>
      <c r="X95" s="146">
        <f t="shared" si="42"/>
        <v>10560</v>
      </c>
      <c r="Y95" s="146">
        <f t="shared" si="43"/>
        <v>10560</v>
      </c>
      <c r="Z95" s="95">
        <f t="shared" si="44"/>
        <v>1</v>
      </c>
      <c r="AA95" s="95">
        <f t="shared" si="44"/>
        <v>1</v>
      </c>
      <c r="AB95" s="95">
        <f t="shared" si="44"/>
        <v>1</v>
      </c>
      <c r="AC95" s="95">
        <f t="shared" si="44"/>
        <v>1</v>
      </c>
    </row>
    <row r="96" spans="1:29" s="96" customFormat="1" ht="45">
      <c r="A96" s="92">
        <v>3</v>
      </c>
      <c r="B96" s="143" t="s">
        <v>557</v>
      </c>
      <c r="C96" s="92">
        <v>1</v>
      </c>
      <c r="D96" s="92">
        <v>1</v>
      </c>
      <c r="E96" s="92">
        <v>1</v>
      </c>
      <c r="F96" s="92">
        <v>1</v>
      </c>
      <c r="G96" s="149">
        <v>26</v>
      </c>
      <c r="H96" s="149">
        <v>26</v>
      </c>
      <c r="I96" s="144">
        <v>5</v>
      </c>
      <c r="J96" s="150" t="s">
        <v>1124</v>
      </c>
      <c r="K96" s="144">
        <v>5</v>
      </c>
      <c r="L96" s="150" t="s">
        <v>1124</v>
      </c>
      <c r="M96" s="144">
        <v>5</v>
      </c>
      <c r="N96" s="150" t="s">
        <v>1124</v>
      </c>
      <c r="O96" s="144">
        <v>5</v>
      </c>
      <c r="P96" s="150" t="s">
        <v>1124</v>
      </c>
      <c r="Q96" s="206">
        <v>30</v>
      </c>
      <c r="R96" s="145">
        <f t="shared" si="36"/>
        <v>3900</v>
      </c>
      <c r="S96" s="146">
        <f t="shared" si="37"/>
        <v>3900</v>
      </c>
      <c r="T96" s="146">
        <f t="shared" si="38"/>
        <v>3900</v>
      </c>
      <c r="U96" s="146">
        <f t="shared" si="39"/>
        <v>3900</v>
      </c>
      <c r="V96" s="145">
        <f t="shared" si="40"/>
        <v>3900</v>
      </c>
      <c r="W96" s="146">
        <f t="shared" si="41"/>
        <v>3900</v>
      </c>
      <c r="X96" s="146">
        <f t="shared" si="42"/>
        <v>3900</v>
      </c>
      <c r="Y96" s="146">
        <f t="shared" si="43"/>
        <v>3900</v>
      </c>
      <c r="Z96" s="95">
        <f t="shared" si="44"/>
        <v>1</v>
      </c>
      <c r="AA96" s="95">
        <f t="shared" si="44"/>
        <v>1</v>
      </c>
      <c r="AB96" s="95">
        <f t="shared" si="44"/>
        <v>1</v>
      </c>
      <c r="AC96" s="95">
        <f t="shared" si="44"/>
        <v>1</v>
      </c>
    </row>
    <row r="97" spans="1:29" s="96" customFormat="1">
      <c r="A97" s="92">
        <v>4</v>
      </c>
      <c r="B97" s="143" t="s">
        <v>697</v>
      </c>
      <c r="C97" s="92">
        <v>1</v>
      </c>
      <c r="D97" s="92">
        <v>1</v>
      </c>
      <c r="E97" s="92">
        <v>1</v>
      </c>
      <c r="F97" s="92">
        <v>1</v>
      </c>
      <c r="G97" s="149">
        <v>11</v>
      </c>
      <c r="H97" s="149">
        <v>11</v>
      </c>
      <c r="I97" s="144">
        <v>0</v>
      </c>
      <c r="J97" s="144">
        <v>0</v>
      </c>
      <c r="K97" s="144">
        <v>0</v>
      </c>
      <c r="L97" s="144">
        <v>0</v>
      </c>
      <c r="M97" s="144">
        <v>5</v>
      </c>
      <c r="N97" s="144" t="s">
        <v>1123</v>
      </c>
      <c r="O97" s="144">
        <v>5</v>
      </c>
      <c r="P97" s="144" t="s">
        <v>1123</v>
      </c>
      <c r="Q97" s="206">
        <v>30</v>
      </c>
      <c r="R97" s="145">
        <f t="shared" si="36"/>
        <v>0</v>
      </c>
      <c r="S97" s="146">
        <f t="shared" si="37"/>
        <v>0</v>
      </c>
      <c r="T97" s="146">
        <f t="shared" si="38"/>
        <v>1650</v>
      </c>
      <c r="U97" s="146">
        <f t="shared" si="39"/>
        <v>1650</v>
      </c>
      <c r="V97" s="145">
        <f t="shared" si="40"/>
        <v>0</v>
      </c>
      <c r="W97" s="146">
        <f t="shared" si="41"/>
        <v>0</v>
      </c>
      <c r="X97" s="146">
        <f t="shared" si="42"/>
        <v>1650</v>
      </c>
      <c r="Y97" s="146">
        <f t="shared" si="43"/>
        <v>1650</v>
      </c>
      <c r="Z97" s="95" t="e">
        <f t="shared" si="44"/>
        <v>#DIV/0!</v>
      </c>
      <c r="AA97" s="95" t="e">
        <f t="shared" si="44"/>
        <v>#DIV/0!</v>
      </c>
      <c r="AB97" s="95">
        <f t="shared" si="44"/>
        <v>1</v>
      </c>
      <c r="AC97" s="95">
        <f t="shared" si="44"/>
        <v>1</v>
      </c>
    </row>
    <row r="98" spans="1:29" s="96" customFormat="1">
      <c r="A98" s="92">
        <v>5</v>
      </c>
      <c r="B98" s="143" t="s">
        <v>698</v>
      </c>
      <c r="C98" s="92">
        <v>1</v>
      </c>
      <c r="D98" s="92">
        <v>1</v>
      </c>
      <c r="E98" s="92">
        <v>1</v>
      </c>
      <c r="F98" s="92">
        <v>1</v>
      </c>
      <c r="G98" s="149">
        <v>8</v>
      </c>
      <c r="H98" s="149">
        <v>8</v>
      </c>
      <c r="I98" s="144">
        <v>0</v>
      </c>
      <c r="J98" s="144">
        <v>0</v>
      </c>
      <c r="K98" s="144">
        <v>0</v>
      </c>
      <c r="L98" s="144">
        <v>0</v>
      </c>
      <c r="M98" s="144">
        <v>8</v>
      </c>
      <c r="N98" s="144" t="s">
        <v>1120</v>
      </c>
      <c r="O98" s="144">
        <v>8</v>
      </c>
      <c r="P98" s="144" t="s">
        <v>1120</v>
      </c>
      <c r="Q98" s="206">
        <v>30</v>
      </c>
      <c r="R98" s="145">
        <f t="shared" si="36"/>
        <v>0</v>
      </c>
      <c r="S98" s="146">
        <f t="shared" si="37"/>
        <v>0</v>
      </c>
      <c r="T98" s="146">
        <f t="shared" si="38"/>
        <v>1920</v>
      </c>
      <c r="U98" s="146">
        <f t="shared" si="39"/>
        <v>1920</v>
      </c>
      <c r="V98" s="145">
        <f t="shared" si="40"/>
        <v>0</v>
      </c>
      <c r="W98" s="146">
        <f t="shared" si="41"/>
        <v>0</v>
      </c>
      <c r="X98" s="146">
        <f t="shared" si="42"/>
        <v>1920</v>
      </c>
      <c r="Y98" s="146">
        <f t="shared" si="43"/>
        <v>1920</v>
      </c>
      <c r="Z98" s="95" t="e">
        <f t="shared" si="44"/>
        <v>#DIV/0!</v>
      </c>
      <c r="AA98" s="95" t="e">
        <f t="shared" si="44"/>
        <v>#DIV/0!</v>
      </c>
      <c r="AB98" s="95">
        <f t="shared" si="44"/>
        <v>1</v>
      </c>
      <c r="AC98" s="95">
        <f t="shared" si="44"/>
        <v>1</v>
      </c>
    </row>
    <row r="99" spans="1:29" s="96" customFormat="1">
      <c r="A99" s="92"/>
      <c r="B99" s="162" t="s">
        <v>321</v>
      </c>
      <c r="C99" s="92"/>
      <c r="D99" s="92"/>
      <c r="E99" s="92"/>
      <c r="F99" s="92"/>
      <c r="G99" s="149"/>
      <c r="H99" s="149"/>
      <c r="I99" s="144"/>
      <c r="J99" s="144"/>
      <c r="K99" s="144"/>
      <c r="L99" s="144"/>
      <c r="M99" s="144"/>
      <c r="N99" s="144"/>
      <c r="O99" s="144"/>
      <c r="P99" s="144"/>
      <c r="Q99" s="136"/>
      <c r="R99" s="145"/>
      <c r="S99" s="146"/>
      <c r="T99" s="146"/>
      <c r="U99" s="146"/>
      <c r="V99" s="145"/>
      <c r="W99" s="146"/>
      <c r="X99" s="146"/>
      <c r="Y99" s="146"/>
      <c r="Z99" s="95"/>
      <c r="AA99" s="95"/>
      <c r="AB99" s="95"/>
      <c r="AC99" s="95"/>
    </row>
    <row r="100" spans="1:29" s="96" customFormat="1">
      <c r="A100" s="92">
        <v>6</v>
      </c>
      <c r="B100" s="143" t="s">
        <v>442</v>
      </c>
      <c r="C100" s="92">
        <v>1</v>
      </c>
      <c r="D100" s="92">
        <v>1</v>
      </c>
      <c r="E100" s="92">
        <v>1</v>
      </c>
      <c r="F100" s="92">
        <v>1</v>
      </c>
      <c r="G100" s="148">
        <v>0.26</v>
      </c>
      <c r="H100" s="148">
        <v>0.26</v>
      </c>
      <c r="I100" s="144">
        <v>0</v>
      </c>
      <c r="J100" s="144">
        <v>0</v>
      </c>
      <c r="K100" s="144">
        <v>0</v>
      </c>
      <c r="L100" s="144">
        <v>0</v>
      </c>
      <c r="M100" s="144">
        <v>5</v>
      </c>
      <c r="N100" s="144" t="s">
        <v>1123</v>
      </c>
      <c r="O100" s="144">
        <v>5</v>
      </c>
      <c r="P100" s="144" t="s">
        <v>1123</v>
      </c>
      <c r="Q100" s="206">
        <v>30</v>
      </c>
      <c r="R100" s="145">
        <f>C100*G100*I100*Q100</f>
        <v>0</v>
      </c>
      <c r="S100" s="146">
        <f>D100*G100*K100*Q100</f>
        <v>0</v>
      </c>
      <c r="T100" s="146">
        <f>E100*G100*M100*Q100</f>
        <v>39</v>
      </c>
      <c r="U100" s="146">
        <f>F100*G100*O100*Q100</f>
        <v>39</v>
      </c>
      <c r="V100" s="145">
        <f>C100*H100*I100*Q100</f>
        <v>0</v>
      </c>
      <c r="W100" s="146">
        <f>D100*H100*K100*Q100</f>
        <v>0</v>
      </c>
      <c r="X100" s="146">
        <f>E100*H100*M100*Q100</f>
        <v>39</v>
      </c>
      <c r="Y100" s="146">
        <f>F100*H100*O100*Q100</f>
        <v>39</v>
      </c>
      <c r="Z100" s="95" t="e">
        <f>V100/R100</f>
        <v>#DIV/0!</v>
      </c>
      <c r="AA100" s="95" t="e">
        <f>W100/S100</f>
        <v>#DIV/0!</v>
      </c>
      <c r="AB100" s="95">
        <f>X100/T100</f>
        <v>1</v>
      </c>
      <c r="AC100" s="95">
        <f>Y100/U100</f>
        <v>1</v>
      </c>
    </row>
    <row r="101" spans="1:29" s="96" customFormat="1">
      <c r="A101" s="92">
        <v>7</v>
      </c>
      <c r="B101" s="372" t="s">
        <v>699</v>
      </c>
      <c r="C101" s="92">
        <v>1</v>
      </c>
      <c r="D101" s="92">
        <v>1</v>
      </c>
      <c r="E101" s="92">
        <v>1</v>
      </c>
      <c r="F101" s="92">
        <v>1</v>
      </c>
      <c r="G101" s="148">
        <v>0.25</v>
      </c>
      <c r="H101" s="148">
        <v>0.25</v>
      </c>
      <c r="I101" s="144">
        <v>0</v>
      </c>
      <c r="J101" s="144">
        <v>0</v>
      </c>
      <c r="K101" s="144">
        <v>0</v>
      </c>
      <c r="L101" s="144">
        <v>0</v>
      </c>
      <c r="M101" s="144">
        <v>5</v>
      </c>
      <c r="N101" s="144" t="s">
        <v>1123</v>
      </c>
      <c r="O101" s="144">
        <v>5</v>
      </c>
      <c r="P101" s="144" t="s">
        <v>1123</v>
      </c>
      <c r="Q101" s="206">
        <v>30</v>
      </c>
      <c r="R101" s="145"/>
      <c r="S101" s="146"/>
      <c r="T101" s="146"/>
      <c r="U101" s="146"/>
      <c r="V101" s="145"/>
      <c r="W101" s="146"/>
      <c r="X101" s="146"/>
      <c r="Y101" s="146"/>
      <c r="Z101" s="95"/>
      <c r="AA101" s="95"/>
      <c r="AB101" s="95"/>
      <c r="AC101" s="95"/>
    </row>
    <row r="102" spans="1:29" s="96" customFormat="1">
      <c r="A102" s="92">
        <v>8</v>
      </c>
      <c r="B102" s="372" t="s">
        <v>700</v>
      </c>
      <c r="C102" s="92">
        <v>1</v>
      </c>
      <c r="D102" s="92">
        <v>1</v>
      </c>
      <c r="E102" s="92">
        <v>1</v>
      </c>
      <c r="F102" s="92">
        <v>1</v>
      </c>
      <c r="G102" s="148">
        <v>0.25</v>
      </c>
      <c r="H102" s="148">
        <v>0.25</v>
      </c>
      <c r="I102" s="144">
        <v>0</v>
      </c>
      <c r="J102" s="144">
        <v>0</v>
      </c>
      <c r="K102" s="144">
        <v>0</v>
      </c>
      <c r="L102" s="144">
        <v>0</v>
      </c>
      <c r="M102" s="144">
        <v>5</v>
      </c>
      <c r="N102" s="144" t="s">
        <v>1123</v>
      </c>
      <c r="O102" s="144">
        <v>5</v>
      </c>
      <c r="P102" s="144" t="s">
        <v>1123</v>
      </c>
      <c r="Q102" s="206">
        <v>30</v>
      </c>
      <c r="R102" s="145"/>
      <c r="S102" s="146"/>
      <c r="T102" s="146"/>
      <c r="U102" s="146"/>
      <c r="V102" s="145"/>
      <c r="W102" s="146"/>
      <c r="X102" s="146"/>
      <c r="Y102" s="146"/>
      <c r="Z102" s="95"/>
      <c r="AA102" s="95"/>
      <c r="AB102" s="95"/>
      <c r="AC102" s="95"/>
    </row>
    <row r="103" spans="1:29" s="96" customFormat="1">
      <c r="A103" s="92">
        <v>9</v>
      </c>
      <c r="B103" s="372" t="s">
        <v>701</v>
      </c>
      <c r="C103" s="92">
        <v>1</v>
      </c>
      <c r="D103" s="92">
        <v>1</v>
      </c>
      <c r="E103" s="92">
        <v>1</v>
      </c>
      <c r="F103" s="92">
        <v>1</v>
      </c>
      <c r="G103" s="148">
        <v>0.25</v>
      </c>
      <c r="H103" s="148">
        <v>0.25</v>
      </c>
      <c r="I103" s="144">
        <v>0</v>
      </c>
      <c r="J103" s="144">
        <v>0</v>
      </c>
      <c r="K103" s="144">
        <v>0</v>
      </c>
      <c r="L103" s="144">
        <v>0</v>
      </c>
      <c r="M103" s="144">
        <v>5</v>
      </c>
      <c r="N103" s="144" t="s">
        <v>1123</v>
      </c>
      <c r="O103" s="144">
        <v>5</v>
      </c>
      <c r="P103" s="144" t="s">
        <v>1123</v>
      </c>
      <c r="Q103" s="206">
        <v>30</v>
      </c>
      <c r="R103" s="145"/>
      <c r="S103" s="146"/>
      <c r="T103" s="146"/>
      <c r="U103" s="146"/>
      <c r="V103" s="145"/>
      <c r="W103" s="146"/>
      <c r="X103" s="146"/>
      <c r="Y103" s="146"/>
      <c r="Z103" s="95"/>
      <c r="AA103" s="95"/>
      <c r="AB103" s="95"/>
      <c r="AC103" s="95"/>
    </row>
    <row r="104" spans="1:29" s="96" customFormat="1">
      <c r="A104" s="92">
        <v>10</v>
      </c>
      <c r="B104" s="372" t="s">
        <v>702</v>
      </c>
      <c r="C104" s="92">
        <v>1</v>
      </c>
      <c r="D104" s="92">
        <v>1</v>
      </c>
      <c r="E104" s="92">
        <v>1</v>
      </c>
      <c r="F104" s="92">
        <v>1</v>
      </c>
      <c r="G104" s="148">
        <v>0.25</v>
      </c>
      <c r="H104" s="148">
        <v>0.25</v>
      </c>
      <c r="I104" s="144">
        <v>0</v>
      </c>
      <c r="J104" s="144">
        <v>0</v>
      </c>
      <c r="K104" s="144">
        <v>0</v>
      </c>
      <c r="L104" s="144">
        <v>0</v>
      </c>
      <c r="M104" s="144">
        <v>5</v>
      </c>
      <c r="N104" s="144" t="s">
        <v>1123</v>
      </c>
      <c r="O104" s="144">
        <v>5</v>
      </c>
      <c r="P104" s="144" t="s">
        <v>1123</v>
      </c>
      <c r="Q104" s="206">
        <v>30</v>
      </c>
      <c r="R104" s="145"/>
      <c r="S104" s="146"/>
      <c r="T104" s="146"/>
      <c r="U104" s="146"/>
      <c r="V104" s="145"/>
      <c r="W104" s="146"/>
      <c r="X104" s="146"/>
      <c r="Y104" s="146"/>
      <c r="Z104" s="95"/>
      <c r="AA104" s="95"/>
      <c r="AB104" s="95"/>
      <c r="AC104" s="95"/>
    </row>
    <row r="105" spans="1:29" s="96" customFormat="1">
      <c r="A105" s="92">
        <v>11</v>
      </c>
      <c r="B105" s="143" t="s">
        <v>443</v>
      </c>
      <c r="C105" s="92">
        <v>1</v>
      </c>
      <c r="D105" s="92">
        <v>1</v>
      </c>
      <c r="E105" s="92">
        <v>1</v>
      </c>
      <c r="F105" s="92">
        <v>1</v>
      </c>
      <c r="G105" s="148">
        <v>4</v>
      </c>
      <c r="H105" s="148">
        <v>4</v>
      </c>
      <c r="I105" s="148">
        <v>0</v>
      </c>
      <c r="J105" s="148">
        <v>0</v>
      </c>
      <c r="K105" s="148">
        <v>0</v>
      </c>
      <c r="L105" s="148">
        <v>0</v>
      </c>
      <c r="M105" s="148">
        <v>24</v>
      </c>
      <c r="N105" s="148" t="s">
        <v>996</v>
      </c>
      <c r="O105" s="148">
        <v>24</v>
      </c>
      <c r="P105" s="148" t="s">
        <v>996</v>
      </c>
      <c r="Q105" s="136">
        <v>30</v>
      </c>
      <c r="R105" s="145">
        <f>C105*G105*I105*Q105</f>
        <v>0</v>
      </c>
      <c r="S105" s="146">
        <f>D105*G105*K105*Q105</f>
        <v>0</v>
      </c>
      <c r="T105" s="146">
        <f>E105*G105*M105*Q105</f>
        <v>2880</v>
      </c>
      <c r="U105" s="146">
        <f>F105*G105*O105*Q105</f>
        <v>2880</v>
      </c>
      <c r="V105" s="145">
        <f>C105*H105*I105*Q105</f>
        <v>0</v>
      </c>
      <c r="W105" s="146">
        <f>D105*H105*K105*Q105</f>
        <v>0</v>
      </c>
      <c r="X105" s="146">
        <f>E105*H105*M105*Q105</f>
        <v>2880</v>
      </c>
      <c r="Y105" s="146">
        <f>F105*H105*O105*Q105</f>
        <v>2880</v>
      </c>
      <c r="Z105" s="95" t="e">
        <f t="shared" ref="Z105:AC108" si="45">V105/R105</f>
        <v>#DIV/0!</v>
      </c>
      <c r="AA105" s="95" t="e">
        <f t="shared" si="45"/>
        <v>#DIV/0!</v>
      </c>
      <c r="AB105" s="95">
        <f t="shared" si="45"/>
        <v>1</v>
      </c>
      <c r="AC105" s="95">
        <f t="shared" si="45"/>
        <v>1</v>
      </c>
    </row>
    <row r="106" spans="1:29" s="96" customFormat="1">
      <c r="A106" s="92">
        <v>12</v>
      </c>
      <c r="B106" s="143" t="s">
        <v>444</v>
      </c>
      <c r="C106" s="130">
        <v>1</v>
      </c>
      <c r="D106" s="130">
        <v>1</v>
      </c>
      <c r="E106" s="130">
        <v>1</v>
      </c>
      <c r="F106" s="130">
        <v>1</v>
      </c>
      <c r="G106" s="148">
        <v>1</v>
      </c>
      <c r="H106" s="148">
        <v>1</v>
      </c>
      <c r="I106" s="148">
        <v>0</v>
      </c>
      <c r="J106" s="148">
        <v>0</v>
      </c>
      <c r="K106" s="148">
        <v>0</v>
      </c>
      <c r="L106" s="148">
        <v>0</v>
      </c>
      <c r="M106" s="148">
        <v>24</v>
      </c>
      <c r="N106" s="148" t="s">
        <v>996</v>
      </c>
      <c r="O106" s="148">
        <v>24</v>
      </c>
      <c r="P106" s="148" t="s">
        <v>996</v>
      </c>
      <c r="Q106" s="136">
        <v>30</v>
      </c>
      <c r="R106" s="145">
        <f>C106*G106*I106*Q106</f>
        <v>0</v>
      </c>
      <c r="S106" s="146">
        <f>D106*G106*K106*Q106</f>
        <v>0</v>
      </c>
      <c r="T106" s="146">
        <f>E106*G106*M106*Q106</f>
        <v>720</v>
      </c>
      <c r="U106" s="146">
        <f>F106*G106*O106*Q106</f>
        <v>720</v>
      </c>
      <c r="V106" s="145">
        <f>C106*H106*I106*Q106</f>
        <v>0</v>
      </c>
      <c r="W106" s="146">
        <f>D106*H106*K106*Q106</f>
        <v>0</v>
      </c>
      <c r="X106" s="146">
        <f>E106*H106*M106*Q106</f>
        <v>720</v>
      </c>
      <c r="Y106" s="146">
        <f>F106*H106*O106*Q106</f>
        <v>720</v>
      </c>
      <c r="Z106" s="95" t="e">
        <f t="shared" si="45"/>
        <v>#DIV/0!</v>
      </c>
      <c r="AA106" s="95" t="e">
        <f t="shared" si="45"/>
        <v>#DIV/0!</v>
      </c>
      <c r="AB106" s="95">
        <f t="shared" si="45"/>
        <v>1</v>
      </c>
      <c r="AC106" s="95">
        <f t="shared" si="45"/>
        <v>1</v>
      </c>
    </row>
    <row r="107" spans="1:29" s="96" customFormat="1">
      <c r="A107" s="92">
        <v>13</v>
      </c>
      <c r="B107" s="143" t="s">
        <v>561</v>
      </c>
      <c r="C107" s="130">
        <v>1</v>
      </c>
      <c r="D107" s="130">
        <v>1</v>
      </c>
      <c r="E107" s="130">
        <v>1</v>
      </c>
      <c r="F107" s="130">
        <v>1</v>
      </c>
      <c r="G107" s="148">
        <v>1</v>
      </c>
      <c r="H107" s="148">
        <v>1</v>
      </c>
      <c r="I107" s="148">
        <v>0</v>
      </c>
      <c r="J107" s="148">
        <v>0</v>
      </c>
      <c r="K107" s="148">
        <v>0</v>
      </c>
      <c r="L107" s="148">
        <v>0</v>
      </c>
      <c r="M107" s="148">
        <v>24</v>
      </c>
      <c r="N107" s="148" t="s">
        <v>996</v>
      </c>
      <c r="O107" s="148">
        <v>24</v>
      </c>
      <c r="P107" s="148" t="s">
        <v>996</v>
      </c>
      <c r="Q107" s="136">
        <v>30</v>
      </c>
      <c r="R107" s="145">
        <f>C107*G107*I107*Q107</f>
        <v>0</v>
      </c>
      <c r="S107" s="146">
        <f>D107*G107*K107*Q107</f>
        <v>0</v>
      </c>
      <c r="T107" s="146">
        <f>E107*G107*M107*Q107</f>
        <v>720</v>
      </c>
      <c r="U107" s="146">
        <f>F107*G107*O107*Q107</f>
        <v>720</v>
      </c>
      <c r="V107" s="145">
        <f>C107*H107*I107*Q107</f>
        <v>0</v>
      </c>
      <c r="W107" s="146">
        <f>D107*H107*K107*Q107</f>
        <v>0</v>
      </c>
      <c r="X107" s="146">
        <f>E107*H107*M107*Q107</f>
        <v>720</v>
      </c>
      <c r="Y107" s="146">
        <f>F107*H107*O107*Q107</f>
        <v>720</v>
      </c>
      <c r="Z107" s="95" t="e">
        <f t="shared" si="45"/>
        <v>#DIV/0!</v>
      </c>
      <c r="AA107" s="95" t="e">
        <f t="shared" si="45"/>
        <v>#DIV/0!</v>
      </c>
      <c r="AB107" s="95">
        <f t="shared" si="45"/>
        <v>1</v>
      </c>
      <c r="AC107" s="95">
        <f t="shared" si="45"/>
        <v>1</v>
      </c>
    </row>
    <row r="108" spans="1:29" s="96" customFormat="1">
      <c r="A108" s="92">
        <v>14</v>
      </c>
      <c r="B108" s="143" t="s">
        <v>455</v>
      </c>
      <c r="C108" s="130">
        <v>1</v>
      </c>
      <c r="D108" s="130">
        <v>1</v>
      </c>
      <c r="E108" s="130">
        <v>1</v>
      </c>
      <c r="F108" s="130">
        <v>1</v>
      </c>
      <c r="G108" s="148">
        <v>4.7</v>
      </c>
      <c r="H108" s="148">
        <v>4.7</v>
      </c>
      <c r="I108" s="144">
        <v>0</v>
      </c>
      <c r="J108" s="144">
        <v>0</v>
      </c>
      <c r="K108" s="144">
        <v>0</v>
      </c>
      <c r="L108" s="144">
        <v>0</v>
      </c>
      <c r="M108" s="144">
        <v>5</v>
      </c>
      <c r="N108" s="144" t="s">
        <v>1123</v>
      </c>
      <c r="O108" s="144">
        <v>5</v>
      </c>
      <c r="P108" s="144" t="s">
        <v>1123</v>
      </c>
      <c r="Q108" s="136">
        <v>30</v>
      </c>
      <c r="R108" s="145">
        <f>C108*G108*I108*Q108</f>
        <v>0</v>
      </c>
      <c r="S108" s="146">
        <f>D108*G108*K108*Q108</f>
        <v>0</v>
      </c>
      <c r="T108" s="146">
        <f>E108*G108*M108*Q108</f>
        <v>705</v>
      </c>
      <c r="U108" s="146">
        <f>F108*G108*O108*Q108</f>
        <v>705</v>
      </c>
      <c r="V108" s="145">
        <f>C108*H108*I108*Q108</f>
        <v>0</v>
      </c>
      <c r="W108" s="146">
        <f>D108*H108*K108*Q108</f>
        <v>0</v>
      </c>
      <c r="X108" s="146">
        <f>E108*H108*M108*Q108</f>
        <v>705</v>
      </c>
      <c r="Y108" s="146">
        <f>F108*H108*O108*Q108</f>
        <v>705</v>
      </c>
      <c r="Z108" s="95" t="e">
        <f t="shared" si="45"/>
        <v>#DIV/0!</v>
      </c>
      <c r="AA108" s="95" t="e">
        <f t="shared" si="45"/>
        <v>#DIV/0!</v>
      </c>
      <c r="AB108" s="95">
        <f t="shared" si="45"/>
        <v>1</v>
      </c>
      <c r="AC108" s="95">
        <f t="shared" si="45"/>
        <v>1</v>
      </c>
    </row>
    <row r="109" spans="1:29" s="96" customFormat="1">
      <c r="A109" s="92">
        <v>15</v>
      </c>
      <c r="B109" s="372" t="s">
        <v>703</v>
      </c>
      <c r="C109" s="92">
        <v>1</v>
      </c>
      <c r="D109" s="92">
        <v>1</v>
      </c>
      <c r="E109" s="92">
        <v>1</v>
      </c>
      <c r="F109" s="92">
        <v>1</v>
      </c>
      <c r="G109" s="149">
        <v>5</v>
      </c>
      <c r="H109" s="149">
        <v>5</v>
      </c>
      <c r="I109" s="148">
        <v>0</v>
      </c>
      <c r="J109" s="148">
        <v>0</v>
      </c>
      <c r="K109" s="148">
        <v>0</v>
      </c>
      <c r="L109" s="148">
        <v>0</v>
      </c>
      <c r="M109" s="148">
        <v>24</v>
      </c>
      <c r="N109" s="148" t="s">
        <v>996</v>
      </c>
      <c r="O109" s="148">
        <v>24</v>
      </c>
      <c r="P109" s="148" t="s">
        <v>996</v>
      </c>
      <c r="Q109" s="136"/>
      <c r="R109" s="145"/>
      <c r="S109" s="146"/>
      <c r="T109" s="146"/>
      <c r="U109" s="146"/>
      <c r="V109" s="145"/>
      <c r="W109" s="146"/>
      <c r="X109" s="146"/>
      <c r="Y109" s="146"/>
      <c r="Z109" s="95"/>
      <c r="AA109" s="95"/>
      <c r="AB109" s="95"/>
      <c r="AC109" s="95"/>
    </row>
    <row r="110" spans="1:29" s="96" customFormat="1">
      <c r="A110" s="92">
        <v>16</v>
      </c>
      <c r="B110" s="143" t="s">
        <v>425</v>
      </c>
      <c r="C110" s="130">
        <v>2</v>
      </c>
      <c r="D110" s="130">
        <v>2</v>
      </c>
      <c r="E110" s="130">
        <v>2</v>
      </c>
      <c r="F110" s="130">
        <v>2</v>
      </c>
      <c r="G110" s="148">
        <v>0.18</v>
      </c>
      <c r="H110" s="148">
        <v>0.18</v>
      </c>
      <c r="I110" s="148">
        <v>0</v>
      </c>
      <c r="J110" s="148">
        <v>0</v>
      </c>
      <c r="K110" s="148">
        <v>0</v>
      </c>
      <c r="L110" s="148">
        <v>0</v>
      </c>
      <c r="M110" s="148">
        <v>4</v>
      </c>
      <c r="N110" s="148" t="s">
        <v>1126</v>
      </c>
      <c r="O110" s="148">
        <v>4</v>
      </c>
      <c r="P110" s="148" t="s">
        <v>1126</v>
      </c>
      <c r="Q110" s="136">
        <v>30</v>
      </c>
      <c r="R110" s="145">
        <f t="shared" ref="R110:R115" si="46">C110*G110*I110*Q110</f>
        <v>0</v>
      </c>
      <c r="S110" s="146">
        <f t="shared" ref="S110:S115" si="47">D110*G110*K110*Q110</f>
        <v>0</v>
      </c>
      <c r="T110" s="146">
        <f t="shared" ref="T110:T115" si="48">E110*G110*M110*Q110</f>
        <v>43.199999999999996</v>
      </c>
      <c r="U110" s="146">
        <f t="shared" ref="U110:U115" si="49">F110*G110*O110*Q110</f>
        <v>43.199999999999996</v>
      </c>
      <c r="V110" s="145">
        <f t="shared" ref="V110:V115" si="50">C110*H110*I110*Q110</f>
        <v>0</v>
      </c>
      <c r="W110" s="146">
        <f t="shared" ref="W110:W115" si="51">D110*H110*K110*Q110</f>
        <v>0</v>
      </c>
      <c r="X110" s="146">
        <f t="shared" ref="X110:X115" si="52">E110*H110*M110*Q110</f>
        <v>43.199999999999996</v>
      </c>
      <c r="Y110" s="146">
        <f t="shared" ref="Y110:Y115" si="53">F110*H110*O110*Q110</f>
        <v>43.199999999999996</v>
      </c>
      <c r="Z110" s="95" t="e">
        <f t="shared" ref="Z110:AC115" si="54">V110/R110</f>
        <v>#DIV/0!</v>
      </c>
      <c r="AA110" s="95" t="e">
        <f t="shared" si="54"/>
        <v>#DIV/0!</v>
      </c>
      <c r="AB110" s="95">
        <f t="shared" si="54"/>
        <v>1</v>
      </c>
      <c r="AC110" s="95">
        <f t="shared" si="54"/>
        <v>1</v>
      </c>
    </row>
    <row r="111" spans="1:29" s="96" customFormat="1">
      <c r="A111" s="92">
        <v>17</v>
      </c>
      <c r="B111" s="143" t="s">
        <v>445</v>
      </c>
      <c r="C111" s="130">
        <v>1</v>
      </c>
      <c r="D111" s="130">
        <v>1</v>
      </c>
      <c r="E111" s="130">
        <v>1</v>
      </c>
      <c r="F111" s="130">
        <v>1</v>
      </c>
      <c r="G111" s="148">
        <v>0.28999999999999998</v>
      </c>
      <c r="H111" s="148">
        <v>0.28999999999999998</v>
      </c>
      <c r="I111" s="148">
        <v>0</v>
      </c>
      <c r="J111" s="148">
        <v>0</v>
      </c>
      <c r="K111" s="148">
        <v>0</v>
      </c>
      <c r="L111" s="148">
        <v>0</v>
      </c>
      <c r="M111" s="148">
        <v>4</v>
      </c>
      <c r="N111" s="148" t="s">
        <v>1126</v>
      </c>
      <c r="O111" s="148">
        <v>4</v>
      </c>
      <c r="P111" s="148" t="s">
        <v>1126</v>
      </c>
      <c r="Q111" s="136">
        <v>30</v>
      </c>
      <c r="R111" s="145">
        <f t="shared" si="46"/>
        <v>0</v>
      </c>
      <c r="S111" s="146">
        <f t="shared" si="47"/>
        <v>0</v>
      </c>
      <c r="T111" s="146">
        <f t="shared" si="48"/>
        <v>34.799999999999997</v>
      </c>
      <c r="U111" s="146">
        <f t="shared" si="49"/>
        <v>34.799999999999997</v>
      </c>
      <c r="V111" s="145">
        <f t="shared" si="50"/>
        <v>0</v>
      </c>
      <c r="W111" s="146">
        <f t="shared" si="51"/>
        <v>0</v>
      </c>
      <c r="X111" s="146">
        <f t="shared" si="52"/>
        <v>34.799999999999997</v>
      </c>
      <c r="Y111" s="146">
        <f t="shared" si="53"/>
        <v>34.799999999999997</v>
      </c>
      <c r="Z111" s="95" t="e">
        <f t="shared" si="54"/>
        <v>#DIV/0!</v>
      </c>
      <c r="AA111" s="95" t="e">
        <f t="shared" si="54"/>
        <v>#DIV/0!</v>
      </c>
      <c r="AB111" s="95">
        <f t="shared" si="54"/>
        <v>1</v>
      </c>
      <c r="AC111" s="95">
        <f t="shared" si="54"/>
        <v>1</v>
      </c>
    </row>
    <row r="112" spans="1:29" s="96" customFormat="1">
      <c r="A112" s="92">
        <v>18</v>
      </c>
      <c r="B112" s="372" t="s">
        <v>704</v>
      </c>
      <c r="C112" s="92">
        <v>1</v>
      </c>
      <c r="D112" s="92">
        <v>1</v>
      </c>
      <c r="E112" s="92">
        <v>1</v>
      </c>
      <c r="F112" s="92">
        <v>1</v>
      </c>
      <c r="G112" s="149">
        <v>2</v>
      </c>
      <c r="H112" s="149">
        <v>2</v>
      </c>
      <c r="I112" s="148">
        <v>0</v>
      </c>
      <c r="J112" s="148">
        <v>0</v>
      </c>
      <c r="K112" s="148">
        <v>0</v>
      </c>
      <c r="L112" s="148">
        <v>0</v>
      </c>
      <c r="M112" s="148">
        <v>4</v>
      </c>
      <c r="N112" s="148" t="s">
        <v>1126</v>
      </c>
      <c r="O112" s="148">
        <v>4</v>
      </c>
      <c r="P112" s="148" t="s">
        <v>1126</v>
      </c>
      <c r="Q112" s="136">
        <v>30</v>
      </c>
      <c r="R112" s="145">
        <f t="shared" si="46"/>
        <v>0</v>
      </c>
      <c r="S112" s="146">
        <f t="shared" si="47"/>
        <v>0</v>
      </c>
      <c r="T112" s="146">
        <f t="shared" si="48"/>
        <v>240</v>
      </c>
      <c r="U112" s="146">
        <f t="shared" si="49"/>
        <v>240</v>
      </c>
      <c r="V112" s="145">
        <f t="shared" si="50"/>
        <v>0</v>
      </c>
      <c r="W112" s="146">
        <f t="shared" si="51"/>
        <v>0</v>
      </c>
      <c r="X112" s="146">
        <f t="shared" si="52"/>
        <v>240</v>
      </c>
      <c r="Y112" s="146">
        <f t="shared" si="53"/>
        <v>240</v>
      </c>
      <c r="Z112" s="95" t="e">
        <f t="shared" si="54"/>
        <v>#DIV/0!</v>
      </c>
      <c r="AA112" s="95" t="e">
        <f t="shared" si="54"/>
        <v>#DIV/0!</v>
      </c>
      <c r="AB112" s="95">
        <f t="shared" si="54"/>
        <v>1</v>
      </c>
      <c r="AC112" s="95">
        <f t="shared" si="54"/>
        <v>1</v>
      </c>
    </row>
    <row r="113" spans="1:29" s="96" customFormat="1">
      <c r="A113" s="92">
        <v>19</v>
      </c>
      <c r="B113" s="372" t="s">
        <v>705</v>
      </c>
      <c r="C113" s="92">
        <v>3</v>
      </c>
      <c r="D113" s="92">
        <v>3</v>
      </c>
      <c r="E113" s="92">
        <v>3</v>
      </c>
      <c r="F113" s="92">
        <v>3</v>
      </c>
      <c r="G113" s="149">
        <v>0.1</v>
      </c>
      <c r="H113" s="149">
        <v>0.1</v>
      </c>
      <c r="I113" s="148">
        <v>0</v>
      </c>
      <c r="J113" s="148">
        <v>0</v>
      </c>
      <c r="K113" s="148">
        <v>0</v>
      </c>
      <c r="L113" s="148">
        <v>0</v>
      </c>
      <c r="M113" s="148">
        <v>4</v>
      </c>
      <c r="N113" s="148" t="s">
        <v>1126</v>
      </c>
      <c r="O113" s="148">
        <v>4</v>
      </c>
      <c r="P113" s="148" t="s">
        <v>1126</v>
      </c>
      <c r="Q113" s="136">
        <v>30</v>
      </c>
      <c r="R113" s="145">
        <f t="shared" si="46"/>
        <v>0</v>
      </c>
      <c r="S113" s="146">
        <f t="shared" si="47"/>
        <v>0</v>
      </c>
      <c r="T113" s="146">
        <f t="shared" si="48"/>
        <v>36.000000000000007</v>
      </c>
      <c r="U113" s="146">
        <f t="shared" si="49"/>
        <v>36.000000000000007</v>
      </c>
      <c r="V113" s="145">
        <f t="shared" si="50"/>
        <v>0</v>
      </c>
      <c r="W113" s="146">
        <f t="shared" si="51"/>
        <v>0</v>
      </c>
      <c r="X113" s="146">
        <f t="shared" si="52"/>
        <v>36.000000000000007</v>
      </c>
      <c r="Y113" s="146">
        <f t="shared" si="53"/>
        <v>36.000000000000007</v>
      </c>
      <c r="Z113" s="95" t="e">
        <f t="shared" si="54"/>
        <v>#DIV/0!</v>
      </c>
      <c r="AA113" s="95" t="e">
        <f t="shared" si="54"/>
        <v>#DIV/0!</v>
      </c>
      <c r="AB113" s="95">
        <f t="shared" si="54"/>
        <v>1</v>
      </c>
      <c r="AC113" s="95">
        <f t="shared" si="54"/>
        <v>1</v>
      </c>
    </row>
    <row r="114" spans="1:29" s="96" customFormat="1" ht="15.75">
      <c r="A114" s="92">
        <v>20</v>
      </c>
      <c r="B114" s="151" t="s">
        <v>706</v>
      </c>
      <c r="C114" s="92">
        <v>1</v>
      </c>
      <c r="D114" s="92">
        <v>1</v>
      </c>
      <c r="E114" s="92">
        <v>1</v>
      </c>
      <c r="F114" s="92">
        <v>1</v>
      </c>
      <c r="G114" s="149">
        <v>2</v>
      </c>
      <c r="H114" s="149">
        <v>2</v>
      </c>
      <c r="I114" s="148">
        <v>0</v>
      </c>
      <c r="J114" s="148">
        <v>0</v>
      </c>
      <c r="K114" s="148">
        <v>0</v>
      </c>
      <c r="L114" s="148">
        <v>0</v>
      </c>
      <c r="M114" s="148">
        <v>4</v>
      </c>
      <c r="N114" s="148" t="s">
        <v>1126</v>
      </c>
      <c r="O114" s="148">
        <v>4</v>
      </c>
      <c r="P114" s="148" t="s">
        <v>1126</v>
      </c>
      <c r="Q114" s="136">
        <v>30</v>
      </c>
      <c r="R114" s="145">
        <f t="shared" si="46"/>
        <v>0</v>
      </c>
      <c r="S114" s="146">
        <f t="shared" si="47"/>
        <v>0</v>
      </c>
      <c r="T114" s="146">
        <f t="shared" si="48"/>
        <v>240</v>
      </c>
      <c r="U114" s="146">
        <f t="shared" si="49"/>
        <v>240</v>
      </c>
      <c r="V114" s="145">
        <f t="shared" si="50"/>
        <v>0</v>
      </c>
      <c r="W114" s="146">
        <f t="shared" si="51"/>
        <v>0</v>
      </c>
      <c r="X114" s="146">
        <f t="shared" si="52"/>
        <v>240</v>
      </c>
      <c r="Y114" s="146">
        <f t="shared" si="53"/>
        <v>240</v>
      </c>
      <c r="Z114" s="95" t="e">
        <f t="shared" si="54"/>
        <v>#DIV/0!</v>
      </c>
      <c r="AA114" s="95" t="e">
        <f t="shared" si="54"/>
        <v>#DIV/0!</v>
      </c>
      <c r="AB114" s="95">
        <f t="shared" si="54"/>
        <v>1</v>
      </c>
      <c r="AC114" s="95">
        <f t="shared" si="54"/>
        <v>1</v>
      </c>
    </row>
    <row r="115" spans="1:29" s="96" customFormat="1">
      <c r="A115" s="92">
        <v>21</v>
      </c>
      <c r="B115" s="143" t="s">
        <v>707</v>
      </c>
      <c r="C115" s="130">
        <v>1</v>
      </c>
      <c r="D115" s="130">
        <v>1</v>
      </c>
      <c r="E115" s="130">
        <v>1</v>
      </c>
      <c r="F115" s="130">
        <v>1</v>
      </c>
      <c r="G115" s="148">
        <v>8.5</v>
      </c>
      <c r="H115" s="148">
        <v>8.5</v>
      </c>
      <c r="I115" s="148">
        <v>15</v>
      </c>
      <c r="J115" s="148" t="s">
        <v>1121</v>
      </c>
      <c r="K115" s="148">
        <v>15</v>
      </c>
      <c r="L115" s="148" t="s">
        <v>1121</v>
      </c>
      <c r="M115" s="148">
        <v>15</v>
      </c>
      <c r="N115" s="148" t="s">
        <v>1121</v>
      </c>
      <c r="O115" s="148">
        <v>15</v>
      </c>
      <c r="P115" s="148" t="s">
        <v>1121</v>
      </c>
      <c r="Q115" s="136">
        <v>30</v>
      </c>
      <c r="R115" s="145">
        <f t="shared" si="46"/>
        <v>3825</v>
      </c>
      <c r="S115" s="146">
        <f t="shared" si="47"/>
        <v>3825</v>
      </c>
      <c r="T115" s="146">
        <f t="shared" si="48"/>
        <v>3825</v>
      </c>
      <c r="U115" s="146">
        <f t="shared" si="49"/>
        <v>3825</v>
      </c>
      <c r="V115" s="145">
        <f t="shared" si="50"/>
        <v>3825</v>
      </c>
      <c r="W115" s="146">
        <f t="shared" si="51"/>
        <v>3825</v>
      </c>
      <c r="X115" s="146">
        <f t="shared" si="52"/>
        <v>3825</v>
      </c>
      <c r="Y115" s="146">
        <f t="shared" si="53"/>
        <v>3825</v>
      </c>
      <c r="Z115" s="95">
        <f t="shared" si="54"/>
        <v>1</v>
      </c>
      <c r="AA115" s="95">
        <f t="shared" si="54"/>
        <v>1</v>
      </c>
      <c r="AB115" s="95">
        <f t="shared" si="54"/>
        <v>1</v>
      </c>
      <c r="AC115" s="95">
        <f t="shared" si="54"/>
        <v>1</v>
      </c>
    </row>
    <row r="116" spans="1:29" s="96" customFormat="1">
      <c r="A116" s="92"/>
      <c r="B116" s="162" t="s">
        <v>325</v>
      </c>
      <c r="C116" s="92"/>
      <c r="D116" s="92"/>
      <c r="E116" s="92"/>
      <c r="F116" s="92"/>
      <c r="G116" s="149"/>
      <c r="H116" s="149"/>
      <c r="I116" s="144"/>
      <c r="J116" s="144"/>
      <c r="K116" s="144"/>
      <c r="L116" s="144"/>
      <c r="M116" s="144"/>
      <c r="N116" s="144"/>
      <c r="O116" s="144"/>
      <c r="P116" s="144"/>
      <c r="Q116" s="136"/>
      <c r="R116" s="145"/>
      <c r="S116" s="146"/>
      <c r="T116" s="146"/>
      <c r="U116" s="146"/>
      <c r="V116" s="145"/>
      <c r="W116" s="146"/>
      <c r="X116" s="146"/>
      <c r="Y116" s="146"/>
      <c r="Z116" s="95"/>
      <c r="AA116" s="95"/>
      <c r="AB116" s="95"/>
      <c r="AC116" s="95"/>
    </row>
    <row r="117" spans="1:29" s="96" customFormat="1">
      <c r="A117" s="92">
        <v>22</v>
      </c>
      <c r="B117" s="143" t="s">
        <v>442</v>
      </c>
      <c r="C117" s="130">
        <v>3</v>
      </c>
      <c r="D117" s="130">
        <v>3</v>
      </c>
      <c r="E117" s="130">
        <v>3</v>
      </c>
      <c r="F117" s="130">
        <v>3</v>
      </c>
      <c r="G117" s="148">
        <v>0.26</v>
      </c>
      <c r="H117" s="148">
        <v>0.26</v>
      </c>
      <c r="I117" s="148">
        <v>0</v>
      </c>
      <c r="J117" s="148">
        <v>0</v>
      </c>
      <c r="K117" s="148">
        <v>4</v>
      </c>
      <c r="L117" s="148" t="s">
        <v>1126</v>
      </c>
      <c r="M117" s="148">
        <v>4</v>
      </c>
      <c r="N117" s="148" t="s">
        <v>1126</v>
      </c>
      <c r="O117" s="148">
        <v>4</v>
      </c>
      <c r="P117" s="148" t="s">
        <v>1126</v>
      </c>
      <c r="Q117" s="136">
        <v>30</v>
      </c>
      <c r="R117" s="145">
        <f>C117*G117*I117*Q117</f>
        <v>0</v>
      </c>
      <c r="S117" s="146">
        <f>D117*G117*K117*Q117</f>
        <v>93.600000000000009</v>
      </c>
      <c r="T117" s="146">
        <f>E117*G117*M117*Q117</f>
        <v>93.600000000000009</v>
      </c>
      <c r="U117" s="146">
        <f>F117*G117*O117*Q117</f>
        <v>93.600000000000009</v>
      </c>
      <c r="V117" s="145">
        <f>C117*H117*I117*Q117</f>
        <v>0</v>
      </c>
      <c r="W117" s="146">
        <f>D117*H117*K117*Q117</f>
        <v>93.600000000000009</v>
      </c>
      <c r="X117" s="146">
        <f>E117*H117*M117*Q117</f>
        <v>93.600000000000009</v>
      </c>
      <c r="Y117" s="146">
        <f>F117*H117*O117*Q117</f>
        <v>93.600000000000009</v>
      </c>
      <c r="Z117" s="95" t="e">
        <f>V117/R117</f>
        <v>#DIV/0!</v>
      </c>
      <c r="AA117" s="95">
        <f>W117/S117</f>
        <v>1</v>
      </c>
      <c r="AB117" s="95">
        <f>X117/T117</f>
        <v>1</v>
      </c>
      <c r="AC117" s="95">
        <f>Y117/U117</f>
        <v>1</v>
      </c>
    </row>
    <row r="118" spans="1:29" s="96" customFormat="1">
      <c r="A118" s="92">
        <v>23</v>
      </c>
      <c r="B118" s="372" t="s">
        <v>699</v>
      </c>
      <c r="C118" s="92">
        <v>1</v>
      </c>
      <c r="D118" s="92">
        <v>1</v>
      </c>
      <c r="E118" s="92">
        <v>1</v>
      </c>
      <c r="F118" s="92">
        <v>1</v>
      </c>
      <c r="G118" s="148">
        <v>0.25</v>
      </c>
      <c r="H118" s="148">
        <v>0.25</v>
      </c>
      <c r="I118" s="148">
        <v>0</v>
      </c>
      <c r="J118" s="148">
        <v>0</v>
      </c>
      <c r="K118" s="148">
        <v>4</v>
      </c>
      <c r="L118" s="148" t="s">
        <v>1126</v>
      </c>
      <c r="M118" s="148">
        <v>4</v>
      </c>
      <c r="N118" s="148" t="s">
        <v>1126</v>
      </c>
      <c r="O118" s="148">
        <v>4</v>
      </c>
      <c r="P118" s="148" t="s">
        <v>1126</v>
      </c>
      <c r="Q118" s="136">
        <v>30</v>
      </c>
      <c r="R118" s="145"/>
      <c r="S118" s="146"/>
      <c r="T118" s="146"/>
      <c r="U118" s="146"/>
      <c r="V118" s="145"/>
      <c r="W118" s="146"/>
      <c r="X118" s="146"/>
      <c r="Y118" s="146"/>
      <c r="Z118" s="95"/>
      <c r="AA118" s="95"/>
      <c r="AB118" s="95"/>
      <c r="AC118" s="95"/>
    </row>
    <row r="119" spans="1:29" s="96" customFormat="1">
      <c r="A119" s="92">
        <v>24</v>
      </c>
      <c r="B119" s="372" t="s">
        <v>700</v>
      </c>
      <c r="C119" s="92">
        <v>1</v>
      </c>
      <c r="D119" s="92">
        <v>1</v>
      </c>
      <c r="E119" s="92">
        <v>1</v>
      </c>
      <c r="F119" s="92">
        <v>1</v>
      </c>
      <c r="G119" s="148">
        <v>0.25</v>
      </c>
      <c r="H119" s="148">
        <v>0.25</v>
      </c>
      <c r="I119" s="148">
        <v>0</v>
      </c>
      <c r="J119" s="148">
        <v>0</v>
      </c>
      <c r="K119" s="148">
        <v>4</v>
      </c>
      <c r="L119" s="148" t="s">
        <v>1126</v>
      </c>
      <c r="M119" s="148">
        <v>4</v>
      </c>
      <c r="N119" s="148" t="s">
        <v>1126</v>
      </c>
      <c r="O119" s="148">
        <v>4</v>
      </c>
      <c r="P119" s="148" t="s">
        <v>1126</v>
      </c>
      <c r="Q119" s="136">
        <v>30</v>
      </c>
      <c r="R119" s="145"/>
      <c r="S119" s="146"/>
      <c r="T119" s="146"/>
      <c r="U119" s="146"/>
      <c r="V119" s="145"/>
      <c r="W119" s="146"/>
      <c r="X119" s="146"/>
      <c r="Y119" s="146"/>
      <c r="Z119" s="95"/>
      <c r="AA119" s="95"/>
      <c r="AB119" s="95"/>
      <c r="AC119" s="95"/>
    </row>
    <row r="120" spans="1:29" s="96" customFormat="1">
      <c r="A120" s="92">
        <v>25</v>
      </c>
      <c r="B120" s="372" t="s">
        <v>701</v>
      </c>
      <c r="C120" s="92">
        <v>1</v>
      </c>
      <c r="D120" s="92">
        <v>1</v>
      </c>
      <c r="E120" s="92">
        <v>1</v>
      </c>
      <c r="F120" s="92">
        <v>1</v>
      </c>
      <c r="G120" s="148">
        <v>0.25</v>
      </c>
      <c r="H120" s="148">
        <v>0.25</v>
      </c>
      <c r="I120" s="148">
        <v>0</v>
      </c>
      <c r="J120" s="148">
        <v>0</v>
      </c>
      <c r="K120" s="148">
        <v>4</v>
      </c>
      <c r="L120" s="148" t="s">
        <v>1126</v>
      </c>
      <c r="M120" s="148">
        <v>4</v>
      </c>
      <c r="N120" s="148" t="s">
        <v>1126</v>
      </c>
      <c r="O120" s="148">
        <v>4</v>
      </c>
      <c r="P120" s="148" t="s">
        <v>1126</v>
      </c>
      <c r="Q120" s="136">
        <v>30</v>
      </c>
      <c r="R120" s="145"/>
      <c r="S120" s="146"/>
      <c r="T120" s="146"/>
      <c r="U120" s="146"/>
      <c r="V120" s="145"/>
      <c r="W120" s="146"/>
      <c r="X120" s="146"/>
      <c r="Y120" s="146"/>
      <c r="Z120" s="95"/>
      <c r="AA120" s="95"/>
      <c r="AB120" s="95"/>
      <c r="AC120" s="95"/>
    </row>
    <row r="121" spans="1:29" s="96" customFormat="1">
      <c r="A121" s="92">
        <v>26</v>
      </c>
      <c r="B121" s="372" t="s">
        <v>702</v>
      </c>
      <c r="C121" s="92">
        <v>1</v>
      </c>
      <c r="D121" s="92">
        <v>1</v>
      </c>
      <c r="E121" s="92">
        <v>1</v>
      </c>
      <c r="F121" s="92">
        <v>1</v>
      </c>
      <c r="G121" s="148">
        <v>0.25</v>
      </c>
      <c r="H121" s="148">
        <v>0.25</v>
      </c>
      <c r="I121" s="148">
        <v>0</v>
      </c>
      <c r="J121" s="148">
        <v>0</v>
      </c>
      <c r="K121" s="148">
        <v>4</v>
      </c>
      <c r="L121" s="148" t="s">
        <v>1126</v>
      </c>
      <c r="M121" s="148">
        <v>4</v>
      </c>
      <c r="N121" s="148" t="s">
        <v>1126</v>
      </c>
      <c r="O121" s="148">
        <v>4</v>
      </c>
      <c r="P121" s="148" t="s">
        <v>1126</v>
      </c>
      <c r="Q121" s="136">
        <v>30</v>
      </c>
      <c r="R121" s="145"/>
      <c r="S121" s="146"/>
      <c r="T121" s="146"/>
      <c r="U121" s="146"/>
      <c r="V121" s="145"/>
      <c r="W121" s="146"/>
      <c r="X121" s="146"/>
      <c r="Y121" s="146"/>
      <c r="Z121" s="95"/>
      <c r="AA121" s="95"/>
      <c r="AB121" s="95"/>
      <c r="AC121" s="95"/>
    </row>
    <row r="122" spans="1:29" s="96" customFormat="1">
      <c r="A122" s="92">
        <v>27</v>
      </c>
      <c r="B122" s="143" t="s">
        <v>443</v>
      </c>
      <c r="C122" s="92">
        <v>1</v>
      </c>
      <c r="D122" s="92">
        <v>1</v>
      </c>
      <c r="E122" s="92">
        <v>1</v>
      </c>
      <c r="F122" s="92">
        <v>1</v>
      </c>
      <c r="G122" s="148">
        <v>4</v>
      </c>
      <c r="H122" s="148">
        <v>4</v>
      </c>
      <c r="I122" s="148">
        <v>0</v>
      </c>
      <c r="J122" s="148">
        <v>0</v>
      </c>
      <c r="K122" s="148">
        <v>24</v>
      </c>
      <c r="L122" s="148" t="s">
        <v>996</v>
      </c>
      <c r="M122" s="148">
        <v>24</v>
      </c>
      <c r="N122" s="148" t="s">
        <v>996</v>
      </c>
      <c r="O122" s="148">
        <v>24</v>
      </c>
      <c r="P122" s="148" t="s">
        <v>996</v>
      </c>
      <c r="Q122" s="136">
        <v>30</v>
      </c>
      <c r="R122" s="145">
        <f t="shared" ref="R122:R128" si="55">C122*G122*I122*Q122</f>
        <v>0</v>
      </c>
      <c r="S122" s="146">
        <f t="shared" ref="S122:S128" si="56">D122*G122*K122*Q122</f>
        <v>2880</v>
      </c>
      <c r="T122" s="146">
        <f t="shared" ref="T122:T128" si="57">E122*G122*M122*Q122</f>
        <v>2880</v>
      </c>
      <c r="U122" s="146">
        <f t="shared" ref="U122:U128" si="58">F122*G122*O122*Q122</f>
        <v>2880</v>
      </c>
      <c r="V122" s="145">
        <f t="shared" ref="V122:V127" si="59">C122*H122*I122*Q122</f>
        <v>0</v>
      </c>
      <c r="W122" s="146">
        <f t="shared" ref="W122:W127" si="60">D122*H122*K122*Q122</f>
        <v>2880</v>
      </c>
      <c r="X122" s="146">
        <f t="shared" ref="X122:X127" si="61">E122*H122*M122*Q122</f>
        <v>2880</v>
      </c>
      <c r="Y122" s="146">
        <f t="shared" ref="Y122:Y127" si="62">F122*H122*O122*Q122</f>
        <v>2880</v>
      </c>
      <c r="Z122" s="95" t="e">
        <f t="shared" ref="Z122:AC127" si="63">V122/R122</f>
        <v>#DIV/0!</v>
      </c>
      <c r="AA122" s="95">
        <f t="shared" si="63"/>
        <v>1</v>
      </c>
      <c r="AB122" s="95">
        <f t="shared" si="63"/>
        <v>1</v>
      </c>
      <c r="AC122" s="95">
        <f t="shared" si="63"/>
        <v>1</v>
      </c>
    </row>
    <row r="123" spans="1:29" s="96" customFormat="1">
      <c r="A123" s="92">
        <v>28</v>
      </c>
      <c r="B123" s="143" t="s">
        <v>455</v>
      </c>
      <c r="C123" s="130">
        <v>1</v>
      </c>
      <c r="D123" s="130">
        <v>1</v>
      </c>
      <c r="E123" s="130">
        <v>1</v>
      </c>
      <c r="F123" s="130">
        <v>1</v>
      </c>
      <c r="G123" s="148">
        <v>4.7</v>
      </c>
      <c r="H123" s="148">
        <v>4.7</v>
      </c>
      <c r="I123" s="148">
        <v>0</v>
      </c>
      <c r="J123" s="148">
        <v>0</v>
      </c>
      <c r="K123" s="148">
        <v>24</v>
      </c>
      <c r="L123" s="148" t="s">
        <v>996</v>
      </c>
      <c r="M123" s="148">
        <v>24</v>
      </c>
      <c r="N123" s="148" t="s">
        <v>996</v>
      </c>
      <c r="O123" s="148">
        <v>24</v>
      </c>
      <c r="P123" s="148" t="s">
        <v>996</v>
      </c>
      <c r="Q123" s="136">
        <v>30</v>
      </c>
      <c r="R123" s="145">
        <f t="shared" si="55"/>
        <v>0</v>
      </c>
      <c r="S123" s="146">
        <f t="shared" si="56"/>
        <v>3384.0000000000005</v>
      </c>
      <c r="T123" s="146">
        <f t="shared" si="57"/>
        <v>3384.0000000000005</v>
      </c>
      <c r="U123" s="146">
        <f t="shared" si="58"/>
        <v>3384.0000000000005</v>
      </c>
      <c r="V123" s="145">
        <f t="shared" si="59"/>
        <v>0</v>
      </c>
      <c r="W123" s="146">
        <f t="shared" si="60"/>
        <v>3384.0000000000005</v>
      </c>
      <c r="X123" s="146">
        <f t="shared" si="61"/>
        <v>3384.0000000000005</v>
      </c>
      <c r="Y123" s="146">
        <f t="shared" si="62"/>
        <v>3384.0000000000005</v>
      </c>
      <c r="Z123" s="95" t="e">
        <f t="shared" si="63"/>
        <v>#DIV/0!</v>
      </c>
      <c r="AA123" s="95">
        <f t="shared" si="63"/>
        <v>1</v>
      </c>
      <c r="AB123" s="95">
        <f t="shared" si="63"/>
        <v>1</v>
      </c>
      <c r="AC123" s="95">
        <f t="shared" si="63"/>
        <v>1</v>
      </c>
    </row>
    <row r="124" spans="1:29" s="96" customFormat="1">
      <c r="A124" s="92">
        <v>29</v>
      </c>
      <c r="B124" s="143" t="s">
        <v>708</v>
      </c>
      <c r="C124" s="130">
        <v>6</v>
      </c>
      <c r="D124" s="130">
        <v>6</v>
      </c>
      <c r="E124" s="130">
        <v>6</v>
      </c>
      <c r="F124" s="130">
        <v>6</v>
      </c>
      <c r="G124" s="148">
        <v>14.064</v>
      </c>
      <c r="H124" s="148">
        <v>14.064</v>
      </c>
      <c r="I124" s="148">
        <v>0</v>
      </c>
      <c r="J124" s="148">
        <v>0</v>
      </c>
      <c r="K124" s="148">
        <v>24</v>
      </c>
      <c r="L124" s="148" t="s">
        <v>996</v>
      </c>
      <c r="M124" s="148">
        <v>24</v>
      </c>
      <c r="N124" s="148" t="s">
        <v>996</v>
      </c>
      <c r="O124" s="148">
        <v>24</v>
      </c>
      <c r="P124" s="148" t="s">
        <v>996</v>
      </c>
      <c r="Q124" s="136">
        <v>30</v>
      </c>
      <c r="R124" s="145">
        <f t="shared" si="55"/>
        <v>0</v>
      </c>
      <c r="S124" s="146">
        <f t="shared" si="56"/>
        <v>60756.479999999996</v>
      </c>
      <c r="T124" s="146">
        <f t="shared" si="57"/>
        <v>60756.479999999996</v>
      </c>
      <c r="U124" s="146">
        <f t="shared" si="58"/>
        <v>60756.479999999996</v>
      </c>
      <c r="V124" s="145">
        <f t="shared" si="59"/>
        <v>0</v>
      </c>
      <c r="W124" s="146">
        <f t="shared" si="60"/>
        <v>60756.479999999996</v>
      </c>
      <c r="X124" s="146">
        <f t="shared" si="61"/>
        <v>60756.479999999996</v>
      </c>
      <c r="Y124" s="146">
        <f t="shared" si="62"/>
        <v>60756.479999999996</v>
      </c>
      <c r="Z124" s="95" t="e">
        <f t="shared" si="63"/>
        <v>#DIV/0!</v>
      </c>
      <c r="AA124" s="95">
        <f t="shared" si="63"/>
        <v>1</v>
      </c>
      <c r="AB124" s="95">
        <f t="shared" si="63"/>
        <v>1</v>
      </c>
      <c r="AC124" s="95">
        <f t="shared" si="63"/>
        <v>1</v>
      </c>
    </row>
    <row r="125" spans="1:29" s="96" customFormat="1">
      <c r="A125" s="92">
        <v>30</v>
      </c>
      <c r="B125" s="143" t="s">
        <v>425</v>
      </c>
      <c r="C125" s="130">
        <v>2</v>
      </c>
      <c r="D125" s="130">
        <v>2</v>
      </c>
      <c r="E125" s="130">
        <v>2</v>
      </c>
      <c r="F125" s="130">
        <v>2</v>
      </c>
      <c r="G125" s="148">
        <v>0.18</v>
      </c>
      <c r="H125" s="148">
        <v>0.18</v>
      </c>
      <c r="I125" s="148">
        <v>0</v>
      </c>
      <c r="J125" s="148">
        <v>0</v>
      </c>
      <c r="K125" s="148">
        <v>4</v>
      </c>
      <c r="L125" s="148" t="s">
        <v>1126</v>
      </c>
      <c r="M125" s="148">
        <v>4</v>
      </c>
      <c r="N125" s="148" t="s">
        <v>1126</v>
      </c>
      <c r="O125" s="148">
        <v>4</v>
      </c>
      <c r="P125" s="148" t="s">
        <v>1126</v>
      </c>
      <c r="Q125" s="136">
        <v>30</v>
      </c>
      <c r="R125" s="145">
        <f t="shared" si="55"/>
        <v>0</v>
      </c>
      <c r="S125" s="146">
        <f t="shared" si="56"/>
        <v>43.199999999999996</v>
      </c>
      <c r="T125" s="146">
        <f t="shared" si="57"/>
        <v>43.199999999999996</v>
      </c>
      <c r="U125" s="146">
        <f t="shared" si="58"/>
        <v>43.199999999999996</v>
      </c>
      <c r="V125" s="145">
        <f t="shared" si="59"/>
        <v>0</v>
      </c>
      <c r="W125" s="146">
        <f t="shared" si="60"/>
        <v>43.199999999999996</v>
      </c>
      <c r="X125" s="146">
        <f t="shared" si="61"/>
        <v>43.199999999999996</v>
      </c>
      <c r="Y125" s="146">
        <f t="shared" si="62"/>
        <v>43.199999999999996</v>
      </c>
      <c r="Z125" s="95" t="e">
        <f t="shared" si="63"/>
        <v>#DIV/0!</v>
      </c>
      <c r="AA125" s="95">
        <f t="shared" si="63"/>
        <v>1</v>
      </c>
      <c r="AB125" s="95">
        <f t="shared" si="63"/>
        <v>1</v>
      </c>
      <c r="AC125" s="95">
        <f t="shared" si="63"/>
        <v>1</v>
      </c>
    </row>
    <row r="126" spans="1:29" s="96" customFormat="1">
      <c r="A126" s="92">
        <v>31</v>
      </c>
      <c r="B126" s="143" t="s">
        <v>445</v>
      </c>
      <c r="C126" s="130">
        <v>1</v>
      </c>
      <c r="D126" s="130">
        <v>1</v>
      </c>
      <c r="E126" s="130">
        <v>1</v>
      </c>
      <c r="F126" s="130">
        <v>1</v>
      </c>
      <c r="G126" s="148">
        <v>0.28999999999999998</v>
      </c>
      <c r="H126" s="148">
        <v>0.28999999999999998</v>
      </c>
      <c r="I126" s="148">
        <v>0</v>
      </c>
      <c r="J126" s="148">
        <v>0</v>
      </c>
      <c r="K126" s="148">
        <v>4</v>
      </c>
      <c r="L126" s="148" t="s">
        <v>1126</v>
      </c>
      <c r="M126" s="148">
        <v>4</v>
      </c>
      <c r="N126" s="148" t="s">
        <v>1126</v>
      </c>
      <c r="O126" s="148">
        <v>4</v>
      </c>
      <c r="P126" s="148" t="s">
        <v>1126</v>
      </c>
      <c r="Q126" s="136">
        <v>30</v>
      </c>
      <c r="R126" s="145">
        <f t="shared" si="55"/>
        <v>0</v>
      </c>
      <c r="S126" s="146">
        <f t="shared" si="56"/>
        <v>34.799999999999997</v>
      </c>
      <c r="T126" s="146">
        <f t="shared" si="57"/>
        <v>34.799999999999997</v>
      </c>
      <c r="U126" s="146">
        <f t="shared" si="58"/>
        <v>34.799999999999997</v>
      </c>
      <c r="V126" s="145">
        <f t="shared" si="59"/>
        <v>0</v>
      </c>
      <c r="W126" s="146">
        <f t="shared" si="60"/>
        <v>34.799999999999997</v>
      </c>
      <c r="X126" s="146">
        <f t="shared" si="61"/>
        <v>34.799999999999997</v>
      </c>
      <c r="Y126" s="146">
        <f t="shared" si="62"/>
        <v>34.799999999999997</v>
      </c>
      <c r="Z126" s="95" t="e">
        <f t="shared" si="63"/>
        <v>#DIV/0!</v>
      </c>
      <c r="AA126" s="95">
        <f t="shared" si="63"/>
        <v>1</v>
      </c>
      <c r="AB126" s="95">
        <f t="shared" si="63"/>
        <v>1</v>
      </c>
      <c r="AC126" s="95">
        <f t="shared" si="63"/>
        <v>1</v>
      </c>
    </row>
    <row r="127" spans="1:29" s="96" customFormat="1">
      <c r="A127" s="92">
        <v>32</v>
      </c>
      <c r="B127" s="143" t="s">
        <v>450</v>
      </c>
      <c r="C127" s="130">
        <v>4</v>
      </c>
      <c r="D127" s="130">
        <v>4</v>
      </c>
      <c r="E127" s="130">
        <v>4</v>
      </c>
      <c r="F127" s="130">
        <v>4</v>
      </c>
      <c r="G127" s="148">
        <v>0.75</v>
      </c>
      <c r="H127" s="148">
        <v>0.75</v>
      </c>
      <c r="I127" s="148">
        <v>0</v>
      </c>
      <c r="J127" s="148">
        <v>0</v>
      </c>
      <c r="K127" s="148">
        <v>4</v>
      </c>
      <c r="L127" s="148" t="s">
        <v>1126</v>
      </c>
      <c r="M127" s="148">
        <v>4</v>
      </c>
      <c r="N127" s="148" t="s">
        <v>1126</v>
      </c>
      <c r="O127" s="148">
        <v>4</v>
      </c>
      <c r="P127" s="148" t="s">
        <v>1126</v>
      </c>
      <c r="Q127" s="136">
        <v>30</v>
      </c>
      <c r="R127" s="145">
        <f t="shared" si="55"/>
        <v>0</v>
      </c>
      <c r="S127" s="146">
        <f t="shared" si="56"/>
        <v>360</v>
      </c>
      <c r="T127" s="146">
        <f t="shared" si="57"/>
        <v>360</v>
      </c>
      <c r="U127" s="146">
        <f t="shared" si="58"/>
        <v>360</v>
      </c>
      <c r="V127" s="145">
        <f t="shared" si="59"/>
        <v>0</v>
      </c>
      <c r="W127" s="146">
        <f t="shared" si="60"/>
        <v>360</v>
      </c>
      <c r="X127" s="146">
        <f t="shared" si="61"/>
        <v>360</v>
      </c>
      <c r="Y127" s="146">
        <f t="shared" si="62"/>
        <v>360</v>
      </c>
      <c r="Z127" s="95" t="e">
        <f t="shared" si="63"/>
        <v>#DIV/0!</v>
      </c>
      <c r="AA127" s="95">
        <f t="shared" si="63"/>
        <v>1</v>
      </c>
      <c r="AB127" s="95">
        <f t="shared" si="63"/>
        <v>1</v>
      </c>
      <c r="AC127" s="95">
        <f t="shared" si="63"/>
        <v>1</v>
      </c>
    </row>
    <row r="128" spans="1:29" s="96" customFormat="1" ht="15.75">
      <c r="A128" s="92">
        <v>33</v>
      </c>
      <c r="B128" s="151" t="s">
        <v>709</v>
      </c>
      <c r="C128" s="92">
        <v>1</v>
      </c>
      <c r="D128" s="92">
        <v>1</v>
      </c>
      <c r="E128" s="92">
        <v>1</v>
      </c>
      <c r="F128" s="92">
        <v>1</v>
      </c>
      <c r="G128" s="149">
        <v>0.5</v>
      </c>
      <c r="H128" s="149">
        <v>0.5</v>
      </c>
      <c r="I128" s="148">
        <v>0</v>
      </c>
      <c r="J128" s="148">
        <v>0</v>
      </c>
      <c r="K128" s="148">
        <v>4</v>
      </c>
      <c r="L128" s="148" t="s">
        <v>1126</v>
      </c>
      <c r="M128" s="148">
        <v>4</v>
      </c>
      <c r="N128" s="148" t="s">
        <v>1126</v>
      </c>
      <c r="O128" s="148">
        <v>4</v>
      </c>
      <c r="P128" s="148" t="s">
        <v>1126</v>
      </c>
      <c r="Q128" s="136">
        <v>30</v>
      </c>
      <c r="R128" s="145">
        <f t="shared" si="55"/>
        <v>0</v>
      </c>
      <c r="S128" s="146">
        <f t="shared" si="56"/>
        <v>60</v>
      </c>
      <c r="T128" s="146">
        <f t="shared" si="57"/>
        <v>60</v>
      </c>
      <c r="U128" s="146">
        <f t="shared" si="58"/>
        <v>60</v>
      </c>
      <c r="V128" s="145"/>
      <c r="W128" s="146"/>
      <c r="X128" s="146"/>
      <c r="Y128" s="146"/>
      <c r="Z128" s="95"/>
      <c r="AA128" s="95"/>
      <c r="AB128" s="95"/>
      <c r="AC128" s="95"/>
    </row>
    <row r="129" spans="1:29" s="96" customFormat="1" ht="15.75">
      <c r="A129" s="92">
        <v>34</v>
      </c>
      <c r="B129" s="151" t="s">
        <v>710</v>
      </c>
      <c r="C129" s="92">
        <v>1</v>
      </c>
      <c r="D129" s="92">
        <v>1</v>
      </c>
      <c r="E129" s="92">
        <v>1</v>
      </c>
      <c r="F129" s="92">
        <v>1</v>
      </c>
      <c r="G129" s="148">
        <v>4</v>
      </c>
      <c r="H129" s="148">
        <v>4</v>
      </c>
      <c r="I129" s="148">
        <v>0</v>
      </c>
      <c r="J129" s="148">
        <v>0</v>
      </c>
      <c r="K129" s="148">
        <v>24</v>
      </c>
      <c r="L129" s="148" t="s">
        <v>996</v>
      </c>
      <c r="M129" s="148">
        <v>24</v>
      </c>
      <c r="N129" s="148" t="s">
        <v>996</v>
      </c>
      <c r="O129" s="148">
        <v>24</v>
      </c>
      <c r="P129" s="148" t="s">
        <v>996</v>
      </c>
      <c r="Q129" s="136">
        <v>30</v>
      </c>
      <c r="R129" s="145"/>
      <c r="S129" s="146"/>
      <c r="T129" s="146"/>
      <c r="U129" s="146"/>
      <c r="V129" s="145"/>
      <c r="W129" s="146"/>
      <c r="X129" s="146"/>
      <c r="Y129" s="146"/>
      <c r="Z129" s="95"/>
      <c r="AA129" s="95"/>
      <c r="AB129" s="95"/>
      <c r="AC129" s="95"/>
    </row>
    <row r="130" spans="1:29" s="96" customFormat="1">
      <c r="A130" s="92">
        <v>35</v>
      </c>
      <c r="B130" s="372" t="s">
        <v>711</v>
      </c>
      <c r="C130" s="92">
        <v>1</v>
      </c>
      <c r="D130" s="92">
        <v>1</v>
      </c>
      <c r="E130" s="92">
        <v>1</v>
      </c>
      <c r="F130" s="92">
        <v>1</v>
      </c>
      <c r="G130" s="149">
        <v>2</v>
      </c>
      <c r="H130" s="149">
        <v>2</v>
      </c>
      <c r="I130" s="148">
        <v>0</v>
      </c>
      <c r="J130" s="148">
        <v>0</v>
      </c>
      <c r="K130" s="148">
        <v>4</v>
      </c>
      <c r="L130" s="148" t="s">
        <v>1126</v>
      </c>
      <c r="M130" s="148">
        <v>4</v>
      </c>
      <c r="N130" s="148" t="s">
        <v>1126</v>
      </c>
      <c r="O130" s="148">
        <v>4</v>
      </c>
      <c r="P130" s="148" t="s">
        <v>1126</v>
      </c>
      <c r="Q130" s="136">
        <v>30</v>
      </c>
      <c r="R130" s="145"/>
      <c r="S130" s="146"/>
      <c r="T130" s="146"/>
      <c r="U130" s="146"/>
      <c r="V130" s="145"/>
      <c r="W130" s="146"/>
      <c r="X130" s="146"/>
      <c r="Y130" s="146"/>
      <c r="Z130" s="95"/>
      <c r="AA130" s="95"/>
      <c r="AB130" s="95"/>
      <c r="AC130" s="95"/>
    </row>
    <row r="131" spans="1:29" s="96" customFormat="1">
      <c r="A131" s="92">
        <v>36</v>
      </c>
      <c r="B131" s="372" t="s">
        <v>704</v>
      </c>
      <c r="C131" s="92">
        <v>1</v>
      </c>
      <c r="D131" s="92">
        <v>1</v>
      </c>
      <c r="E131" s="92">
        <v>1</v>
      </c>
      <c r="F131" s="92">
        <v>1</v>
      </c>
      <c r="G131" s="149">
        <v>2</v>
      </c>
      <c r="H131" s="149">
        <v>2</v>
      </c>
      <c r="I131" s="148">
        <v>0</v>
      </c>
      <c r="J131" s="148">
        <v>0</v>
      </c>
      <c r="K131" s="148">
        <v>4</v>
      </c>
      <c r="L131" s="148" t="s">
        <v>1126</v>
      </c>
      <c r="M131" s="148">
        <v>4</v>
      </c>
      <c r="N131" s="148" t="s">
        <v>1126</v>
      </c>
      <c r="O131" s="148">
        <v>4</v>
      </c>
      <c r="P131" s="148" t="s">
        <v>1126</v>
      </c>
      <c r="Q131" s="136">
        <v>30</v>
      </c>
      <c r="R131" s="145"/>
      <c r="S131" s="146"/>
      <c r="T131" s="146"/>
      <c r="U131" s="146"/>
      <c r="V131" s="145"/>
      <c r="W131" s="146"/>
      <c r="X131" s="146"/>
      <c r="Y131" s="146"/>
      <c r="Z131" s="95"/>
      <c r="AA131" s="95"/>
      <c r="AB131" s="95"/>
      <c r="AC131" s="95"/>
    </row>
    <row r="132" spans="1:29" s="96" customFormat="1">
      <c r="A132" s="92">
        <v>37</v>
      </c>
      <c r="B132" s="372" t="s">
        <v>677</v>
      </c>
      <c r="C132" s="92">
        <v>3</v>
      </c>
      <c r="D132" s="92">
        <v>3</v>
      </c>
      <c r="E132" s="92">
        <v>3</v>
      </c>
      <c r="F132" s="92">
        <v>3</v>
      </c>
      <c r="G132" s="149">
        <v>0.1</v>
      </c>
      <c r="H132" s="149">
        <v>0.1</v>
      </c>
      <c r="I132" s="148">
        <v>0</v>
      </c>
      <c r="J132" s="148">
        <v>0</v>
      </c>
      <c r="K132" s="148">
        <v>4</v>
      </c>
      <c r="L132" s="148" t="s">
        <v>1126</v>
      </c>
      <c r="M132" s="148">
        <v>4</v>
      </c>
      <c r="N132" s="148" t="s">
        <v>1126</v>
      </c>
      <c r="O132" s="148">
        <v>4</v>
      </c>
      <c r="P132" s="148" t="s">
        <v>1126</v>
      </c>
      <c r="Q132" s="136">
        <v>30</v>
      </c>
      <c r="R132" s="145"/>
      <c r="S132" s="146"/>
      <c r="T132" s="146"/>
      <c r="U132" s="146"/>
      <c r="V132" s="145"/>
      <c r="W132" s="146"/>
      <c r="X132" s="146"/>
      <c r="Y132" s="146"/>
      <c r="Z132" s="95"/>
      <c r="AA132" s="95"/>
      <c r="AB132" s="95"/>
      <c r="AC132" s="95"/>
    </row>
    <row r="133" spans="1:29" s="96" customFormat="1">
      <c r="A133" s="92">
        <v>38</v>
      </c>
      <c r="B133" s="143" t="s">
        <v>707</v>
      </c>
      <c r="C133" s="130">
        <v>1</v>
      </c>
      <c r="D133" s="130">
        <v>1</v>
      </c>
      <c r="E133" s="130">
        <v>1</v>
      </c>
      <c r="F133" s="130">
        <v>1</v>
      </c>
      <c r="G133" s="148">
        <v>8.5</v>
      </c>
      <c r="H133" s="148">
        <v>8.5</v>
      </c>
      <c r="I133" s="148">
        <v>15</v>
      </c>
      <c r="J133" s="148" t="s">
        <v>1121</v>
      </c>
      <c r="K133" s="148">
        <v>15</v>
      </c>
      <c r="L133" s="148" t="s">
        <v>1121</v>
      </c>
      <c r="M133" s="148">
        <v>15</v>
      </c>
      <c r="N133" s="148" t="s">
        <v>1121</v>
      </c>
      <c r="O133" s="148">
        <v>15</v>
      </c>
      <c r="P133" s="148" t="s">
        <v>1121</v>
      </c>
      <c r="Q133" s="136">
        <v>30</v>
      </c>
      <c r="R133" s="145">
        <f>C133*G133*I133*Q133</f>
        <v>3825</v>
      </c>
      <c r="S133" s="146">
        <f>D133*G133*K133*Q133</f>
        <v>3825</v>
      </c>
      <c r="T133" s="146">
        <f>E133*G133*M133*Q133</f>
        <v>3825</v>
      </c>
      <c r="U133" s="146">
        <f>F133*G133*O133*Q133</f>
        <v>3825</v>
      </c>
      <c r="V133" s="145">
        <f>C133*H133*I133*Q133</f>
        <v>3825</v>
      </c>
      <c r="W133" s="146">
        <f>D133*H133*K133*Q133</f>
        <v>3825</v>
      </c>
      <c r="X133" s="146">
        <f>E133*H133*M133*Q133</f>
        <v>3825</v>
      </c>
      <c r="Y133" s="146">
        <f>F133*H133*O133*Q133</f>
        <v>3825</v>
      </c>
      <c r="Z133" s="95">
        <f>V133/R133</f>
        <v>1</v>
      </c>
      <c r="AA133" s="95">
        <f>W133/S133</f>
        <v>1</v>
      </c>
      <c r="AB133" s="95">
        <f>X133/T133</f>
        <v>1</v>
      </c>
      <c r="AC133" s="95">
        <f>Y133/U133</f>
        <v>1</v>
      </c>
    </row>
    <row r="134" spans="1:29" s="96" customFormat="1">
      <c r="A134" s="92">
        <v>39</v>
      </c>
      <c r="B134" s="143" t="s">
        <v>712</v>
      </c>
      <c r="C134" s="130">
        <v>1</v>
      </c>
      <c r="D134" s="130">
        <v>1</v>
      </c>
      <c r="E134" s="130">
        <v>1</v>
      </c>
      <c r="F134" s="130">
        <v>1</v>
      </c>
      <c r="G134" s="148">
        <v>1</v>
      </c>
      <c r="H134" s="148">
        <v>1</v>
      </c>
      <c r="I134" s="148">
        <v>0</v>
      </c>
      <c r="J134" s="148">
        <v>0</v>
      </c>
      <c r="K134" s="148">
        <v>4</v>
      </c>
      <c r="L134" s="148" t="s">
        <v>1126</v>
      </c>
      <c r="M134" s="148">
        <v>4</v>
      </c>
      <c r="N134" s="148" t="s">
        <v>1126</v>
      </c>
      <c r="O134" s="148">
        <v>4</v>
      </c>
      <c r="P134" s="148" t="s">
        <v>1126</v>
      </c>
      <c r="Q134" s="136">
        <v>30</v>
      </c>
      <c r="R134" s="145"/>
      <c r="S134" s="146"/>
      <c r="T134" s="146"/>
      <c r="U134" s="146"/>
      <c r="V134" s="145"/>
      <c r="W134" s="146"/>
      <c r="X134" s="146"/>
      <c r="Y134" s="146"/>
      <c r="Z134" s="95"/>
      <c r="AA134" s="95"/>
      <c r="AB134" s="95"/>
      <c r="AC134" s="95"/>
    </row>
    <row r="135" spans="1:29" s="96" customFormat="1">
      <c r="A135" s="92"/>
      <c r="B135" s="162" t="s">
        <v>329</v>
      </c>
      <c r="C135" s="92"/>
      <c r="D135" s="92"/>
      <c r="E135" s="92"/>
      <c r="F135" s="92"/>
      <c r="G135" s="149"/>
      <c r="H135" s="149"/>
      <c r="I135" s="144"/>
      <c r="J135" s="144"/>
      <c r="K135" s="144"/>
      <c r="L135" s="144"/>
      <c r="M135" s="144"/>
      <c r="N135" s="144"/>
      <c r="O135" s="144"/>
      <c r="P135" s="144"/>
      <c r="Q135" s="136"/>
      <c r="R135" s="145"/>
      <c r="S135" s="146"/>
      <c r="T135" s="146"/>
      <c r="U135" s="146"/>
      <c r="V135" s="145"/>
      <c r="W135" s="146"/>
      <c r="X135" s="146"/>
      <c r="Y135" s="146"/>
      <c r="Z135" s="95"/>
      <c r="AA135" s="95"/>
      <c r="AB135" s="95"/>
      <c r="AC135" s="95"/>
    </row>
    <row r="136" spans="1:29" s="96" customFormat="1">
      <c r="A136" s="92">
        <v>40</v>
      </c>
      <c r="B136" s="143" t="s">
        <v>442</v>
      </c>
      <c r="C136" s="130">
        <v>3</v>
      </c>
      <c r="D136" s="130">
        <v>3</v>
      </c>
      <c r="E136" s="130">
        <v>3</v>
      </c>
      <c r="F136" s="130">
        <v>3</v>
      </c>
      <c r="G136" s="148">
        <v>0.26</v>
      </c>
      <c r="H136" s="148">
        <v>0.26</v>
      </c>
      <c r="I136" s="148">
        <v>0</v>
      </c>
      <c r="J136" s="148">
        <v>0</v>
      </c>
      <c r="K136" s="148">
        <v>24</v>
      </c>
      <c r="L136" s="148" t="s">
        <v>996</v>
      </c>
      <c r="M136" s="148">
        <v>24</v>
      </c>
      <c r="N136" s="148" t="s">
        <v>996</v>
      </c>
      <c r="O136" s="148">
        <v>24</v>
      </c>
      <c r="P136" s="148" t="s">
        <v>996</v>
      </c>
      <c r="Q136" s="136">
        <v>30</v>
      </c>
      <c r="R136" s="145">
        <f>C136*G136*I136*Q136</f>
        <v>0</v>
      </c>
      <c r="S136" s="146">
        <f>D136*G136*K136*Q136</f>
        <v>561.59999999999991</v>
      </c>
      <c r="T136" s="146">
        <f>E136*G136*M136*Q136</f>
        <v>561.59999999999991</v>
      </c>
      <c r="U136" s="146">
        <f>F136*G136*O136*Q136</f>
        <v>561.59999999999991</v>
      </c>
      <c r="V136" s="145">
        <f>C136*H136*I136*Q136</f>
        <v>0</v>
      </c>
      <c r="W136" s="146">
        <f>D136*H136*K136*Q136</f>
        <v>561.59999999999991</v>
      </c>
      <c r="X136" s="146">
        <f>E136*H136*M136*Q136</f>
        <v>561.59999999999991</v>
      </c>
      <c r="Y136" s="146">
        <f>F136*H136*O136*Q136</f>
        <v>561.59999999999991</v>
      </c>
      <c r="Z136" s="95" t="e">
        <f>V136/R136</f>
        <v>#DIV/0!</v>
      </c>
      <c r="AA136" s="95">
        <f>W136/S136</f>
        <v>1</v>
      </c>
      <c r="AB136" s="95">
        <f>X136/T136</f>
        <v>1</v>
      </c>
      <c r="AC136" s="95">
        <f>Y136/U136</f>
        <v>1</v>
      </c>
    </row>
    <row r="137" spans="1:29" s="96" customFormat="1">
      <c r="A137" s="92">
        <v>41</v>
      </c>
      <c r="B137" s="372" t="s">
        <v>699</v>
      </c>
      <c r="C137" s="92">
        <v>1</v>
      </c>
      <c r="D137" s="92">
        <v>1</v>
      </c>
      <c r="E137" s="92">
        <v>1</v>
      </c>
      <c r="F137" s="92">
        <v>1</v>
      </c>
      <c r="G137" s="148">
        <v>0.25</v>
      </c>
      <c r="H137" s="148">
        <v>0.25</v>
      </c>
      <c r="I137" s="148">
        <v>0</v>
      </c>
      <c r="J137" s="148">
        <v>0</v>
      </c>
      <c r="K137" s="148">
        <v>4</v>
      </c>
      <c r="L137" s="148" t="s">
        <v>1126</v>
      </c>
      <c r="M137" s="148">
        <v>4</v>
      </c>
      <c r="N137" s="148" t="s">
        <v>1126</v>
      </c>
      <c r="O137" s="148">
        <v>4</v>
      </c>
      <c r="P137" s="148" t="s">
        <v>1126</v>
      </c>
      <c r="Q137" s="136">
        <v>30</v>
      </c>
      <c r="R137" s="145"/>
      <c r="S137" s="146"/>
      <c r="T137" s="146"/>
      <c r="U137" s="146"/>
      <c r="V137" s="145"/>
      <c r="W137" s="146"/>
      <c r="X137" s="146"/>
      <c r="Y137" s="146"/>
      <c r="Z137" s="95"/>
      <c r="AA137" s="95"/>
      <c r="AB137" s="95"/>
      <c r="AC137" s="95"/>
    </row>
    <row r="138" spans="1:29" s="96" customFormat="1">
      <c r="A138" s="92">
        <v>42</v>
      </c>
      <c r="B138" s="372" t="s">
        <v>700</v>
      </c>
      <c r="C138" s="130">
        <v>1</v>
      </c>
      <c r="D138" s="130">
        <v>1</v>
      </c>
      <c r="E138" s="130">
        <v>1</v>
      </c>
      <c r="F138" s="130">
        <v>1</v>
      </c>
      <c r="G138" s="148">
        <v>0.25</v>
      </c>
      <c r="H138" s="148">
        <v>0.25</v>
      </c>
      <c r="I138" s="148">
        <v>0</v>
      </c>
      <c r="J138" s="148">
        <v>0</v>
      </c>
      <c r="K138" s="148">
        <v>4</v>
      </c>
      <c r="L138" s="148" t="s">
        <v>1126</v>
      </c>
      <c r="M138" s="148">
        <v>4</v>
      </c>
      <c r="N138" s="148" t="s">
        <v>1126</v>
      </c>
      <c r="O138" s="148">
        <v>4</v>
      </c>
      <c r="P138" s="148" t="s">
        <v>1126</v>
      </c>
      <c r="Q138" s="136">
        <v>30</v>
      </c>
      <c r="R138" s="145"/>
      <c r="S138" s="146"/>
      <c r="T138" s="146"/>
      <c r="U138" s="146"/>
      <c r="V138" s="145"/>
      <c r="W138" s="146"/>
      <c r="X138" s="146"/>
      <c r="Y138" s="146"/>
      <c r="Z138" s="95"/>
      <c r="AA138" s="95"/>
      <c r="AB138" s="95"/>
      <c r="AC138" s="95"/>
    </row>
    <row r="139" spans="1:29" s="96" customFormat="1">
      <c r="A139" s="92">
        <v>43</v>
      </c>
      <c r="B139" s="372" t="s">
        <v>701</v>
      </c>
      <c r="C139" s="130">
        <v>1</v>
      </c>
      <c r="D139" s="130">
        <v>1</v>
      </c>
      <c r="E139" s="130">
        <v>1</v>
      </c>
      <c r="F139" s="130">
        <v>1</v>
      </c>
      <c r="G139" s="148">
        <v>0.25</v>
      </c>
      <c r="H139" s="148">
        <v>0.25</v>
      </c>
      <c r="I139" s="148">
        <v>0</v>
      </c>
      <c r="J139" s="148">
        <v>0</v>
      </c>
      <c r="K139" s="148">
        <v>4</v>
      </c>
      <c r="L139" s="148" t="s">
        <v>1126</v>
      </c>
      <c r="M139" s="148">
        <v>4</v>
      </c>
      <c r="N139" s="148" t="s">
        <v>1126</v>
      </c>
      <c r="O139" s="148">
        <v>4</v>
      </c>
      <c r="P139" s="148" t="s">
        <v>1126</v>
      </c>
      <c r="Q139" s="136">
        <v>30</v>
      </c>
      <c r="R139" s="145"/>
      <c r="S139" s="146"/>
      <c r="T139" s="146"/>
      <c r="U139" s="146"/>
      <c r="V139" s="145"/>
      <c r="W139" s="146"/>
      <c r="X139" s="146"/>
      <c r="Y139" s="146"/>
      <c r="Z139" s="95"/>
      <c r="AA139" s="95"/>
      <c r="AB139" s="95"/>
      <c r="AC139" s="95"/>
    </row>
    <row r="140" spans="1:29" s="96" customFormat="1">
      <c r="A140" s="92">
        <v>44</v>
      </c>
      <c r="B140" s="372" t="s">
        <v>702</v>
      </c>
      <c r="C140" s="130">
        <v>1</v>
      </c>
      <c r="D140" s="130">
        <v>1</v>
      </c>
      <c r="E140" s="130">
        <v>1</v>
      </c>
      <c r="F140" s="130">
        <v>1</v>
      </c>
      <c r="G140" s="148">
        <v>0.25</v>
      </c>
      <c r="H140" s="148">
        <v>0.25</v>
      </c>
      <c r="I140" s="148">
        <v>0</v>
      </c>
      <c r="J140" s="148">
        <v>0</v>
      </c>
      <c r="K140" s="148">
        <v>4</v>
      </c>
      <c r="L140" s="148" t="s">
        <v>1126</v>
      </c>
      <c r="M140" s="148">
        <v>4</v>
      </c>
      <c r="N140" s="148" t="s">
        <v>1126</v>
      </c>
      <c r="O140" s="148">
        <v>4</v>
      </c>
      <c r="P140" s="148" t="s">
        <v>1126</v>
      </c>
      <c r="Q140" s="136">
        <v>30</v>
      </c>
      <c r="R140" s="145"/>
      <c r="S140" s="146"/>
      <c r="T140" s="146"/>
      <c r="U140" s="146"/>
      <c r="V140" s="145"/>
      <c r="W140" s="146"/>
      <c r="X140" s="146"/>
      <c r="Y140" s="146"/>
      <c r="Z140" s="95"/>
      <c r="AA140" s="95"/>
      <c r="AB140" s="95"/>
      <c r="AC140" s="95"/>
    </row>
    <row r="141" spans="1:29" s="96" customFormat="1">
      <c r="A141" s="92">
        <v>45</v>
      </c>
      <c r="B141" s="143" t="s">
        <v>443</v>
      </c>
      <c r="C141" s="92">
        <v>1</v>
      </c>
      <c r="D141" s="92">
        <v>1</v>
      </c>
      <c r="E141" s="92">
        <v>1</v>
      </c>
      <c r="F141" s="92">
        <v>1</v>
      </c>
      <c r="G141" s="148">
        <v>4</v>
      </c>
      <c r="H141" s="148">
        <v>4</v>
      </c>
      <c r="I141" s="148">
        <v>0</v>
      </c>
      <c r="J141" s="148">
        <v>0</v>
      </c>
      <c r="K141" s="148">
        <v>24</v>
      </c>
      <c r="L141" s="148" t="s">
        <v>996</v>
      </c>
      <c r="M141" s="148">
        <v>24</v>
      </c>
      <c r="N141" s="148" t="s">
        <v>996</v>
      </c>
      <c r="O141" s="148">
        <v>24</v>
      </c>
      <c r="P141" s="148" t="s">
        <v>996</v>
      </c>
      <c r="Q141" s="136">
        <v>30</v>
      </c>
      <c r="R141" s="145">
        <f t="shared" ref="R141:R150" si="64">C141*G141*I141*Q141</f>
        <v>0</v>
      </c>
      <c r="S141" s="146">
        <f t="shared" ref="S141:S150" si="65">D141*G141*K141*Q141</f>
        <v>2880</v>
      </c>
      <c r="T141" s="146">
        <f t="shared" ref="T141:T150" si="66">E141*G141*M141*Q141</f>
        <v>2880</v>
      </c>
      <c r="U141" s="146">
        <f t="shared" ref="U141:U150" si="67">F141*G141*O141*Q141</f>
        <v>2880</v>
      </c>
      <c r="V141" s="145">
        <f t="shared" ref="V141:V150" si="68">C141*H141*I141*Q141</f>
        <v>0</v>
      </c>
      <c r="W141" s="146">
        <f t="shared" ref="W141:W150" si="69">D141*H141*K141*Q141</f>
        <v>2880</v>
      </c>
      <c r="X141" s="146">
        <f t="shared" ref="X141:X150" si="70">E141*H141*M141*Q141</f>
        <v>2880</v>
      </c>
      <c r="Y141" s="146">
        <f t="shared" ref="Y141:Y150" si="71">F141*H141*O141*Q141</f>
        <v>2880</v>
      </c>
      <c r="Z141" s="95" t="e">
        <f t="shared" ref="Z141:Z150" si="72">V141/R141</f>
        <v>#DIV/0!</v>
      </c>
      <c r="AA141" s="95">
        <f t="shared" ref="AA141:AA150" si="73">W141/S141</f>
        <v>1</v>
      </c>
      <c r="AB141" s="95">
        <f t="shared" ref="AB141:AB150" si="74">X141/T141</f>
        <v>1</v>
      </c>
      <c r="AC141" s="95">
        <f t="shared" ref="AC141:AC150" si="75">Y141/U141</f>
        <v>1</v>
      </c>
    </row>
    <row r="142" spans="1:29" s="96" customFormat="1">
      <c r="A142" s="92">
        <v>46</v>
      </c>
      <c r="B142" s="143" t="s">
        <v>446</v>
      </c>
      <c r="C142" s="130">
        <v>1</v>
      </c>
      <c r="D142" s="130">
        <v>1</v>
      </c>
      <c r="E142" s="130">
        <v>1</v>
      </c>
      <c r="F142" s="130">
        <v>1</v>
      </c>
      <c r="G142" s="148">
        <v>0.15</v>
      </c>
      <c r="H142" s="148">
        <v>0.15</v>
      </c>
      <c r="I142" s="148">
        <v>0</v>
      </c>
      <c r="J142" s="148">
        <v>0</v>
      </c>
      <c r="K142" s="148">
        <v>4</v>
      </c>
      <c r="L142" s="148" t="s">
        <v>1126</v>
      </c>
      <c r="M142" s="148">
        <v>4</v>
      </c>
      <c r="N142" s="148" t="s">
        <v>1126</v>
      </c>
      <c r="O142" s="148">
        <v>4</v>
      </c>
      <c r="P142" s="148" t="s">
        <v>1126</v>
      </c>
      <c r="Q142" s="136">
        <v>30</v>
      </c>
      <c r="R142" s="145">
        <f t="shared" si="64"/>
        <v>0</v>
      </c>
      <c r="S142" s="146">
        <f t="shared" si="65"/>
        <v>18</v>
      </c>
      <c r="T142" s="146">
        <f t="shared" si="66"/>
        <v>18</v>
      </c>
      <c r="U142" s="146">
        <f t="shared" si="67"/>
        <v>18</v>
      </c>
      <c r="V142" s="145">
        <f t="shared" si="68"/>
        <v>0</v>
      </c>
      <c r="W142" s="146">
        <f t="shared" si="69"/>
        <v>18</v>
      </c>
      <c r="X142" s="146">
        <f t="shared" si="70"/>
        <v>18</v>
      </c>
      <c r="Y142" s="146">
        <f t="shared" si="71"/>
        <v>18</v>
      </c>
      <c r="Z142" s="95" t="e">
        <f t="shared" si="72"/>
        <v>#DIV/0!</v>
      </c>
      <c r="AA142" s="95">
        <f t="shared" si="73"/>
        <v>1</v>
      </c>
      <c r="AB142" s="95">
        <f t="shared" si="74"/>
        <v>1</v>
      </c>
      <c r="AC142" s="95">
        <f t="shared" si="75"/>
        <v>1</v>
      </c>
    </row>
    <row r="143" spans="1:29" s="96" customFormat="1">
      <c r="A143" s="92">
        <v>47</v>
      </c>
      <c r="B143" s="143" t="s">
        <v>447</v>
      </c>
      <c r="C143" s="130">
        <v>1</v>
      </c>
      <c r="D143" s="130">
        <v>1</v>
      </c>
      <c r="E143" s="130">
        <v>1</v>
      </c>
      <c r="F143" s="130">
        <v>1</v>
      </c>
      <c r="G143" s="148">
        <v>0.15</v>
      </c>
      <c r="H143" s="148">
        <v>0.15</v>
      </c>
      <c r="I143" s="148">
        <v>0</v>
      </c>
      <c r="J143" s="148">
        <v>0</v>
      </c>
      <c r="K143" s="148">
        <v>4</v>
      </c>
      <c r="L143" s="148" t="s">
        <v>1126</v>
      </c>
      <c r="M143" s="148">
        <v>4</v>
      </c>
      <c r="N143" s="148" t="s">
        <v>1126</v>
      </c>
      <c r="O143" s="148">
        <v>4</v>
      </c>
      <c r="P143" s="148" t="s">
        <v>1126</v>
      </c>
      <c r="Q143" s="136">
        <v>30</v>
      </c>
      <c r="R143" s="145">
        <f t="shared" si="64"/>
        <v>0</v>
      </c>
      <c r="S143" s="146">
        <f t="shared" si="65"/>
        <v>18</v>
      </c>
      <c r="T143" s="146">
        <f t="shared" si="66"/>
        <v>18</v>
      </c>
      <c r="U143" s="146">
        <f t="shared" si="67"/>
        <v>18</v>
      </c>
      <c r="V143" s="145">
        <f t="shared" si="68"/>
        <v>0</v>
      </c>
      <c r="W143" s="146">
        <f t="shared" si="69"/>
        <v>18</v>
      </c>
      <c r="X143" s="146">
        <f t="shared" si="70"/>
        <v>18</v>
      </c>
      <c r="Y143" s="146">
        <f t="shared" si="71"/>
        <v>18</v>
      </c>
      <c r="Z143" s="95" t="e">
        <f t="shared" si="72"/>
        <v>#DIV/0!</v>
      </c>
      <c r="AA143" s="95">
        <f t="shared" si="73"/>
        <v>1</v>
      </c>
      <c r="AB143" s="95">
        <f t="shared" si="74"/>
        <v>1</v>
      </c>
      <c r="AC143" s="95">
        <f t="shared" si="75"/>
        <v>1</v>
      </c>
    </row>
    <row r="144" spans="1:29" s="96" customFormat="1">
      <c r="A144" s="92">
        <v>48</v>
      </c>
      <c r="B144" s="143" t="s">
        <v>448</v>
      </c>
      <c r="C144" s="130">
        <v>1</v>
      </c>
      <c r="D144" s="130">
        <v>1</v>
      </c>
      <c r="E144" s="130">
        <v>1</v>
      </c>
      <c r="F144" s="130">
        <v>1</v>
      </c>
      <c r="G144" s="148">
        <v>0.15</v>
      </c>
      <c r="H144" s="148">
        <v>0.15</v>
      </c>
      <c r="I144" s="148">
        <v>0</v>
      </c>
      <c r="J144" s="148">
        <v>0</v>
      </c>
      <c r="K144" s="148">
        <v>4</v>
      </c>
      <c r="L144" s="148" t="s">
        <v>1126</v>
      </c>
      <c r="M144" s="148">
        <v>4</v>
      </c>
      <c r="N144" s="148" t="s">
        <v>1126</v>
      </c>
      <c r="O144" s="148">
        <v>4</v>
      </c>
      <c r="P144" s="148" t="s">
        <v>1126</v>
      </c>
      <c r="Q144" s="136">
        <v>30</v>
      </c>
      <c r="R144" s="145">
        <f t="shared" si="64"/>
        <v>0</v>
      </c>
      <c r="S144" s="146">
        <f t="shared" si="65"/>
        <v>18</v>
      </c>
      <c r="T144" s="146">
        <f t="shared" si="66"/>
        <v>18</v>
      </c>
      <c r="U144" s="146">
        <f t="shared" si="67"/>
        <v>18</v>
      </c>
      <c r="V144" s="145">
        <f t="shared" si="68"/>
        <v>0</v>
      </c>
      <c r="W144" s="146">
        <f t="shared" si="69"/>
        <v>18</v>
      </c>
      <c r="X144" s="146">
        <f t="shared" si="70"/>
        <v>18</v>
      </c>
      <c r="Y144" s="146">
        <f t="shared" si="71"/>
        <v>18</v>
      </c>
      <c r="Z144" s="95" t="e">
        <f t="shared" si="72"/>
        <v>#DIV/0!</v>
      </c>
      <c r="AA144" s="95">
        <f t="shared" si="73"/>
        <v>1</v>
      </c>
      <c r="AB144" s="95">
        <f t="shared" si="74"/>
        <v>1</v>
      </c>
      <c r="AC144" s="95">
        <f t="shared" si="75"/>
        <v>1</v>
      </c>
    </row>
    <row r="145" spans="1:29" s="96" customFormat="1">
      <c r="A145" s="92">
        <v>49</v>
      </c>
      <c r="B145" s="143" t="s">
        <v>449</v>
      </c>
      <c r="C145" s="130">
        <v>1</v>
      </c>
      <c r="D145" s="130">
        <v>1</v>
      </c>
      <c r="E145" s="130">
        <v>1</v>
      </c>
      <c r="F145" s="130">
        <v>1</v>
      </c>
      <c r="G145" s="148">
        <v>0.15</v>
      </c>
      <c r="H145" s="148">
        <v>0.15</v>
      </c>
      <c r="I145" s="148">
        <v>0</v>
      </c>
      <c r="J145" s="148">
        <v>0</v>
      </c>
      <c r="K145" s="148">
        <v>4</v>
      </c>
      <c r="L145" s="148" t="s">
        <v>1126</v>
      </c>
      <c r="M145" s="148">
        <v>4</v>
      </c>
      <c r="N145" s="148" t="s">
        <v>1126</v>
      </c>
      <c r="O145" s="148">
        <v>4</v>
      </c>
      <c r="P145" s="148" t="s">
        <v>1126</v>
      </c>
      <c r="Q145" s="136">
        <v>30</v>
      </c>
      <c r="R145" s="145">
        <f t="shared" si="64"/>
        <v>0</v>
      </c>
      <c r="S145" s="146">
        <f t="shared" si="65"/>
        <v>18</v>
      </c>
      <c r="T145" s="146">
        <f t="shared" si="66"/>
        <v>18</v>
      </c>
      <c r="U145" s="146">
        <f t="shared" si="67"/>
        <v>18</v>
      </c>
      <c r="V145" s="145">
        <f t="shared" si="68"/>
        <v>0</v>
      </c>
      <c r="W145" s="146">
        <f t="shared" si="69"/>
        <v>18</v>
      </c>
      <c r="X145" s="146">
        <f t="shared" si="70"/>
        <v>18</v>
      </c>
      <c r="Y145" s="146">
        <f t="shared" si="71"/>
        <v>18</v>
      </c>
      <c r="Z145" s="95" t="e">
        <f t="shared" si="72"/>
        <v>#DIV/0!</v>
      </c>
      <c r="AA145" s="95">
        <f t="shared" si="73"/>
        <v>1</v>
      </c>
      <c r="AB145" s="95">
        <f t="shared" si="74"/>
        <v>1</v>
      </c>
      <c r="AC145" s="95">
        <f t="shared" si="75"/>
        <v>1</v>
      </c>
    </row>
    <row r="146" spans="1:29" s="96" customFormat="1">
      <c r="A146" s="92">
        <v>50</v>
      </c>
      <c r="B146" s="143" t="s">
        <v>445</v>
      </c>
      <c r="C146" s="130">
        <v>2</v>
      </c>
      <c r="D146" s="130">
        <v>2</v>
      </c>
      <c r="E146" s="130">
        <v>2</v>
      </c>
      <c r="F146" s="130">
        <v>2</v>
      </c>
      <c r="G146" s="148">
        <v>0.28999999999999998</v>
      </c>
      <c r="H146" s="148">
        <v>0.28999999999999998</v>
      </c>
      <c r="I146" s="148">
        <v>0</v>
      </c>
      <c r="J146" s="148">
        <v>0</v>
      </c>
      <c r="K146" s="148">
        <v>4</v>
      </c>
      <c r="L146" s="148" t="s">
        <v>1126</v>
      </c>
      <c r="M146" s="148">
        <v>4</v>
      </c>
      <c r="N146" s="148" t="s">
        <v>1126</v>
      </c>
      <c r="O146" s="148">
        <v>4</v>
      </c>
      <c r="P146" s="148" t="s">
        <v>1126</v>
      </c>
      <c r="Q146" s="136">
        <v>30</v>
      </c>
      <c r="R146" s="145">
        <f t="shared" si="64"/>
        <v>0</v>
      </c>
      <c r="S146" s="146">
        <f t="shared" si="65"/>
        <v>69.599999999999994</v>
      </c>
      <c r="T146" s="146">
        <f t="shared" si="66"/>
        <v>69.599999999999994</v>
      </c>
      <c r="U146" s="146">
        <f t="shared" si="67"/>
        <v>69.599999999999994</v>
      </c>
      <c r="V146" s="145">
        <f t="shared" si="68"/>
        <v>0</v>
      </c>
      <c r="W146" s="146">
        <f t="shared" si="69"/>
        <v>69.599999999999994</v>
      </c>
      <c r="X146" s="146">
        <f t="shared" si="70"/>
        <v>69.599999999999994</v>
      </c>
      <c r="Y146" s="146">
        <f t="shared" si="71"/>
        <v>69.599999999999994</v>
      </c>
      <c r="Z146" s="95" t="e">
        <f t="shared" si="72"/>
        <v>#DIV/0!</v>
      </c>
      <c r="AA146" s="95">
        <f t="shared" si="73"/>
        <v>1</v>
      </c>
      <c r="AB146" s="95">
        <f t="shared" si="74"/>
        <v>1</v>
      </c>
      <c r="AC146" s="95">
        <f t="shared" si="75"/>
        <v>1</v>
      </c>
    </row>
    <row r="147" spans="1:29" s="96" customFormat="1">
      <c r="A147" s="92">
        <v>51</v>
      </c>
      <c r="B147" s="143" t="s">
        <v>455</v>
      </c>
      <c r="C147" s="130">
        <v>1</v>
      </c>
      <c r="D147" s="130">
        <v>1</v>
      </c>
      <c r="E147" s="130">
        <v>1</v>
      </c>
      <c r="F147" s="130">
        <v>1</v>
      </c>
      <c r="G147" s="148">
        <v>4.7</v>
      </c>
      <c r="H147" s="148">
        <v>4.7</v>
      </c>
      <c r="I147" s="148">
        <v>0</v>
      </c>
      <c r="J147" s="148">
        <v>0</v>
      </c>
      <c r="K147" s="148">
        <v>24</v>
      </c>
      <c r="L147" s="148" t="s">
        <v>996</v>
      </c>
      <c r="M147" s="148">
        <v>24</v>
      </c>
      <c r="N147" s="148" t="s">
        <v>996</v>
      </c>
      <c r="O147" s="148">
        <v>24</v>
      </c>
      <c r="P147" s="148" t="s">
        <v>996</v>
      </c>
      <c r="Q147" s="136">
        <v>30</v>
      </c>
      <c r="R147" s="145">
        <f t="shared" si="64"/>
        <v>0</v>
      </c>
      <c r="S147" s="146">
        <f t="shared" si="65"/>
        <v>3384.0000000000005</v>
      </c>
      <c r="T147" s="146">
        <f t="shared" si="66"/>
        <v>3384.0000000000005</v>
      </c>
      <c r="U147" s="146">
        <f t="shared" si="67"/>
        <v>3384.0000000000005</v>
      </c>
      <c r="V147" s="145">
        <f t="shared" si="68"/>
        <v>0</v>
      </c>
      <c r="W147" s="146">
        <f t="shared" si="69"/>
        <v>3384.0000000000005</v>
      </c>
      <c r="X147" s="146">
        <f t="shared" si="70"/>
        <v>3384.0000000000005</v>
      </c>
      <c r="Y147" s="146">
        <f t="shared" si="71"/>
        <v>3384.0000000000005</v>
      </c>
      <c r="Z147" s="95" t="e">
        <f t="shared" si="72"/>
        <v>#DIV/0!</v>
      </c>
      <c r="AA147" s="95">
        <f t="shared" si="73"/>
        <v>1</v>
      </c>
      <c r="AB147" s="95">
        <f t="shared" si="74"/>
        <v>1</v>
      </c>
      <c r="AC147" s="95">
        <f t="shared" si="75"/>
        <v>1</v>
      </c>
    </row>
    <row r="148" spans="1:29" s="96" customFormat="1">
      <c r="A148" s="92">
        <v>52</v>
      </c>
      <c r="B148" s="143" t="s">
        <v>425</v>
      </c>
      <c r="C148" s="130">
        <v>1</v>
      </c>
      <c r="D148" s="130">
        <v>1</v>
      </c>
      <c r="E148" s="130">
        <v>1</v>
      </c>
      <c r="F148" s="130">
        <v>1</v>
      </c>
      <c r="G148" s="148">
        <v>0.18</v>
      </c>
      <c r="H148" s="148">
        <v>0.18</v>
      </c>
      <c r="I148" s="148">
        <v>0</v>
      </c>
      <c r="J148" s="148">
        <v>0</v>
      </c>
      <c r="K148" s="148">
        <v>4</v>
      </c>
      <c r="L148" s="148" t="s">
        <v>1126</v>
      </c>
      <c r="M148" s="148">
        <v>4</v>
      </c>
      <c r="N148" s="148" t="s">
        <v>1126</v>
      </c>
      <c r="O148" s="148">
        <v>4</v>
      </c>
      <c r="P148" s="148" t="s">
        <v>1126</v>
      </c>
      <c r="Q148" s="136">
        <v>30</v>
      </c>
      <c r="R148" s="145">
        <f t="shared" si="64"/>
        <v>0</v>
      </c>
      <c r="S148" s="146">
        <f t="shared" si="65"/>
        <v>21.599999999999998</v>
      </c>
      <c r="T148" s="146">
        <f t="shared" si="66"/>
        <v>21.599999999999998</v>
      </c>
      <c r="U148" s="146">
        <f t="shared" si="67"/>
        <v>21.599999999999998</v>
      </c>
      <c r="V148" s="145">
        <f t="shared" si="68"/>
        <v>0</v>
      </c>
      <c r="W148" s="146">
        <f t="shared" si="69"/>
        <v>21.599999999999998</v>
      </c>
      <c r="X148" s="146">
        <f t="shared" si="70"/>
        <v>21.599999999999998</v>
      </c>
      <c r="Y148" s="146">
        <f t="shared" si="71"/>
        <v>21.599999999999998</v>
      </c>
      <c r="Z148" s="95" t="e">
        <f t="shared" si="72"/>
        <v>#DIV/0!</v>
      </c>
      <c r="AA148" s="95">
        <f t="shared" si="73"/>
        <v>1</v>
      </c>
      <c r="AB148" s="95">
        <f t="shared" si="74"/>
        <v>1</v>
      </c>
      <c r="AC148" s="95">
        <f t="shared" si="75"/>
        <v>1</v>
      </c>
    </row>
    <row r="149" spans="1:29" s="96" customFormat="1">
      <c r="A149" s="92">
        <v>53</v>
      </c>
      <c r="B149" s="372" t="s">
        <v>704</v>
      </c>
      <c r="C149" s="92">
        <v>1</v>
      </c>
      <c r="D149" s="92">
        <v>1</v>
      </c>
      <c r="E149" s="92">
        <v>1</v>
      </c>
      <c r="F149" s="92">
        <v>1</v>
      </c>
      <c r="G149" s="149">
        <v>2</v>
      </c>
      <c r="H149" s="149">
        <v>2</v>
      </c>
      <c r="I149" s="148">
        <v>0</v>
      </c>
      <c r="J149" s="148">
        <v>0</v>
      </c>
      <c r="K149" s="148">
        <v>4</v>
      </c>
      <c r="L149" s="148" t="s">
        <v>1126</v>
      </c>
      <c r="M149" s="148">
        <v>4</v>
      </c>
      <c r="N149" s="148" t="s">
        <v>1126</v>
      </c>
      <c r="O149" s="148">
        <v>4</v>
      </c>
      <c r="P149" s="148" t="s">
        <v>1126</v>
      </c>
      <c r="Q149" s="136">
        <v>30</v>
      </c>
      <c r="R149" s="145">
        <f t="shared" si="64"/>
        <v>0</v>
      </c>
      <c r="S149" s="146">
        <f t="shared" si="65"/>
        <v>240</v>
      </c>
      <c r="T149" s="146">
        <f t="shared" si="66"/>
        <v>240</v>
      </c>
      <c r="U149" s="146">
        <f t="shared" si="67"/>
        <v>240</v>
      </c>
      <c r="V149" s="145">
        <f t="shared" si="68"/>
        <v>0</v>
      </c>
      <c r="W149" s="146">
        <f t="shared" si="69"/>
        <v>240</v>
      </c>
      <c r="X149" s="146">
        <f t="shared" si="70"/>
        <v>240</v>
      </c>
      <c r="Y149" s="146">
        <f t="shared" si="71"/>
        <v>240</v>
      </c>
      <c r="Z149" s="95" t="e">
        <f t="shared" si="72"/>
        <v>#DIV/0!</v>
      </c>
      <c r="AA149" s="95">
        <f t="shared" si="73"/>
        <v>1</v>
      </c>
      <c r="AB149" s="95">
        <f t="shared" si="74"/>
        <v>1</v>
      </c>
      <c r="AC149" s="95">
        <f t="shared" si="75"/>
        <v>1</v>
      </c>
    </row>
    <row r="150" spans="1:29" s="96" customFormat="1">
      <c r="A150" s="92">
        <v>54</v>
      </c>
      <c r="B150" s="372" t="s">
        <v>677</v>
      </c>
      <c r="C150" s="92">
        <v>4</v>
      </c>
      <c r="D150" s="92">
        <v>4</v>
      </c>
      <c r="E150" s="92">
        <v>4</v>
      </c>
      <c r="F150" s="92">
        <v>4</v>
      </c>
      <c r="G150" s="149">
        <v>0.1</v>
      </c>
      <c r="H150" s="149">
        <v>0.1</v>
      </c>
      <c r="I150" s="148">
        <v>0</v>
      </c>
      <c r="J150" s="148">
        <v>0</v>
      </c>
      <c r="K150" s="148">
        <v>4</v>
      </c>
      <c r="L150" s="148" t="s">
        <v>1126</v>
      </c>
      <c r="M150" s="148">
        <v>4</v>
      </c>
      <c r="N150" s="148" t="s">
        <v>1126</v>
      </c>
      <c r="O150" s="148">
        <v>4</v>
      </c>
      <c r="P150" s="148" t="s">
        <v>1126</v>
      </c>
      <c r="Q150" s="136">
        <v>30</v>
      </c>
      <c r="R150" s="145">
        <f t="shared" si="64"/>
        <v>0</v>
      </c>
      <c r="S150" s="146">
        <f t="shared" si="65"/>
        <v>48</v>
      </c>
      <c r="T150" s="146">
        <f t="shared" si="66"/>
        <v>48</v>
      </c>
      <c r="U150" s="146">
        <f t="shared" si="67"/>
        <v>48</v>
      </c>
      <c r="V150" s="145">
        <f t="shared" si="68"/>
        <v>0</v>
      </c>
      <c r="W150" s="146">
        <f t="shared" si="69"/>
        <v>48</v>
      </c>
      <c r="X150" s="146">
        <f t="shared" si="70"/>
        <v>48</v>
      </c>
      <c r="Y150" s="146">
        <f t="shared" si="71"/>
        <v>48</v>
      </c>
      <c r="Z150" s="95" t="e">
        <f t="shared" si="72"/>
        <v>#DIV/0!</v>
      </c>
      <c r="AA150" s="95">
        <f t="shared" si="73"/>
        <v>1</v>
      </c>
      <c r="AB150" s="95">
        <f t="shared" si="74"/>
        <v>1</v>
      </c>
      <c r="AC150" s="95">
        <f t="shared" si="75"/>
        <v>1</v>
      </c>
    </row>
    <row r="151" spans="1:29" s="96" customFormat="1">
      <c r="A151" s="92"/>
      <c r="B151" s="162" t="s">
        <v>389</v>
      </c>
      <c r="C151" s="92"/>
      <c r="D151" s="92"/>
      <c r="E151" s="92"/>
      <c r="F151" s="92"/>
      <c r="G151" s="149"/>
      <c r="H151" s="149"/>
      <c r="I151" s="144"/>
      <c r="J151" s="144"/>
      <c r="K151" s="144"/>
      <c r="L151" s="144"/>
      <c r="M151" s="144"/>
      <c r="N151" s="144"/>
      <c r="O151" s="144"/>
      <c r="P151" s="144"/>
      <c r="Q151" s="136"/>
      <c r="R151" s="145"/>
      <c r="S151" s="146"/>
      <c r="T151" s="146"/>
      <c r="U151" s="146"/>
      <c r="V151" s="145"/>
      <c r="W151" s="146"/>
      <c r="X151" s="146"/>
      <c r="Y151" s="146"/>
      <c r="Z151" s="95"/>
      <c r="AA151" s="95"/>
      <c r="AB151" s="95"/>
      <c r="AC151" s="95"/>
    </row>
    <row r="152" spans="1:29" s="96" customFormat="1">
      <c r="A152" s="92">
        <v>55</v>
      </c>
      <c r="B152" s="143" t="s">
        <v>443</v>
      </c>
      <c r="C152" s="92">
        <v>1</v>
      </c>
      <c r="D152" s="92">
        <v>1</v>
      </c>
      <c r="E152" s="92">
        <v>1</v>
      </c>
      <c r="F152" s="92">
        <v>1</v>
      </c>
      <c r="G152" s="148">
        <v>4</v>
      </c>
      <c r="H152" s="148">
        <v>4</v>
      </c>
      <c r="I152" s="148">
        <v>0</v>
      </c>
      <c r="J152" s="148">
        <v>0</v>
      </c>
      <c r="K152" s="148">
        <v>0</v>
      </c>
      <c r="L152" s="148">
        <v>0</v>
      </c>
      <c r="M152" s="148">
        <v>24</v>
      </c>
      <c r="N152" s="148" t="s">
        <v>996</v>
      </c>
      <c r="O152" s="148">
        <v>24</v>
      </c>
      <c r="P152" s="148" t="s">
        <v>996</v>
      </c>
      <c r="Q152" s="136">
        <v>30</v>
      </c>
      <c r="R152" s="145">
        <f>C152*G152*I152*Q152</f>
        <v>0</v>
      </c>
      <c r="S152" s="146">
        <f>D152*G152*K152*Q152</f>
        <v>0</v>
      </c>
      <c r="T152" s="146">
        <f>E152*G152*M152*Q152</f>
        <v>2880</v>
      </c>
      <c r="U152" s="146">
        <f>F152*G152*O152*Q152</f>
        <v>2880</v>
      </c>
      <c r="V152" s="145">
        <f>C152*H152*I152*Q152</f>
        <v>0</v>
      </c>
      <c r="W152" s="146">
        <f>D152*H152*K152*Q152</f>
        <v>0</v>
      </c>
      <c r="X152" s="146">
        <f>E152*H152*M152*Q152</f>
        <v>2880</v>
      </c>
      <c r="Y152" s="146">
        <f>F152*H152*O152*Q152</f>
        <v>2880</v>
      </c>
      <c r="Z152" s="95" t="e">
        <f t="shared" ref="Z152:AC155" si="76">V152/R152</f>
        <v>#DIV/0!</v>
      </c>
      <c r="AA152" s="95" t="e">
        <f t="shared" si="76"/>
        <v>#DIV/0!</v>
      </c>
      <c r="AB152" s="95">
        <f t="shared" si="76"/>
        <v>1</v>
      </c>
      <c r="AC152" s="95">
        <f t="shared" si="76"/>
        <v>1</v>
      </c>
    </row>
    <row r="153" spans="1:29" s="96" customFormat="1">
      <c r="A153" s="92">
        <v>56</v>
      </c>
      <c r="B153" s="143" t="s">
        <v>425</v>
      </c>
      <c r="C153" s="130">
        <v>1</v>
      </c>
      <c r="D153" s="130">
        <v>1</v>
      </c>
      <c r="E153" s="130">
        <v>1</v>
      </c>
      <c r="F153" s="130">
        <v>1</v>
      </c>
      <c r="G153" s="148">
        <v>0.18</v>
      </c>
      <c r="H153" s="148">
        <v>0.18</v>
      </c>
      <c r="I153" s="148">
        <v>0</v>
      </c>
      <c r="J153" s="148">
        <v>0</v>
      </c>
      <c r="K153" s="148">
        <v>0</v>
      </c>
      <c r="L153" s="148">
        <v>0</v>
      </c>
      <c r="M153" s="148">
        <v>4</v>
      </c>
      <c r="N153" s="148" t="s">
        <v>1126</v>
      </c>
      <c r="O153" s="148">
        <v>4</v>
      </c>
      <c r="P153" s="148" t="s">
        <v>1126</v>
      </c>
      <c r="Q153" s="136">
        <v>30</v>
      </c>
      <c r="R153" s="145">
        <f>C153*G153*I153*Q153</f>
        <v>0</v>
      </c>
      <c r="S153" s="146">
        <f>D153*G153*K153*Q153</f>
        <v>0</v>
      </c>
      <c r="T153" s="146">
        <f>E153*G153*M153*Q153</f>
        <v>21.599999999999998</v>
      </c>
      <c r="U153" s="146">
        <f>F153*G153*O153*Q153</f>
        <v>21.599999999999998</v>
      </c>
      <c r="V153" s="145">
        <f>C153*H153*I153*Q153</f>
        <v>0</v>
      </c>
      <c r="W153" s="146">
        <f>D153*H153*K153*Q153</f>
        <v>0</v>
      </c>
      <c r="X153" s="146">
        <f>E153*H153*M153*Q153</f>
        <v>21.599999999999998</v>
      </c>
      <c r="Y153" s="146">
        <f>F153*H153*O153*Q153</f>
        <v>21.599999999999998</v>
      </c>
      <c r="Z153" s="95" t="e">
        <f t="shared" si="76"/>
        <v>#DIV/0!</v>
      </c>
      <c r="AA153" s="95" t="e">
        <f t="shared" si="76"/>
        <v>#DIV/0!</v>
      </c>
      <c r="AB153" s="95">
        <f t="shared" si="76"/>
        <v>1</v>
      </c>
      <c r="AC153" s="95">
        <f t="shared" si="76"/>
        <v>1</v>
      </c>
    </row>
    <row r="154" spans="1:29" s="96" customFormat="1">
      <c r="A154" s="92">
        <v>57</v>
      </c>
      <c r="B154" s="143" t="s">
        <v>450</v>
      </c>
      <c r="C154" s="130">
        <v>4</v>
      </c>
      <c r="D154" s="130">
        <v>4</v>
      </c>
      <c r="E154" s="130">
        <v>4</v>
      </c>
      <c r="F154" s="130">
        <v>4</v>
      </c>
      <c r="G154" s="148">
        <v>0.75</v>
      </c>
      <c r="H154" s="148">
        <v>0.75</v>
      </c>
      <c r="I154" s="148">
        <v>0</v>
      </c>
      <c r="J154" s="148">
        <v>0</v>
      </c>
      <c r="K154" s="148">
        <v>0</v>
      </c>
      <c r="L154" s="148">
        <v>0</v>
      </c>
      <c r="M154" s="148">
        <v>4</v>
      </c>
      <c r="N154" s="148" t="s">
        <v>1126</v>
      </c>
      <c r="O154" s="148">
        <v>4</v>
      </c>
      <c r="P154" s="148" t="s">
        <v>1126</v>
      </c>
      <c r="Q154" s="136">
        <v>30</v>
      </c>
      <c r="R154" s="145">
        <f>C154*G154*I154*Q154</f>
        <v>0</v>
      </c>
      <c r="S154" s="146">
        <f>D154*G154*K154*Q154</f>
        <v>0</v>
      </c>
      <c r="T154" s="146">
        <f>E154*G154*M154*Q154</f>
        <v>360</v>
      </c>
      <c r="U154" s="146">
        <f>F154*G154*O154*Q154</f>
        <v>360</v>
      </c>
      <c r="V154" s="145">
        <f>C154*H154*I154*Q154</f>
        <v>0</v>
      </c>
      <c r="W154" s="146">
        <f>D154*H154*K154*Q154</f>
        <v>0</v>
      </c>
      <c r="X154" s="146">
        <f>E154*H154*M154*Q154</f>
        <v>360</v>
      </c>
      <c r="Y154" s="146">
        <f>F154*H154*O154*Q154</f>
        <v>360</v>
      </c>
      <c r="Z154" s="95" t="e">
        <f t="shared" si="76"/>
        <v>#DIV/0!</v>
      </c>
      <c r="AA154" s="95" t="e">
        <f t="shared" si="76"/>
        <v>#DIV/0!</v>
      </c>
      <c r="AB154" s="95">
        <f t="shared" si="76"/>
        <v>1</v>
      </c>
      <c r="AC154" s="95">
        <f t="shared" si="76"/>
        <v>1</v>
      </c>
    </row>
    <row r="155" spans="1:29" s="96" customFormat="1">
      <c r="A155" s="92">
        <v>58</v>
      </c>
      <c r="B155" s="152" t="s">
        <v>713</v>
      </c>
      <c r="C155" s="130">
        <v>6</v>
      </c>
      <c r="D155" s="130">
        <v>6</v>
      </c>
      <c r="E155" s="130">
        <v>6</v>
      </c>
      <c r="F155" s="130">
        <v>6</v>
      </c>
      <c r="G155" s="148">
        <v>4</v>
      </c>
      <c r="H155" s="148">
        <v>4</v>
      </c>
      <c r="I155" s="148">
        <v>0</v>
      </c>
      <c r="J155" s="148">
        <v>0</v>
      </c>
      <c r="K155" s="148">
        <v>0</v>
      </c>
      <c r="L155" s="148">
        <v>0</v>
      </c>
      <c r="M155" s="148">
        <v>4</v>
      </c>
      <c r="N155" s="148" t="s">
        <v>1126</v>
      </c>
      <c r="O155" s="148">
        <v>4</v>
      </c>
      <c r="P155" s="148" t="s">
        <v>1126</v>
      </c>
      <c r="Q155" s="136">
        <v>30</v>
      </c>
      <c r="R155" s="145">
        <f>C155*G155*I155*Q155</f>
        <v>0</v>
      </c>
      <c r="S155" s="146">
        <f>D155*G155*K155*Q155</f>
        <v>0</v>
      </c>
      <c r="T155" s="146">
        <f>E155*G155*M155*Q155</f>
        <v>2880</v>
      </c>
      <c r="U155" s="146">
        <f>F155*G155*O155*Q155</f>
        <v>2880</v>
      </c>
      <c r="V155" s="145">
        <f>C155*H155*I155*Q155</f>
        <v>0</v>
      </c>
      <c r="W155" s="146">
        <f>D155*H155*K155*Q155</f>
        <v>0</v>
      </c>
      <c r="X155" s="146">
        <f>E155*H155*M155*Q155</f>
        <v>2880</v>
      </c>
      <c r="Y155" s="146">
        <f>F155*H155*O155*Q155</f>
        <v>2880</v>
      </c>
      <c r="Z155" s="95" t="e">
        <f t="shared" si="76"/>
        <v>#DIV/0!</v>
      </c>
      <c r="AA155" s="95" t="e">
        <f t="shared" si="76"/>
        <v>#DIV/0!</v>
      </c>
      <c r="AB155" s="95">
        <f t="shared" si="76"/>
        <v>1</v>
      </c>
      <c r="AC155" s="95">
        <f t="shared" si="76"/>
        <v>1</v>
      </c>
    </row>
    <row r="156" spans="1:29" s="96" customFormat="1">
      <c r="A156" s="92">
        <v>59</v>
      </c>
      <c r="B156" s="372" t="s">
        <v>704</v>
      </c>
      <c r="C156" s="92">
        <v>1</v>
      </c>
      <c r="D156" s="92">
        <v>1</v>
      </c>
      <c r="E156" s="92">
        <v>1</v>
      </c>
      <c r="F156" s="92">
        <v>1</v>
      </c>
      <c r="G156" s="149">
        <v>2</v>
      </c>
      <c r="H156" s="149">
        <v>2</v>
      </c>
      <c r="I156" s="148">
        <v>0</v>
      </c>
      <c r="J156" s="148">
        <v>0</v>
      </c>
      <c r="K156" s="148">
        <v>0</v>
      </c>
      <c r="L156" s="148">
        <v>0</v>
      </c>
      <c r="M156" s="148">
        <v>4</v>
      </c>
      <c r="N156" s="148" t="s">
        <v>1126</v>
      </c>
      <c r="O156" s="148">
        <v>4</v>
      </c>
      <c r="P156" s="148" t="s">
        <v>1126</v>
      </c>
      <c r="Q156" s="136">
        <v>30</v>
      </c>
      <c r="R156" s="145"/>
      <c r="S156" s="146"/>
      <c r="T156" s="146"/>
      <c r="U156" s="146"/>
      <c r="V156" s="145"/>
      <c r="W156" s="146"/>
      <c r="X156" s="146"/>
      <c r="Y156" s="146"/>
      <c r="Z156" s="95"/>
      <c r="AA156" s="95"/>
      <c r="AB156" s="95"/>
      <c r="AC156" s="95"/>
    </row>
    <row r="157" spans="1:29" s="96" customFormat="1">
      <c r="A157" s="92">
        <v>60</v>
      </c>
      <c r="B157" s="372" t="s">
        <v>677</v>
      </c>
      <c r="C157" s="92">
        <v>4</v>
      </c>
      <c r="D157" s="92">
        <v>4</v>
      </c>
      <c r="E157" s="92">
        <v>4</v>
      </c>
      <c r="F157" s="92">
        <v>4</v>
      </c>
      <c r="G157" s="149">
        <v>0.1</v>
      </c>
      <c r="H157" s="149">
        <v>0.1</v>
      </c>
      <c r="I157" s="148">
        <v>0</v>
      </c>
      <c r="J157" s="148">
        <v>0</v>
      </c>
      <c r="K157" s="148">
        <v>0</v>
      </c>
      <c r="L157" s="148">
        <v>0</v>
      </c>
      <c r="M157" s="148">
        <v>4</v>
      </c>
      <c r="N157" s="148" t="s">
        <v>1126</v>
      </c>
      <c r="O157" s="148">
        <v>4</v>
      </c>
      <c r="P157" s="148" t="s">
        <v>1126</v>
      </c>
      <c r="Q157" s="136">
        <v>30</v>
      </c>
      <c r="R157" s="145"/>
      <c r="S157" s="146"/>
      <c r="T157" s="146"/>
      <c r="U157" s="146"/>
      <c r="V157" s="145"/>
      <c r="W157" s="146"/>
      <c r="X157" s="146"/>
      <c r="Y157" s="146"/>
      <c r="Z157" s="95"/>
      <c r="AA157" s="95"/>
      <c r="AB157" s="95"/>
      <c r="AC157" s="95"/>
    </row>
    <row r="158" spans="1:29" s="96" customFormat="1">
      <c r="A158" s="92">
        <v>61</v>
      </c>
      <c r="B158" s="143" t="s">
        <v>455</v>
      </c>
      <c r="C158" s="130">
        <v>1</v>
      </c>
      <c r="D158" s="130">
        <v>1</v>
      </c>
      <c r="E158" s="130">
        <v>1</v>
      </c>
      <c r="F158" s="130">
        <v>1</v>
      </c>
      <c r="G158" s="148">
        <v>4.7</v>
      </c>
      <c r="H158" s="148">
        <v>4.7</v>
      </c>
      <c r="I158" s="148">
        <v>0</v>
      </c>
      <c r="J158" s="148">
        <v>0</v>
      </c>
      <c r="K158" s="148">
        <v>0</v>
      </c>
      <c r="L158" s="148">
        <v>0</v>
      </c>
      <c r="M158" s="148">
        <v>24</v>
      </c>
      <c r="N158" s="148" t="s">
        <v>996</v>
      </c>
      <c r="O158" s="148">
        <v>24</v>
      </c>
      <c r="P158" s="148" t="s">
        <v>996</v>
      </c>
      <c r="Q158" s="136">
        <v>30</v>
      </c>
      <c r="R158" s="145">
        <f>C158*G158*I158*Q158</f>
        <v>0</v>
      </c>
      <c r="S158" s="146">
        <f>D158*G158*K158*Q158</f>
        <v>0</v>
      </c>
      <c r="T158" s="146">
        <f>E158*G158*M158*Q158</f>
        <v>3384.0000000000005</v>
      </c>
      <c r="U158" s="146">
        <f>F158*G158*O158*Q158</f>
        <v>3384.0000000000005</v>
      </c>
      <c r="V158" s="145">
        <f>C158*H158*I158*Q158</f>
        <v>0</v>
      </c>
      <c r="W158" s="146">
        <f>D158*H158*K158*Q158</f>
        <v>0</v>
      </c>
      <c r="X158" s="146">
        <f>E158*H158*M158*Q158</f>
        <v>3384.0000000000005</v>
      </c>
      <c r="Y158" s="146">
        <f>F158*H158*O158*Q158</f>
        <v>3384.0000000000005</v>
      </c>
      <c r="Z158" s="95" t="e">
        <f t="shared" ref="Z158:AC159" si="77">V158/R158</f>
        <v>#DIV/0!</v>
      </c>
      <c r="AA158" s="95" t="e">
        <f t="shared" si="77"/>
        <v>#DIV/0!</v>
      </c>
      <c r="AB158" s="95">
        <f t="shared" si="77"/>
        <v>1</v>
      </c>
      <c r="AC158" s="95">
        <f t="shared" si="77"/>
        <v>1</v>
      </c>
    </row>
    <row r="159" spans="1:29" s="96" customFormat="1">
      <c r="A159" s="92">
        <v>62</v>
      </c>
      <c r="B159" s="143" t="s">
        <v>714</v>
      </c>
      <c r="C159" s="130">
        <v>1</v>
      </c>
      <c r="D159" s="130">
        <v>1</v>
      </c>
      <c r="E159" s="130">
        <v>1</v>
      </c>
      <c r="F159" s="130">
        <v>1</v>
      </c>
      <c r="G159" s="148">
        <v>8.5</v>
      </c>
      <c r="H159" s="148">
        <v>8.5</v>
      </c>
      <c r="I159" s="148">
        <v>15</v>
      </c>
      <c r="J159" s="148" t="s">
        <v>1121</v>
      </c>
      <c r="K159" s="148">
        <v>15</v>
      </c>
      <c r="L159" s="148" t="s">
        <v>1121</v>
      </c>
      <c r="M159" s="148">
        <v>15</v>
      </c>
      <c r="N159" s="148" t="s">
        <v>1121</v>
      </c>
      <c r="O159" s="148">
        <v>15</v>
      </c>
      <c r="P159" s="148" t="s">
        <v>1121</v>
      </c>
      <c r="Q159" s="136">
        <v>30</v>
      </c>
      <c r="R159" s="145">
        <f>C159*G159*I159*Q159</f>
        <v>3825</v>
      </c>
      <c r="S159" s="146">
        <f>D159*G159*K159*Q159</f>
        <v>3825</v>
      </c>
      <c r="T159" s="146">
        <f>E159*G159*M159*Q159</f>
        <v>3825</v>
      </c>
      <c r="U159" s="146">
        <f>F159*G159*O159*Q159</f>
        <v>3825</v>
      </c>
      <c r="V159" s="145">
        <f>C159*H159*I159*Q159</f>
        <v>3825</v>
      </c>
      <c r="W159" s="146">
        <f>D159*H159*K159*Q159</f>
        <v>3825</v>
      </c>
      <c r="X159" s="146">
        <f>E159*H159*M159*Q159</f>
        <v>3825</v>
      </c>
      <c r="Y159" s="146">
        <f>F159*H159*O159*Q159</f>
        <v>3825</v>
      </c>
      <c r="Z159" s="95">
        <f t="shared" si="77"/>
        <v>1</v>
      </c>
      <c r="AA159" s="95">
        <f t="shared" si="77"/>
        <v>1</v>
      </c>
      <c r="AB159" s="95">
        <f t="shared" si="77"/>
        <v>1</v>
      </c>
      <c r="AC159" s="95">
        <f t="shared" si="77"/>
        <v>1</v>
      </c>
    </row>
    <row r="160" spans="1:29" s="96" customFormat="1">
      <c r="A160" s="92">
        <v>63</v>
      </c>
      <c r="B160" s="372" t="s">
        <v>699</v>
      </c>
      <c r="C160" s="130">
        <v>1</v>
      </c>
      <c r="D160" s="130">
        <v>1</v>
      </c>
      <c r="E160" s="130">
        <v>1</v>
      </c>
      <c r="F160" s="130">
        <v>1</v>
      </c>
      <c r="G160" s="148">
        <v>0.25</v>
      </c>
      <c r="H160" s="148">
        <v>0.25</v>
      </c>
      <c r="I160" s="148">
        <v>0</v>
      </c>
      <c r="J160" s="148">
        <v>0</v>
      </c>
      <c r="K160" s="148">
        <v>0</v>
      </c>
      <c r="L160" s="148">
        <v>0</v>
      </c>
      <c r="M160" s="148">
        <v>4</v>
      </c>
      <c r="N160" s="148" t="s">
        <v>1126</v>
      </c>
      <c r="O160" s="148">
        <v>4</v>
      </c>
      <c r="P160" s="148" t="s">
        <v>1126</v>
      </c>
      <c r="Q160" s="136">
        <v>30</v>
      </c>
      <c r="R160" s="145"/>
      <c r="S160" s="146"/>
      <c r="T160" s="146"/>
      <c r="U160" s="146"/>
      <c r="V160" s="145"/>
      <c r="W160" s="146"/>
      <c r="X160" s="146"/>
      <c r="Y160" s="146"/>
      <c r="Z160" s="95"/>
      <c r="AA160" s="95"/>
      <c r="AB160" s="95"/>
      <c r="AC160" s="95"/>
    </row>
    <row r="161" spans="1:29" s="96" customFormat="1">
      <c r="A161" s="92">
        <v>64</v>
      </c>
      <c r="B161" s="372" t="s">
        <v>700</v>
      </c>
      <c r="C161" s="130">
        <v>1</v>
      </c>
      <c r="D161" s="130">
        <v>1</v>
      </c>
      <c r="E161" s="130">
        <v>1</v>
      </c>
      <c r="F161" s="130">
        <v>1</v>
      </c>
      <c r="G161" s="148">
        <v>0.25</v>
      </c>
      <c r="H161" s="148">
        <v>0.25</v>
      </c>
      <c r="I161" s="148">
        <v>0</v>
      </c>
      <c r="J161" s="148">
        <v>0</v>
      </c>
      <c r="K161" s="148">
        <v>0</v>
      </c>
      <c r="L161" s="148">
        <v>0</v>
      </c>
      <c r="M161" s="148">
        <v>4</v>
      </c>
      <c r="N161" s="148" t="s">
        <v>1126</v>
      </c>
      <c r="O161" s="148">
        <v>4</v>
      </c>
      <c r="P161" s="148" t="s">
        <v>1126</v>
      </c>
      <c r="Q161" s="136">
        <v>30</v>
      </c>
      <c r="R161" s="145"/>
      <c r="S161" s="146"/>
      <c r="T161" s="146"/>
      <c r="U161" s="146"/>
      <c r="V161" s="145"/>
      <c r="W161" s="146"/>
      <c r="X161" s="146"/>
      <c r="Y161" s="146"/>
      <c r="Z161" s="95"/>
      <c r="AA161" s="95"/>
      <c r="AB161" s="95"/>
      <c r="AC161" s="95"/>
    </row>
    <row r="162" spans="1:29" s="96" customFormat="1">
      <c r="A162" s="92"/>
      <c r="B162" s="162" t="s">
        <v>553</v>
      </c>
      <c r="C162" s="130"/>
      <c r="D162" s="130"/>
      <c r="E162" s="130"/>
      <c r="F162" s="130"/>
      <c r="G162" s="148"/>
      <c r="H162" s="148"/>
      <c r="I162" s="148">
        <v>0</v>
      </c>
      <c r="J162" s="148">
        <v>0</v>
      </c>
      <c r="K162" s="148">
        <v>0</v>
      </c>
      <c r="L162" s="148">
        <v>0</v>
      </c>
      <c r="M162" s="148">
        <v>4</v>
      </c>
      <c r="N162" s="148" t="s">
        <v>1126</v>
      </c>
      <c r="O162" s="148">
        <v>4</v>
      </c>
      <c r="P162" s="148" t="s">
        <v>1126</v>
      </c>
      <c r="Q162" s="136">
        <v>30</v>
      </c>
      <c r="R162" s="145"/>
      <c r="S162" s="146"/>
      <c r="T162" s="146"/>
      <c r="U162" s="146"/>
      <c r="V162" s="145"/>
      <c r="W162" s="146"/>
      <c r="X162" s="146"/>
      <c r="Y162" s="146"/>
      <c r="Z162" s="95"/>
      <c r="AA162" s="95"/>
      <c r="AB162" s="95"/>
      <c r="AC162" s="95"/>
    </row>
    <row r="163" spans="1:29" s="96" customFormat="1">
      <c r="A163" s="92">
        <v>65</v>
      </c>
      <c r="B163" s="143" t="s">
        <v>561</v>
      </c>
      <c r="C163" s="130">
        <v>1</v>
      </c>
      <c r="D163" s="130">
        <v>1</v>
      </c>
      <c r="E163" s="130">
        <v>1</v>
      </c>
      <c r="F163" s="130">
        <v>1</v>
      </c>
      <c r="G163" s="148">
        <v>1</v>
      </c>
      <c r="H163" s="148">
        <v>1</v>
      </c>
      <c r="I163" s="148">
        <v>0</v>
      </c>
      <c r="J163" s="148">
        <v>0</v>
      </c>
      <c r="K163" s="148">
        <v>24</v>
      </c>
      <c r="L163" s="148" t="s">
        <v>996</v>
      </c>
      <c r="M163" s="148">
        <v>24</v>
      </c>
      <c r="N163" s="148" t="s">
        <v>996</v>
      </c>
      <c r="O163" s="148">
        <v>24</v>
      </c>
      <c r="P163" s="148" t="s">
        <v>996</v>
      </c>
      <c r="Q163" s="136">
        <v>30</v>
      </c>
      <c r="R163" s="145">
        <f>C163*G163*I163*Q163</f>
        <v>0</v>
      </c>
      <c r="S163" s="146">
        <f>D163*G163*K163*Q163</f>
        <v>720</v>
      </c>
      <c r="T163" s="146">
        <f>E163*G163*M163*Q163</f>
        <v>720</v>
      </c>
      <c r="U163" s="146">
        <f>F163*G163*O163*Q163</f>
        <v>720</v>
      </c>
      <c r="V163" s="145">
        <f>C163*H163*I163*Q163</f>
        <v>0</v>
      </c>
      <c r="W163" s="146">
        <f>D163*H163*K163*Q163</f>
        <v>720</v>
      </c>
      <c r="X163" s="146">
        <f>E163*H163*M163*Q163</f>
        <v>720</v>
      </c>
      <c r="Y163" s="146">
        <f>F163*H163*O163*Q163</f>
        <v>720</v>
      </c>
      <c r="Z163" s="95" t="e">
        <f t="shared" ref="Z163:AC165" si="78">V163/R163</f>
        <v>#DIV/0!</v>
      </c>
      <c r="AA163" s="95">
        <f t="shared" si="78"/>
        <v>1</v>
      </c>
      <c r="AB163" s="95">
        <f t="shared" si="78"/>
        <v>1</v>
      </c>
      <c r="AC163" s="95">
        <f t="shared" si="78"/>
        <v>1</v>
      </c>
    </row>
    <row r="164" spans="1:29" s="96" customFormat="1">
      <c r="A164" s="92">
        <v>66</v>
      </c>
      <c r="B164" s="143" t="s">
        <v>707</v>
      </c>
      <c r="C164" s="130">
        <v>1</v>
      </c>
      <c r="D164" s="130">
        <v>1</v>
      </c>
      <c r="E164" s="130">
        <v>1</v>
      </c>
      <c r="F164" s="130">
        <v>1</v>
      </c>
      <c r="G164" s="148">
        <v>8.5</v>
      </c>
      <c r="H164" s="148">
        <v>8.5</v>
      </c>
      <c r="I164" s="148">
        <v>15</v>
      </c>
      <c r="J164" s="148" t="s">
        <v>1121</v>
      </c>
      <c r="K164" s="148">
        <v>15</v>
      </c>
      <c r="L164" s="148" t="s">
        <v>1121</v>
      </c>
      <c r="M164" s="148">
        <v>15</v>
      </c>
      <c r="N164" s="148" t="s">
        <v>1121</v>
      </c>
      <c r="O164" s="148">
        <v>15</v>
      </c>
      <c r="P164" s="148" t="s">
        <v>1121</v>
      </c>
      <c r="Q164" s="136">
        <v>30</v>
      </c>
      <c r="R164" s="145">
        <f>C164*G164*I164*Q164</f>
        <v>3825</v>
      </c>
      <c r="S164" s="146">
        <f>D164*G164*K164*Q164</f>
        <v>3825</v>
      </c>
      <c r="T164" s="146">
        <f>E164*G164*M164*Q164</f>
        <v>3825</v>
      </c>
      <c r="U164" s="146">
        <f>F164*G164*O164*Q164</f>
        <v>3825</v>
      </c>
      <c r="V164" s="145">
        <f>C164*H164*I164*Q164</f>
        <v>3825</v>
      </c>
      <c r="W164" s="146">
        <f>D164*H164*K164*Q164</f>
        <v>3825</v>
      </c>
      <c r="X164" s="146">
        <f>E164*H164*M164*Q164</f>
        <v>3825</v>
      </c>
      <c r="Y164" s="146">
        <f>F164*H164*O164*Q164</f>
        <v>3825</v>
      </c>
      <c r="Z164" s="95">
        <f t="shared" si="78"/>
        <v>1</v>
      </c>
      <c r="AA164" s="95">
        <f t="shared" si="78"/>
        <v>1</v>
      </c>
      <c r="AB164" s="95">
        <f t="shared" si="78"/>
        <v>1</v>
      </c>
      <c r="AC164" s="95">
        <f t="shared" si="78"/>
        <v>1</v>
      </c>
    </row>
    <row r="165" spans="1:29" s="96" customFormat="1">
      <c r="A165" s="92">
        <v>67</v>
      </c>
      <c r="B165" s="143" t="s">
        <v>435</v>
      </c>
      <c r="C165" s="130">
        <v>2</v>
      </c>
      <c r="D165" s="130">
        <v>2</v>
      </c>
      <c r="E165" s="130">
        <v>2</v>
      </c>
      <c r="F165" s="130">
        <v>2</v>
      </c>
      <c r="G165" s="148">
        <v>0.21</v>
      </c>
      <c r="H165" s="148">
        <v>0.21</v>
      </c>
      <c r="I165" s="148">
        <v>0</v>
      </c>
      <c r="J165" s="148">
        <v>0</v>
      </c>
      <c r="K165" s="148">
        <v>24</v>
      </c>
      <c r="L165" s="148" t="s">
        <v>996</v>
      </c>
      <c r="M165" s="148">
        <v>24</v>
      </c>
      <c r="N165" s="148" t="s">
        <v>996</v>
      </c>
      <c r="O165" s="148">
        <v>24</v>
      </c>
      <c r="P165" s="148" t="s">
        <v>996</v>
      </c>
      <c r="Q165" s="136">
        <v>30</v>
      </c>
      <c r="R165" s="145">
        <f>C165*G165*I165*Q165</f>
        <v>0</v>
      </c>
      <c r="S165" s="146">
        <f>D165*G165*K165*Q165</f>
        <v>302.39999999999998</v>
      </c>
      <c r="T165" s="146">
        <f>E165*G165*M165*Q165</f>
        <v>302.39999999999998</v>
      </c>
      <c r="U165" s="146">
        <f>F165*G165*O165*Q165</f>
        <v>302.39999999999998</v>
      </c>
      <c r="V165" s="145">
        <f>C165*H165*I165*Q165</f>
        <v>0</v>
      </c>
      <c r="W165" s="146">
        <f>D165*H165*K165*Q165</f>
        <v>302.39999999999998</v>
      </c>
      <c r="X165" s="146">
        <f>E165*H165*M165*Q165</f>
        <v>302.39999999999998</v>
      </c>
      <c r="Y165" s="146">
        <f>F165*H165*O165*Q165</f>
        <v>302.39999999999998</v>
      </c>
      <c r="Z165" s="95" t="e">
        <f t="shared" si="78"/>
        <v>#DIV/0!</v>
      </c>
      <c r="AA165" s="95">
        <f t="shared" si="78"/>
        <v>1</v>
      </c>
      <c r="AB165" s="95">
        <f t="shared" si="78"/>
        <v>1</v>
      </c>
      <c r="AC165" s="95">
        <f t="shared" si="78"/>
        <v>1</v>
      </c>
    </row>
    <row r="166" spans="1:29" s="96" customFormat="1">
      <c r="A166" s="92">
        <v>68</v>
      </c>
      <c r="B166" s="143" t="s">
        <v>715</v>
      </c>
      <c r="C166" s="130">
        <v>1</v>
      </c>
      <c r="D166" s="130">
        <v>1</v>
      </c>
      <c r="E166" s="130">
        <v>1</v>
      </c>
      <c r="F166" s="130">
        <v>1</v>
      </c>
      <c r="G166" s="148">
        <v>4.7</v>
      </c>
      <c r="H166" s="148">
        <v>4.7</v>
      </c>
      <c r="I166" s="148"/>
      <c r="J166" s="148"/>
      <c r="K166" s="148"/>
      <c r="L166" s="148"/>
      <c r="M166" s="148"/>
      <c r="N166" s="148"/>
      <c r="O166" s="148"/>
      <c r="P166" s="148"/>
      <c r="Q166" s="136"/>
      <c r="R166" s="145"/>
      <c r="S166" s="146"/>
      <c r="T166" s="146"/>
      <c r="U166" s="146"/>
      <c r="V166" s="145"/>
      <c r="W166" s="146"/>
      <c r="X166" s="146"/>
      <c r="Y166" s="146"/>
      <c r="Z166" s="95"/>
      <c r="AA166" s="95"/>
      <c r="AB166" s="95"/>
      <c r="AC166" s="95"/>
    </row>
    <row r="167" spans="1:29" s="485" customFormat="1">
      <c r="A167" s="477" t="s">
        <v>30</v>
      </c>
      <c r="B167" s="471" t="s">
        <v>288</v>
      </c>
      <c r="C167" s="478"/>
      <c r="D167" s="479"/>
      <c r="E167" s="479"/>
      <c r="F167" s="479"/>
      <c r="G167" s="480"/>
      <c r="H167" s="480"/>
      <c r="I167" s="481"/>
      <c r="J167" s="482"/>
      <c r="K167" s="481"/>
      <c r="L167" s="482"/>
      <c r="M167" s="481"/>
      <c r="N167" s="482"/>
      <c r="O167" s="481"/>
      <c r="P167" s="482"/>
      <c r="Q167" s="483"/>
      <c r="R167" s="145">
        <f t="shared" ref="R167:R183" si="79">C167*G167*I167*Q167</f>
        <v>0</v>
      </c>
      <c r="S167" s="146">
        <f t="shared" ref="S167:S183" si="80">D167*G167*K167*Q167</f>
        <v>0</v>
      </c>
      <c r="T167" s="146">
        <f t="shared" ref="T167:T183" si="81">E167*G167*M167*Q167</f>
        <v>0</v>
      </c>
      <c r="U167" s="146">
        <f t="shared" ref="U167:U183" si="82">F167*G167*O167*Q167</f>
        <v>0</v>
      </c>
      <c r="V167" s="145">
        <f t="shared" ref="V167:V183" si="83">C167*H167*I167*Q167</f>
        <v>0</v>
      </c>
      <c r="W167" s="146">
        <f t="shared" ref="W167:W183" si="84">D167*H167*K167*Q167</f>
        <v>0</v>
      </c>
      <c r="X167" s="146">
        <f t="shared" ref="X167:X183" si="85">E167*H167*M167*Q167</f>
        <v>0</v>
      </c>
      <c r="Y167" s="146">
        <f t="shared" ref="Y167:Y183" si="86">F167*H167*O167*Q167</f>
        <v>0</v>
      </c>
      <c r="Z167" s="484" t="e">
        <f t="shared" ref="Z167:AC183" si="87">V167/R167</f>
        <v>#DIV/0!</v>
      </c>
      <c r="AA167" s="484" t="e">
        <f t="shared" si="87"/>
        <v>#DIV/0!</v>
      </c>
      <c r="AB167" s="484" t="e">
        <f t="shared" si="87"/>
        <v>#DIV/0!</v>
      </c>
      <c r="AC167" s="484" t="e">
        <f t="shared" si="87"/>
        <v>#DIV/0!</v>
      </c>
    </row>
    <row r="168" spans="1:29" s="96" customFormat="1">
      <c r="A168" s="92">
        <v>1</v>
      </c>
      <c r="B168" s="143" t="s">
        <v>451</v>
      </c>
      <c r="C168" s="14">
        <v>2</v>
      </c>
      <c r="D168" s="14">
        <v>2</v>
      </c>
      <c r="E168" s="14">
        <v>2</v>
      </c>
      <c r="F168" s="14">
        <v>2</v>
      </c>
      <c r="G168" s="148">
        <v>15</v>
      </c>
      <c r="H168" s="148">
        <v>15</v>
      </c>
      <c r="I168" s="148">
        <v>6</v>
      </c>
      <c r="J168" s="148" t="s">
        <v>1657</v>
      </c>
      <c r="K168" s="148">
        <v>6</v>
      </c>
      <c r="L168" s="148" t="s">
        <v>1657</v>
      </c>
      <c r="M168" s="148">
        <v>6</v>
      </c>
      <c r="N168" s="148" t="s">
        <v>1657</v>
      </c>
      <c r="O168" s="148">
        <v>6</v>
      </c>
      <c r="P168" s="148" t="s">
        <v>1657</v>
      </c>
      <c r="Q168" s="486">
        <v>30</v>
      </c>
      <c r="R168" s="145">
        <f t="shared" si="79"/>
        <v>5400</v>
      </c>
      <c r="S168" s="146">
        <f t="shared" si="80"/>
        <v>5400</v>
      </c>
      <c r="T168" s="146">
        <f t="shared" si="81"/>
        <v>5400</v>
      </c>
      <c r="U168" s="146">
        <f t="shared" si="82"/>
        <v>5400</v>
      </c>
      <c r="V168" s="145">
        <f t="shared" si="83"/>
        <v>5400</v>
      </c>
      <c r="W168" s="146">
        <f t="shared" si="84"/>
        <v>5400</v>
      </c>
      <c r="X168" s="146">
        <f t="shared" si="85"/>
        <v>5400</v>
      </c>
      <c r="Y168" s="146">
        <f t="shared" si="86"/>
        <v>5400</v>
      </c>
      <c r="Z168" s="95">
        <f t="shared" si="87"/>
        <v>1</v>
      </c>
      <c r="AA168" s="95">
        <f t="shared" si="87"/>
        <v>1</v>
      </c>
      <c r="AB168" s="95">
        <f t="shared" si="87"/>
        <v>1</v>
      </c>
      <c r="AC168" s="95">
        <f t="shared" si="87"/>
        <v>1</v>
      </c>
    </row>
    <row r="169" spans="1:29" s="96" customFormat="1" ht="45">
      <c r="A169" s="92">
        <v>2</v>
      </c>
      <c r="B169" s="143" t="s">
        <v>452</v>
      </c>
      <c r="C169" s="14">
        <v>2</v>
      </c>
      <c r="D169" s="14">
        <v>2</v>
      </c>
      <c r="E169" s="14">
        <v>2</v>
      </c>
      <c r="F169" s="14">
        <v>2</v>
      </c>
      <c r="G169" s="148">
        <v>14.064</v>
      </c>
      <c r="H169" s="148">
        <v>14.064</v>
      </c>
      <c r="I169" s="148">
        <v>8</v>
      </c>
      <c r="J169" s="148" t="s">
        <v>1128</v>
      </c>
      <c r="K169" s="148">
        <v>8</v>
      </c>
      <c r="L169" s="148" t="s">
        <v>1128</v>
      </c>
      <c r="M169" s="148">
        <v>8</v>
      </c>
      <c r="N169" s="148" t="s">
        <v>1128</v>
      </c>
      <c r="O169" s="148">
        <v>8</v>
      </c>
      <c r="P169" s="148" t="s">
        <v>1128</v>
      </c>
      <c r="Q169" s="486">
        <v>30</v>
      </c>
      <c r="R169" s="145">
        <f t="shared" si="79"/>
        <v>6750.72</v>
      </c>
      <c r="S169" s="146">
        <f t="shared" si="80"/>
        <v>6750.72</v>
      </c>
      <c r="T169" s="146">
        <f t="shared" si="81"/>
        <v>6750.72</v>
      </c>
      <c r="U169" s="146">
        <f t="shared" si="82"/>
        <v>6750.72</v>
      </c>
      <c r="V169" s="145">
        <f t="shared" si="83"/>
        <v>6750.72</v>
      </c>
      <c r="W169" s="146">
        <f t="shared" si="84"/>
        <v>6750.72</v>
      </c>
      <c r="X169" s="146">
        <f t="shared" si="85"/>
        <v>6750.72</v>
      </c>
      <c r="Y169" s="146">
        <f t="shared" si="86"/>
        <v>6750.72</v>
      </c>
      <c r="Z169" s="95">
        <f t="shared" si="87"/>
        <v>1</v>
      </c>
      <c r="AA169" s="95">
        <f t="shared" si="87"/>
        <v>1</v>
      </c>
      <c r="AB169" s="95">
        <f t="shared" si="87"/>
        <v>1</v>
      </c>
      <c r="AC169" s="95">
        <f t="shared" si="87"/>
        <v>1</v>
      </c>
    </row>
    <row r="170" spans="1:29" s="96" customFormat="1" ht="45">
      <c r="A170" s="92">
        <v>3</v>
      </c>
      <c r="B170" s="143" t="s">
        <v>453</v>
      </c>
      <c r="C170" s="14">
        <v>2</v>
      </c>
      <c r="D170" s="14">
        <v>2</v>
      </c>
      <c r="E170" s="14">
        <v>2</v>
      </c>
      <c r="F170" s="14">
        <v>2</v>
      </c>
      <c r="G170" s="148">
        <v>14.064</v>
      </c>
      <c r="H170" s="148">
        <v>14.064</v>
      </c>
      <c r="I170" s="148">
        <v>8</v>
      </c>
      <c r="J170" s="148" t="s">
        <v>1128</v>
      </c>
      <c r="K170" s="148">
        <v>8</v>
      </c>
      <c r="L170" s="148" t="s">
        <v>1128</v>
      </c>
      <c r="M170" s="148">
        <v>8</v>
      </c>
      <c r="N170" s="148" t="s">
        <v>1128</v>
      </c>
      <c r="O170" s="148">
        <v>8</v>
      </c>
      <c r="P170" s="148" t="s">
        <v>1128</v>
      </c>
      <c r="Q170" s="486">
        <v>30</v>
      </c>
      <c r="R170" s="145">
        <f t="shared" si="79"/>
        <v>6750.72</v>
      </c>
      <c r="S170" s="146">
        <f t="shared" si="80"/>
        <v>6750.72</v>
      </c>
      <c r="T170" s="146">
        <f t="shared" si="81"/>
        <v>6750.72</v>
      </c>
      <c r="U170" s="146">
        <f t="shared" si="82"/>
        <v>6750.72</v>
      </c>
      <c r="V170" s="145">
        <f t="shared" si="83"/>
        <v>6750.72</v>
      </c>
      <c r="W170" s="146">
        <f t="shared" si="84"/>
        <v>6750.72</v>
      </c>
      <c r="X170" s="146">
        <f t="shared" si="85"/>
        <v>6750.72</v>
      </c>
      <c r="Y170" s="146">
        <f t="shared" si="86"/>
        <v>6750.72</v>
      </c>
      <c r="Z170" s="95">
        <f t="shared" si="87"/>
        <v>1</v>
      </c>
      <c r="AA170" s="95">
        <f t="shared" si="87"/>
        <v>1</v>
      </c>
      <c r="AB170" s="95">
        <f t="shared" si="87"/>
        <v>1</v>
      </c>
      <c r="AC170" s="95">
        <f t="shared" si="87"/>
        <v>1</v>
      </c>
    </row>
    <row r="171" spans="1:29" s="96" customFormat="1">
      <c r="A171" s="92">
        <v>4</v>
      </c>
      <c r="B171" s="143" t="s">
        <v>454</v>
      </c>
      <c r="C171" s="14">
        <v>2</v>
      </c>
      <c r="D171" s="14">
        <v>2</v>
      </c>
      <c r="E171" s="14">
        <v>2</v>
      </c>
      <c r="F171" s="14">
        <v>2</v>
      </c>
      <c r="G171" s="148">
        <v>1.05</v>
      </c>
      <c r="H171" s="148">
        <v>1.05</v>
      </c>
      <c r="I171" s="148">
        <v>24</v>
      </c>
      <c r="J171" s="148" t="s">
        <v>996</v>
      </c>
      <c r="K171" s="148">
        <v>24</v>
      </c>
      <c r="L171" s="148" t="s">
        <v>996</v>
      </c>
      <c r="M171" s="148">
        <v>24</v>
      </c>
      <c r="N171" s="148" t="s">
        <v>996</v>
      </c>
      <c r="O171" s="148">
        <v>24</v>
      </c>
      <c r="P171" s="148" t="s">
        <v>996</v>
      </c>
      <c r="Q171" s="486">
        <v>30</v>
      </c>
      <c r="R171" s="145">
        <f t="shared" si="79"/>
        <v>1512.0000000000002</v>
      </c>
      <c r="S171" s="146">
        <f t="shared" si="80"/>
        <v>1512.0000000000002</v>
      </c>
      <c r="T171" s="146">
        <f t="shared" si="81"/>
        <v>1512.0000000000002</v>
      </c>
      <c r="U171" s="146">
        <f t="shared" si="82"/>
        <v>1512.0000000000002</v>
      </c>
      <c r="V171" s="145">
        <f t="shared" si="83"/>
        <v>1512.0000000000002</v>
      </c>
      <c r="W171" s="146">
        <f t="shared" si="84"/>
        <v>1512.0000000000002</v>
      </c>
      <c r="X171" s="146">
        <f t="shared" si="85"/>
        <v>1512.0000000000002</v>
      </c>
      <c r="Y171" s="146">
        <f t="shared" si="86"/>
        <v>1512.0000000000002</v>
      </c>
      <c r="Z171" s="95">
        <f t="shared" si="87"/>
        <v>1</v>
      </c>
      <c r="AA171" s="95">
        <f t="shared" si="87"/>
        <v>1</v>
      </c>
      <c r="AB171" s="95">
        <f t="shared" si="87"/>
        <v>1</v>
      </c>
      <c r="AC171" s="95">
        <f t="shared" si="87"/>
        <v>1</v>
      </c>
    </row>
    <row r="172" spans="1:29" s="96" customFormat="1" ht="14.25" customHeight="1">
      <c r="A172" s="92">
        <v>5</v>
      </c>
      <c r="B172" s="143" t="s">
        <v>455</v>
      </c>
      <c r="C172" s="14">
        <v>2</v>
      </c>
      <c r="D172" s="14">
        <v>2</v>
      </c>
      <c r="E172" s="14">
        <v>2</v>
      </c>
      <c r="F172" s="14">
        <v>2</v>
      </c>
      <c r="G172" s="148">
        <v>8.1</v>
      </c>
      <c r="H172" s="148">
        <v>8.1</v>
      </c>
      <c r="I172" s="148">
        <v>8</v>
      </c>
      <c r="J172" s="148" t="s">
        <v>1120</v>
      </c>
      <c r="K172" s="148">
        <v>8</v>
      </c>
      <c r="L172" s="148" t="s">
        <v>1120</v>
      </c>
      <c r="M172" s="148">
        <v>8</v>
      </c>
      <c r="N172" s="148" t="s">
        <v>1120</v>
      </c>
      <c r="O172" s="148">
        <v>8</v>
      </c>
      <c r="P172" s="148" t="s">
        <v>1120</v>
      </c>
      <c r="Q172" s="486">
        <v>30</v>
      </c>
      <c r="R172" s="145">
        <f t="shared" si="79"/>
        <v>3888</v>
      </c>
      <c r="S172" s="146">
        <f t="shared" si="80"/>
        <v>3888</v>
      </c>
      <c r="T172" s="146">
        <f t="shared" si="81"/>
        <v>3888</v>
      </c>
      <c r="U172" s="146">
        <f t="shared" si="82"/>
        <v>3888</v>
      </c>
      <c r="V172" s="145">
        <f t="shared" si="83"/>
        <v>3888</v>
      </c>
      <c r="W172" s="146">
        <f t="shared" si="84"/>
        <v>3888</v>
      </c>
      <c r="X172" s="146">
        <f t="shared" si="85"/>
        <v>3888</v>
      </c>
      <c r="Y172" s="146">
        <f t="shared" si="86"/>
        <v>3888</v>
      </c>
      <c r="Z172" s="95">
        <f t="shared" si="87"/>
        <v>1</v>
      </c>
      <c r="AA172" s="95">
        <f t="shared" si="87"/>
        <v>1</v>
      </c>
      <c r="AB172" s="95">
        <f t="shared" si="87"/>
        <v>1</v>
      </c>
      <c r="AC172" s="95">
        <f t="shared" si="87"/>
        <v>1</v>
      </c>
    </row>
    <row r="173" spans="1:29" s="96" customFormat="1">
      <c r="A173" s="92">
        <v>6</v>
      </c>
      <c r="B173" s="143" t="s">
        <v>425</v>
      </c>
      <c r="C173" s="14">
        <v>2</v>
      </c>
      <c r="D173" s="14">
        <v>2</v>
      </c>
      <c r="E173" s="14">
        <v>2</v>
      </c>
      <c r="F173" s="14">
        <v>2</v>
      </c>
      <c r="G173" s="148">
        <v>1.8</v>
      </c>
      <c r="H173" s="148">
        <v>1.8</v>
      </c>
      <c r="I173" s="148">
        <v>6</v>
      </c>
      <c r="J173" s="148" t="s">
        <v>1120</v>
      </c>
      <c r="K173" s="148">
        <v>6</v>
      </c>
      <c r="L173" s="148" t="s">
        <v>1120</v>
      </c>
      <c r="M173" s="148">
        <v>6</v>
      </c>
      <c r="N173" s="148" t="s">
        <v>1120</v>
      </c>
      <c r="O173" s="148">
        <v>6</v>
      </c>
      <c r="P173" s="148" t="s">
        <v>1120</v>
      </c>
      <c r="Q173" s="486">
        <v>30</v>
      </c>
      <c r="R173" s="145">
        <f t="shared" si="79"/>
        <v>648</v>
      </c>
      <c r="S173" s="146">
        <f t="shared" si="80"/>
        <v>648</v>
      </c>
      <c r="T173" s="146">
        <f t="shared" si="81"/>
        <v>648</v>
      </c>
      <c r="U173" s="146">
        <f t="shared" si="82"/>
        <v>648</v>
      </c>
      <c r="V173" s="145">
        <f t="shared" si="83"/>
        <v>648</v>
      </c>
      <c r="W173" s="146">
        <f t="shared" si="84"/>
        <v>648</v>
      </c>
      <c r="X173" s="146">
        <f t="shared" si="85"/>
        <v>648</v>
      </c>
      <c r="Y173" s="146">
        <f t="shared" si="86"/>
        <v>648</v>
      </c>
      <c r="Z173" s="95">
        <f t="shared" si="87"/>
        <v>1</v>
      </c>
      <c r="AA173" s="95">
        <f t="shared" si="87"/>
        <v>1</v>
      </c>
      <c r="AB173" s="95">
        <f t="shared" si="87"/>
        <v>1</v>
      </c>
      <c r="AC173" s="95">
        <f t="shared" si="87"/>
        <v>1</v>
      </c>
    </row>
    <row r="174" spans="1:29" s="96" customFormat="1">
      <c r="A174" s="92">
        <v>7</v>
      </c>
      <c r="B174" s="143" t="s">
        <v>434</v>
      </c>
      <c r="C174" s="14">
        <v>1</v>
      </c>
      <c r="D174" s="14">
        <v>1</v>
      </c>
      <c r="E174" s="14">
        <v>1</v>
      </c>
      <c r="F174" s="14">
        <v>1</v>
      </c>
      <c r="G174" s="148">
        <v>0.15</v>
      </c>
      <c r="H174" s="148">
        <v>0.15</v>
      </c>
      <c r="I174" s="148">
        <v>6</v>
      </c>
      <c r="J174" s="148" t="s">
        <v>1120</v>
      </c>
      <c r="K174" s="148">
        <v>6</v>
      </c>
      <c r="L174" s="148" t="s">
        <v>1120</v>
      </c>
      <c r="M174" s="148">
        <v>6</v>
      </c>
      <c r="N174" s="148" t="s">
        <v>1120</v>
      </c>
      <c r="O174" s="148">
        <v>6</v>
      </c>
      <c r="P174" s="148" t="s">
        <v>1120</v>
      </c>
      <c r="Q174" s="486">
        <v>30</v>
      </c>
      <c r="R174" s="145">
        <f t="shared" si="79"/>
        <v>26.999999999999996</v>
      </c>
      <c r="S174" s="146">
        <f t="shared" si="80"/>
        <v>26.999999999999996</v>
      </c>
      <c r="T174" s="146">
        <f t="shared" si="81"/>
        <v>26.999999999999996</v>
      </c>
      <c r="U174" s="146">
        <f t="shared" si="82"/>
        <v>26.999999999999996</v>
      </c>
      <c r="V174" s="145">
        <f t="shared" si="83"/>
        <v>26.999999999999996</v>
      </c>
      <c r="W174" s="146">
        <f t="shared" si="84"/>
        <v>26.999999999999996</v>
      </c>
      <c r="X174" s="146">
        <f t="shared" si="85"/>
        <v>26.999999999999996</v>
      </c>
      <c r="Y174" s="146">
        <f t="shared" si="86"/>
        <v>26.999999999999996</v>
      </c>
      <c r="Z174" s="95">
        <f t="shared" si="87"/>
        <v>1</v>
      </c>
      <c r="AA174" s="95">
        <f t="shared" si="87"/>
        <v>1</v>
      </c>
      <c r="AB174" s="95">
        <f t="shared" si="87"/>
        <v>1</v>
      </c>
      <c r="AC174" s="95">
        <f t="shared" si="87"/>
        <v>1</v>
      </c>
    </row>
    <row r="175" spans="1:29" s="96" customFormat="1">
      <c r="A175" s="92">
        <v>8</v>
      </c>
      <c r="B175" s="143" t="s">
        <v>456</v>
      </c>
      <c r="C175" s="14">
        <v>1</v>
      </c>
      <c r="D175" s="14">
        <v>1</v>
      </c>
      <c r="E175" s="14">
        <v>1</v>
      </c>
      <c r="F175" s="14">
        <v>1</v>
      </c>
      <c r="G175" s="148">
        <v>0.15</v>
      </c>
      <c r="H175" s="148">
        <v>0.15</v>
      </c>
      <c r="I175" s="148">
        <v>8</v>
      </c>
      <c r="J175" s="148" t="s">
        <v>1120</v>
      </c>
      <c r="K175" s="148">
        <v>8</v>
      </c>
      <c r="L175" s="148" t="s">
        <v>1120</v>
      </c>
      <c r="M175" s="148">
        <v>8</v>
      </c>
      <c r="N175" s="148" t="s">
        <v>1120</v>
      </c>
      <c r="O175" s="148">
        <v>8</v>
      </c>
      <c r="P175" s="148" t="s">
        <v>1120</v>
      </c>
      <c r="Q175" s="486">
        <v>30</v>
      </c>
      <c r="R175" s="145">
        <f t="shared" si="79"/>
        <v>36</v>
      </c>
      <c r="S175" s="146">
        <f t="shared" si="80"/>
        <v>36</v>
      </c>
      <c r="T175" s="146">
        <f t="shared" si="81"/>
        <v>36</v>
      </c>
      <c r="U175" s="146">
        <f t="shared" si="82"/>
        <v>36</v>
      </c>
      <c r="V175" s="145">
        <f t="shared" si="83"/>
        <v>36</v>
      </c>
      <c r="W175" s="146">
        <f t="shared" si="84"/>
        <v>36</v>
      </c>
      <c r="X175" s="146">
        <f t="shared" si="85"/>
        <v>36</v>
      </c>
      <c r="Y175" s="146">
        <f t="shared" si="86"/>
        <v>36</v>
      </c>
      <c r="Z175" s="95">
        <f t="shared" si="87"/>
        <v>1</v>
      </c>
      <c r="AA175" s="95">
        <f t="shared" si="87"/>
        <v>1</v>
      </c>
      <c r="AB175" s="95">
        <f t="shared" si="87"/>
        <v>1</v>
      </c>
      <c r="AC175" s="95">
        <f t="shared" si="87"/>
        <v>1</v>
      </c>
    </row>
    <row r="176" spans="1:29" s="96" customFormat="1">
      <c r="A176" s="92">
        <v>9</v>
      </c>
      <c r="B176" s="143" t="s">
        <v>457</v>
      </c>
      <c r="C176" s="14">
        <v>1</v>
      </c>
      <c r="D176" s="14">
        <v>1</v>
      </c>
      <c r="E176" s="14">
        <v>1</v>
      </c>
      <c r="F176" s="14">
        <v>1</v>
      </c>
      <c r="G176" s="148">
        <v>0.15</v>
      </c>
      <c r="H176" s="148">
        <v>0.15</v>
      </c>
      <c r="I176" s="148">
        <v>8</v>
      </c>
      <c r="J176" s="148" t="s">
        <v>1120</v>
      </c>
      <c r="K176" s="148">
        <v>8</v>
      </c>
      <c r="L176" s="148" t="s">
        <v>1120</v>
      </c>
      <c r="M176" s="148">
        <v>8</v>
      </c>
      <c r="N176" s="148" t="s">
        <v>1120</v>
      </c>
      <c r="O176" s="148">
        <v>8</v>
      </c>
      <c r="P176" s="148" t="s">
        <v>1120</v>
      </c>
      <c r="Q176" s="486">
        <v>30</v>
      </c>
      <c r="R176" s="145">
        <f t="shared" si="79"/>
        <v>36</v>
      </c>
      <c r="S176" s="146">
        <f t="shared" si="80"/>
        <v>36</v>
      </c>
      <c r="T176" s="146">
        <f t="shared" si="81"/>
        <v>36</v>
      </c>
      <c r="U176" s="146">
        <f t="shared" si="82"/>
        <v>36</v>
      </c>
      <c r="V176" s="145">
        <f t="shared" si="83"/>
        <v>36</v>
      </c>
      <c r="W176" s="146">
        <f t="shared" si="84"/>
        <v>36</v>
      </c>
      <c r="X176" s="146">
        <f t="shared" si="85"/>
        <v>36</v>
      </c>
      <c r="Y176" s="146">
        <f t="shared" si="86"/>
        <v>36</v>
      </c>
      <c r="Z176" s="95">
        <f t="shared" si="87"/>
        <v>1</v>
      </c>
      <c r="AA176" s="95">
        <f t="shared" si="87"/>
        <v>1</v>
      </c>
      <c r="AB176" s="95">
        <f t="shared" si="87"/>
        <v>1</v>
      </c>
      <c r="AC176" s="95">
        <f t="shared" si="87"/>
        <v>1</v>
      </c>
    </row>
    <row r="177" spans="1:29" s="96" customFormat="1">
      <c r="A177" s="92">
        <v>10</v>
      </c>
      <c r="B177" s="143" t="s">
        <v>716</v>
      </c>
      <c r="C177" s="14">
        <v>3</v>
      </c>
      <c r="D177" s="14">
        <v>3</v>
      </c>
      <c r="E177" s="14">
        <v>3</v>
      </c>
      <c r="F177" s="14">
        <v>3</v>
      </c>
      <c r="G177" s="148">
        <v>0.21</v>
      </c>
      <c r="H177" s="148">
        <v>0.21</v>
      </c>
      <c r="I177" s="148">
        <v>24</v>
      </c>
      <c r="J177" s="148" t="s">
        <v>996</v>
      </c>
      <c r="K177" s="148">
        <v>24</v>
      </c>
      <c r="L177" s="148" t="s">
        <v>996</v>
      </c>
      <c r="M177" s="148">
        <v>24</v>
      </c>
      <c r="N177" s="148" t="s">
        <v>996</v>
      </c>
      <c r="O177" s="148">
        <v>24</v>
      </c>
      <c r="P177" s="148" t="s">
        <v>996</v>
      </c>
      <c r="Q177" s="486">
        <v>30</v>
      </c>
      <c r="R177" s="145">
        <f t="shared" si="79"/>
        <v>453.6</v>
      </c>
      <c r="S177" s="146">
        <f t="shared" si="80"/>
        <v>453.6</v>
      </c>
      <c r="T177" s="146">
        <f t="shared" si="81"/>
        <v>453.6</v>
      </c>
      <c r="U177" s="146">
        <f t="shared" si="82"/>
        <v>453.6</v>
      </c>
      <c r="V177" s="145">
        <f t="shared" si="83"/>
        <v>453.6</v>
      </c>
      <c r="W177" s="146">
        <f t="shared" si="84"/>
        <v>453.6</v>
      </c>
      <c r="X177" s="146">
        <f t="shared" si="85"/>
        <v>453.6</v>
      </c>
      <c r="Y177" s="146">
        <f t="shared" si="86"/>
        <v>453.6</v>
      </c>
      <c r="Z177" s="95">
        <f t="shared" si="87"/>
        <v>1</v>
      </c>
      <c r="AA177" s="95">
        <f t="shared" si="87"/>
        <v>1</v>
      </c>
      <c r="AB177" s="95">
        <f t="shared" si="87"/>
        <v>1</v>
      </c>
      <c r="AC177" s="95">
        <f t="shared" si="87"/>
        <v>1</v>
      </c>
    </row>
    <row r="178" spans="1:29" s="96" customFormat="1">
      <c r="A178" s="92">
        <v>11</v>
      </c>
      <c r="B178" s="143" t="s">
        <v>475</v>
      </c>
      <c r="C178" s="14">
        <v>2</v>
      </c>
      <c r="D178" s="14">
        <v>2</v>
      </c>
      <c r="E178" s="14">
        <v>2</v>
      </c>
      <c r="F178" s="14">
        <v>2</v>
      </c>
      <c r="G178" s="148">
        <v>1.8</v>
      </c>
      <c r="H178" s="148">
        <v>1.8</v>
      </c>
      <c r="I178" s="148">
        <v>24</v>
      </c>
      <c r="J178" s="148" t="s">
        <v>996</v>
      </c>
      <c r="K178" s="148">
        <v>24</v>
      </c>
      <c r="L178" s="148" t="s">
        <v>996</v>
      </c>
      <c r="M178" s="148">
        <v>24</v>
      </c>
      <c r="N178" s="148" t="s">
        <v>996</v>
      </c>
      <c r="O178" s="148">
        <v>24</v>
      </c>
      <c r="P178" s="148" t="s">
        <v>996</v>
      </c>
      <c r="Q178" s="486">
        <v>30</v>
      </c>
      <c r="R178" s="145">
        <f t="shared" si="79"/>
        <v>2592</v>
      </c>
      <c r="S178" s="146">
        <f t="shared" si="80"/>
        <v>2592</v>
      </c>
      <c r="T178" s="146">
        <f t="shared" si="81"/>
        <v>2592</v>
      </c>
      <c r="U178" s="146">
        <f t="shared" si="82"/>
        <v>2592</v>
      </c>
      <c r="V178" s="145">
        <f t="shared" si="83"/>
        <v>2592</v>
      </c>
      <c r="W178" s="146">
        <f t="shared" si="84"/>
        <v>2592</v>
      </c>
      <c r="X178" s="146">
        <f t="shared" si="85"/>
        <v>2592</v>
      </c>
      <c r="Y178" s="146">
        <f t="shared" si="86"/>
        <v>2592</v>
      </c>
      <c r="Z178" s="95">
        <f t="shared" si="87"/>
        <v>1</v>
      </c>
      <c r="AA178" s="95">
        <f t="shared" si="87"/>
        <v>1</v>
      </c>
      <c r="AB178" s="95">
        <f t="shared" si="87"/>
        <v>1</v>
      </c>
      <c r="AC178" s="95">
        <f t="shared" si="87"/>
        <v>1</v>
      </c>
    </row>
    <row r="179" spans="1:29" s="96" customFormat="1">
      <c r="A179" s="92">
        <v>12</v>
      </c>
      <c r="B179" s="143" t="s">
        <v>458</v>
      </c>
      <c r="C179" s="14">
        <v>1</v>
      </c>
      <c r="D179" s="14">
        <v>1</v>
      </c>
      <c r="E179" s="14">
        <v>1</v>
      </c>
      <c r="F179" s="14">
        <v>1</v>
      </c>
      <c r="G179" s="148">
        <v>0.21</v>
      </c>
      <c r="H179" s="148">
        <v>0.21</v>
      </c>
      <c r="I179" s="148">
        <v>24</v>
      </c>
      <c r="J179" s="148" t="s">
        <v>996</v>
      </c>
      <c r="K179" s="148">
        <v>24</v>
      </c>
      <c r="L179" s="148" t="s">
        <v>996</v>
      </c>
      <c r="M179" s="148">
        <v>24</v>
      </c>
      <c r="N179" s="148" t="s">
        <v>996</v>
      </c>
      <c r="O179" s="148">
        <v>24</v>
      </c>
      <c r="P179" s="148" t="s">
        <v>996</v>
      </c>
      <c r="Q179" s="486">
        <v>30</v>
      </c>
      <c r="R179" s="145">
        <f t="shared" si="79"/>
        <v>151.19999999999999</v>
      </c>
      <c r="S179" s="146">
        <f t="shared" si="80"/>
        <v>151.19999999999999</v>
      </c>
      <c r="T179" s="146">
        <f t="shared" si="81"/>
        <v>151.19999999999999</v>
      </c>
      <c r="U179" s="146">
        <f t="shared" si="82"/>
        <v>151.19999999999999</v>
      </c>
      <c r="V179" s="145">
        <f t="shared" si="83"/>
        <v>151.19999999999999</v>
      </c>
      <c r="W179" s="146">
        <f t="shared" si="84"/>
        <v>151.19999999999999</v>
      </c>
      <c r="X179" s="146">
        <f t="shared" si="85"/>
        <v>151.19999999999999</v>
      </c>
      <c r="Y179" s="146">
        <f t="shared" si="86"/>
        <v>151.19999999999999</v>
      </c>
      <c r="Z179" s="95">
        <f t="shared" si="87"/>
        <v>1</v>
      </c>
      <c r="AA179" s="95">
        <f t="shared" si="87"/>
        <v>1</v>
      </c>
      <c r="AB179" s="95">
        <f t="shared" si="87"/>
        <v>1</v>
      </c>
      <c r="AC179" s="95">
        <f t="shared" si="87"/>
        <v>1</v>
      </c>
    </row>
    <row r="180" spans="1:29" s="96" customFormat="1">
      <c r="A180" s="92">
        <v>13</v>
      </c>
      <c r="B180" s="143" t="s">
        <v>459</v>
      </c>
      <c r="C180" s="14">
        <v>4</v>
      </c>
      <c r="D180" s="14">
        <v>4</v>
      </c>
      <c r="E180" s="14">
        <v>4</v>
      </c>
      <c r="F180" s="14">
        <v>4</v>
      </c>
      <c r="G180" s="148">
        <v>0.35</v>
      </c>
      <c r="H180" s="148">
        <v>0.35</v>
      </c>
      <c r="I180" s="148">
        <v>24</v>
      </c>
      <c r="J180" s="148" t="s">
        <v>996</v>
      </c>
      <c r="K180" s="148">
        <v>24</v>
      </c>
      <c r="L180" s="148" t="s">
        <v>996</v>
      </c>
      <c r="M180" s="148">
        <v>24</v>
      </c>
      <c r="N180" s="148" t="s">
        <v>996</v>
      </c>
      <c r="O180" s="148">
        <v>24</v>
      </c>
      <c r="P180" s="148" t="s">
        <v>996</v>
      </c>
      <c r="Q180" s="486">
        <v>30</v>
      </c>
      <c r="R180" s="145">
        <f t="shared" si="79"/>
        <v>1007.9999999999998</v>
      </c>
      <c r="S180" s="146">
        <f t="shared" si="80"/>
        <v>1007.9999999999998</v>
      </c>
      <c r="T180" s="146">
        <f t="shared" si="81"/>
        <v>1007.9999999999998</v>
      </c>
      <c r="U180" s="146">
        <f t="shared" si="82"/>
        <v>1007.9999999999998</v>
      </c>
      <c r="V180" s="145">
        <f t="shared" si="83"/>
        <v>1007.9999999999998</v>
      </c>
      <c r="W180" s="146">
        <f t="shared" si="84"/>
        <v>1007.9999999999998</v>
      </c>
      <c r="X180" s="146">
        <f t="shared" si="85"/>
        <v>1007.9999999999998</v>
      </c>
      <c r="Y180" s="146">
        <f t="shared" si="86"/>
        <v>1007.9999999999998</v>
      </c>
      <c r="Z180" s="95">
        <f t="shared" si="87"/>
        <v>1</v>
      </c>
      <c r="AA180" s="95">
        <f t="shared" si="87"/>
        <v>1</v>
      </c>
      <c r="AB180" s="95">
        <f t="shared" si="87"/>
        <v>1</v>
      </c>
      <c r="AC180" s="95">
        <f t="shared" si="87"/>
        <v>1</v>
      </c>
    </row>
    <row r="181" spans="1:29" s="96" customFormat="1">
      <c r="A181" s="92">
        <v>14</v>
      </c>
      <c r="B181" s="143" t="s">
        <v>462</v>
      </c>
      <c r="C181" s="133">
        <v>2</v>
      </c>
      <c r="D181" s="127">
        <v>2</v>
      </c>
      <c r="E181" s="127">
        <v>2</v>
      </c>
      <c r="F181" s="127">
        <v>2</v>
      </c>
      <c r="G181" s="148">
        <v>3</v>
      </c>
      <c r="H181" s="148">
        <v>3</v>
      </c>
      <c r="I181" s="148">
        <v>8</v>
      </c>
      <c r="J181" s="148" t="s">
        <v>1120</v>
      </c>
      <c r="K181" s="148">
        <v>8</v>
      </c>
      <c r="L181" s="148" t="s">
        <v>1120</v>
      </c>
      <c r="M181" s="148">
        <v>8</v>
      </c>
      <c r="N181" s="148" t="s">
        <v>1120</v>
      </c>
      <c r="O181" s="148">
        <v>8</v>
      </c>
      <c r="P181" s="148" t="s">
        <v>1120</v>
      </c>
      <c r="Q181" s="486">
        <v>30</v>
      </c>
      <c r="R181" s="145">
        <f t="shared" si="79"/>
        <v>1440</v>
      </c>
      <c r="S181" s="146">
        <f t="shared" si="80"/>
        <v>1440</v>
      </c>
      <c r="T181" s="146">
        <f t="shared" si="81"/>
        <v>1440</v>
      </c>
      <c r="U181" s="146">
        <f t="shared" si="82"/>
        <v>1440</v>
      </c>
      <c r="V181" s="145">
        <f t="shared" si="83"/>
        <v>1440</v>
      </c>
      <c r="W181" s="146">
        <f t="shared" si="84"/>
        <v>1440</v>
      </c>
      <c r="X181" s="146">
        <f t="shared" si="85"/>
        <v>1440</v>
      </c>
      <c r="Y181" s="146">
        <f t="shared" si="86"/>
        <v>1440</v>
      </c>
      <c r="Z181" s="147">
        <f t="shared" si="87"/>
        <v>1</v>
      </c>
      <c r="AA181" s="147">
        <f t="shared" si="87"/>
        <v>1</v>
      </c>
      <c r="AB181" s="147">
        <f t="shared" si="87"/>
        <v>1</v>
      </c>
      <c r="AC181" s="147">
        <f t="shared" si="87"/>
        <v>1</v>
      </c>
    </row>
    <row r="182" spans="1:29" s="96" customFormat="1">
      <c r="A182" s="92">
        <v>15</v>
      </c>
      <c r="B182" s="143" t="s">
        <v>556</v>
      </c>
      <c r="C182" s="130">
        <v>2</v>
      </c>
      <c r="D182" s="130">
        <v>2</v>
      </c>
      <c r="E182" s="130">
        <v>2</v>
      </c>
      <c r="F182" s="130">
        <v>2</v>
      </c>
      <c r="G182" s="148">
        <v>8.5</v>
      </c>
      <c r="H182" s="148">
        <v>8.5</v>
      </c>
      <c r="I182" s="148">
        <v>15</v>
      </c>
      <c r="J182" s="148" t="s">
        <v>1121</v>
      </c>
      <c r="K182" s="148">
        <v>15</v>
      </c>
      <c r="L182" s="148" t="s">
        <v>1121</v>
      </c>
      <c r="M182" s="148">
        <v>15</v>
      </c>
      <c r="N182" s="148" t="s">
        <v>1121</v>
      </c>
      <c r="O182" s="148">
        <v>15</v>
      </c>
      <c r="P182" s="148" t="s">
        <v>1121</v>
      </c>
      <c r="Q182" s="486">
        <v>30</v>
      </c>
      <c r="R182" s="145">
        <f t="shared" si="79"/>
        <v>7650</v>
      </c>
      <c r="S182" s="146">
        <f t="shared" si="80"/>
        <v>7650</v>
      </c>
      <c r="T182" s="146">
        <f t="shared" si="81"/>
        <v>7650</v>
      </c>
      <c r="U182" s="146">
        <f t="shared" si="82"/>
        <v>7650</v>
      </c>
      <c r="V182" s="145">
        <f t="shared" si="83"/>
        <v>7650</v>
      </c>
      <c r="W182" s="146">
        <f t="shared" si="84"/>
        <v>7650</v>
      </c>
      <c r="X182" s="146">
        <f t="shared" si="85"/>
        <v>7650</v>
      </c>
      <c r="Y182" s="146">
        <f t="shared" si="86"/>
        <v>7650</v>
      </c>
      <c r="Z182" s="95">
        <f t="shared" si="87"/>
        <v>1</v>
      </c>
      <c r="AA182" s="95">
        <f t="shared" si="87"/>
        <v>1</v>
      </c>
      <c r="AB182" s="95">
        <f t="shared" si="87"/>
        <v>1</v>
      </c>
      <c r="AC182" s="95">
        <f t="shared" si="87"/>
        <v>1</v>
      </c>
    </row>
    <row r="183" spans="1:29" s="485" customFormat="1">
      <c r="A183" s="477" t="s">
        <v>39</v>
      </c>
      <c r="B183" s="487" t="s">
        <v>395</v>
      </c>
      <c r="C183" s="478"/>
      <c r="D183" s="488"/>
      <c r="E183" s="488"/>
      <c r="F183" s="488"/>
      <c r="G183" s="480"/>
      <c r="H183" s="480"/>
      <c r="I183" s="481"/>
      <c r="J183" s="482"/>
      <c r="K183" s="481"/>
      <c r="L183" s="482"/>
      <c r="M183" s="481"/>
      <c r="N183" s="482"/>
      <c r="O183" s="481"/>
      <c r="P183" s="482"/>
      <c r="Q183" s="483"/>
      <c r="R183" s="145">
        <f t="shared" si="79"/>
        <v>0</v>
      </c>
      <c r="S183" s="146">
        <f t="shared" si="80"/>
        <v>0</v>
      </c>
      <c r="T183" s="146">
        <f t="shared" si="81"/>
        <v>0</v>
      </c>
      <c r="U183" s="146">
        <f t="shared" si="82"/>
        <v>0</v>
      </c>
      <c r="V183" s="145">
        <f t="shared" si="83"/>
        <v>0</v>
      </c>
      <c r="W183" s="146">
        <f t="shared" si="84"/>
        <v>0</v>
      </c>
      <c r="X183" s="146">
        <f t="shared" si="85"/>
        <v>0</v>
      </c>
      <c r="Y183" s="146">
        <f t="shared" si="86"/>
        <v>0</v>
      </c>
      <c r="Z183" s="484" t="e">
        <f t="shared" si="87"/>
        <v>#DIV/0!</v>
      </c>
      <c r="AA183" s="484" t="e">
        <f t="shared" si="87"/>
        <v>#DIV/0!</v>
      </c>
      <c r="AB183" s="484" t="e">
        <f t="shared" si="87"/>
        <v>#DIV/0!</v>
      </c>
      <c r="AC183" s="484" t="e">
        <f t="shared" si="87"/>
        <v>#DIV/0!</v>
      </c>
    </row>
    <row r="184" spans="1:29" s="485" customFormat="1">
      <c r="A184" s="477"/>
      <c r="B184" s="487" t="s">
        <v>717</v>
      </c>
      <c r="C184" s="478"/>
      <c r="D184" s="488"/>
      <c r="E184" s="488"/>
      <c r="F184" s="488"/>
      <c r="G184" s="480"/>
      <c r="H184" s="480"/>
      <c r="I184" s="481"/>
      <c r="J184" s="482"/>
      <c r="K184" s="481"/>
      <c r="L184" s="482"/>
      <c r="M184" s="481"/>
      <c r="N184" s="482"/>
      <c r="O184" s="481"/>
      <c r="P184" s="482"/>
      <c r="Q184" s="483"/>
      <c r="R184" s="145"/>
      <c r="S184" s="146"/>
      <c r="T184" s="146"/>
      <c r="U184" s="146"/>
      <c r="V184" s="145"/>
      <c r="W184" s="146"/>
      <c r="X184" s="146"/>
      <c r="Y184" s="146"/>
      <c r="Z184" s="484"/>
      <c r="AA184" s="484"/>
      <c r="AB184" s="484"/>
      <c r="AC184" s="484"/>
    </row>
    <row r="185" spans="1:29" s="96" customFormat="1">
      <c r="A185" s="92">
        <v>1</v>
      </c>
      <c r="B185" s="143" t="s">
        <v>460</v>
      </c>
      <c r="C185" s="133">
        <v>1</v>
      </c>
      <c r="D185" s="127">
        <v>1</v>
      </c>
      <c r="E185" s="127">
        <v>1</v>
      </c>
      <c r="F185" s="127">
        <v>1</v>
      </c>
      <c r="G185" s="148">
        <v>15</v>
      </c>
      <c r="H185" s="148">
        <v>15</v>
      </c>
      <c r="I185" s="148">
        <v>6</v>
      </c>
      <c r="J185" s="148" t="s">
        <v>1657</v>
      </c>
      <c r="K185" s="148">
        <v>6</v>
      </c>
      <c r="L185" s="148" t="s">
        <v>1657</v>
      </c>
      <c r="M185" s="148">
        <v>6</v>
      </c>
      <c r="N185" s="148" t="s">
        <v>1657</v>
      </c>
      <c r="O185" s="148">
        <v>6</v>
      </c>
      <c r="P185" s="148" t="s">
        <v>1657</v>
      </c>
      <c r="Q185" s="486">
        <v>30</v>
      </c>
      <c r="R185" s="145">
        <f t="shared" ref="R185:R190" si="88">C185*G185*I185*Q185</f>
        <v>2700</v>
      </c>
      <c r="S185" s="146">
        <f t="shared" ref="S185:S190" si="89">D185*G185*K185*Q185</f>
        <v>2700</v>
      </c>
      <c r="T185" s="146">
        <f t="shared" ref="T185:T190" si="90">E185*G185*M185*Q185</f>
        <v>2700</v>
      </c>
      <c r="U185" s="146">
        <f t="shared" ref="U185:U190" si="91">F185*G185*O185*Q185</f>
        <v>2700</v>
      </c>
      <c r="V185" s="145">
        <f t="shared" ref="V185:V190" si="92">C185*H185*I185*Q185</f>
        <v>2700</v>
      </c>
      <c r="W185" s="146">
        <f t="shared" ref="W185:W190" si="93">D185*H185*K185*Q185</f>
        <v>2700</v>
      </c>
      <c r="X185" s="146">
        <f t="shared" ref="X185:X190" si="94">E185*H185*M185*Q185</f>
        <v>2700</v>
      </c>
      <c r="Y185" s="146">
        <f t="shared" ref="Y185:Y190" si="95">F185*H185*O185*Q185</f>
        <v>2700</v>
      </c>
      <c r="Z185" s="147">
        <f t="shared" ref="Z185:AC190" si="96">V185/R185</f>
        <v>1</v>
      </c>
      <c r="AA185" s="147">
        <f t="shared" si="96"/>
        <v>1</v>
      </c>
      <c r="AB185" s="147">
        <f t="shared" si="96"/>
        <v>1</v>
      </c>
      <c r="AC185" s="147">
        <f t="shared" si="96"/>
        <v>1</v>
      </c>
    </row>
    <row r="186" spans="1:29" s="96" customFormat="1">
      <c r="A186" s="92">
        <v>2</v>
      </c>
      <c r="B186" s="143" t="s">
        <v>463</v>
      </c>
      <c r="C186" s="133">
        <v>1</v>
      </c>
      <c r="D186" s="127">
        <v>1</v>
      </c>
      <c r="E186" s="127">
        <v>1</v>
      </c>
      <c r="F186" s="127">
        <v>1</v>
      </c>
      <c r="G186" s="148">
        <v>1.3</v>
      </c>
      <c r="H186" s="148">
        <v>1.3</v>
      </c>
      <c r="I186" s="148">
        <v>6</v>
      </c>
      <c r="J186" s="148" t="s">
        <v>1657</v>
      </c>
      <c r="K186" s="148">
        <v>6</v>
      </c>
      <c r="L186" s="148" t="s">
        <v>1657</v>
      </c>
      <c r="M186" s="148">
        <v>6</v>
      </c>
      <c r="N186" s="148" t="s">
        <v>1657</v>
      </c>
      <c r="O186" s="148">
        <v>6</v>
      </c>
      <c r="P186" s="148" t="s">
        <v>1657</v>
      </c>
      <c r="Q186" s="486">
        <v>30</v>
      </c>
      <c r="R186" s="145">
        <f t="shared" si="88"/>
        <v>234.00000000000003</v>
      </c>
      <c r="S186" s="146">
        <f t="shared" si="89"/>
        <v>234.00000000000003</v>
      </c>
      <c r="T186" s="146">
        <f t="shared" si="90"/>
        <v>234.00000000000003</v>
      </c>
      <c r="U186" s="146">
        <f t="shared" si="91"/>
        <v>234.00000000000003</v>
      </c>
      <c r="V186" s="145">
        <f t="shared" si="92"/>
        <v>234.00000000000003</v>
      </c>
      <c r="W186" s="146">
        <f t="shared" si="93"/>
        <v>234.00000000000003</v>
      </c>
      <c r="X186" s="146">
        <f t="shared" si="94"/>
        <v>234.00000000000003</v>
      </c>
      <c r="Y186" s="146">
        <f t="shared" si="95"/>
        <v>234.00000000000003</v>
      </c>
      <c r="Z186" s="147">
        <f t="shared" si="96"/>
        <v>1</v>
      </c>
      <c r="AA186" s="147">
        <f t="shared" si="96"/>
        <v>1</v>
      </c>
      <c r="AB186" s="147">
        <f t="shared" si="96"/>
        <v>1</v>
      </c>
      <c r="AC186" s="147">
        <f t="shared" si="96"/>
        <v>1</v>
      </c>
    </row>
    <row r="187" spans="1:29" s="96" customFormat="1">
      <c r="A187" s="92">
        <v>3</v>
      </c>
      <c r="B187" s="143" t="s">
        <v>466</v>
      </c>
      <c r="C187" s="133">
        <v>1</v>
      </c>
      <c r="D187" s="127">
        <v>1</v>
      </c>
      <c r="E187" s="127">
        <v>1</v>
      </c>
      <c r="F187" s="127">
        <v>1</v>
      </c>
      <c r="G187" s="148">
        <v>4.5</v>
      </c>
      <c r="H187" s="148">
        <v>4.5</v>
      </c>
      <c r="I187" s="148">
        <v>6</v>
      </c>
      <c r="J187" s="148" t="s">
        <v>1657</v>
      </c>
      <c r="K187" s="148">
        <v>6</v>
      </c>
      <c r="L187" s="148" t="s">
        <v>1657</v>
      </c>
      <c r="M187" s="148">
        <v>6</v>
      </c>
      <c r="N187" s="148" t="s">
        <v>1657</v>
      </c>
      <c r="O187" s="148">
        <v>6</v>
      </c>
      <c r="P187" s="148" t="s">
        <v>1657</v>
      </c>
      <c r="Q187" s="486">
        <v>30</v>
      </c>
      <c r="R187" s="145">
        <f t="shared" si="88"/>
        <v>810</v>
      </c>
      <c r="S187" s="146">
        <f t="shared" si="89"/>
        <v>810</v>
      </c>
      <c r="T187" s="146">
        <f t="shared" si="90"/>
        <v>810</v>
      </c>
      <c r="U187" s="146">
        <f t="shared" si="91"/>
        <v>810</v>
      </c>
      <c r="V187" s="145">
        <f t="shared" si="92"/>
        <v>810</v>
      </c>
      <c r="W187" s="146">
        <f t="shared" si="93"/>
        <v>810</v>
      </c>
      <c r="X187" s="146">
        <f t="shared" si="94"/>
        <v>810</v>
      </c>
      <c r="Y187" s="146">
        <f t="shared" si="95"/>
        <v>810</v>
      </c>
      <c r="Z187" s="147">
        <f t="shared" si="96"/>
        <v>1</v>
      </c>
      <c r="AA187" s="147">
        <f t="shared" si="96"/>
        <v>1</v>
      </c>
      <c r="AB187" s="147">
        <f t="shared" si="96"/>
        <v>1</v>
      </c>
      <c r="AC187" s="147">
        <f t="shared" si="96"/>
        <v>1</v>
      </c>
    </row>
    <row r="188" spans="1:29" s="96" customFormat="1">
      <c r="A188" s="92">
        <v>4</v>
      </c>
      <c r="B188" s="143" t="s">
        <v>716</v>
      </c>
      <c r="C188" s="14">
        <v>2</v>
      </c>
      <c r="D188" s="14">
        <v>2</v>
      </c>
      <c r="E188" s="14">
        <v>2</v>
      </c>
      <c r="F188" s="14">
        <v>2</v>
      </c>
      <c r="G188" s="148">
        <v>0.21</v>
      </c>
      <c r="H188" s="148">
        <v>0.21</v>
      </c>
      <c r="I188" s="148">
        <v>24</v>
      </c>
      <c r="J188" s="148" t="s">
        <v>996</v>
      </c>
      <c r="K188" s="148">
        <v>24</v>
      </c>
      <c r="L188" s="148" t="s">
        <v>996</v>
      </c>
      <c r="M188" s="148">
        <v>24</v>
      </c>
      <c r="N188" s="148" t="s">
        <v>996</v>
      </c>
      <c r="O188" s="148">
        <v>24</v>
      </c>
      <c r="P188" s="148" t="s">
        <v>996</v>
      </c>
      <c r="Q188" s="486">
        <v>30</v>
      </c>
      <c r="R188" s="145">
        <f t="shared" si="88"/>
        <v>302.39999999999998</v>
      </c>
      <c r="S188" s="146">
        <f t="shared" si="89"/>
        <v>302.39999999999998</v>
      </c>
      <c r="T188" s="146">
        <f t="shared" si="90"/>
        <v>302.39999999999998</v>
      </c>
      <c r="U188" s="146">
        <f t="shared" si="91"/>
        <v>302.39999999999998</v>
      </c>
      <c r="V188" s="145">
        <f t="shared" si="92"/>
        <v>302.39999999999998</v>
      </c>
      <c r="W188" s="146">
        <f t="shared" si="93"/>
        <v>302.39999999999998</v>
      </c>
      <c r="X188" s="146">
        <f t="shared" si="94"/>
        <v>302.39999999999998</v>
      </c>
      <c r="Y188" s="146">
        <f t="shared" si="95"/>
        <v>302.39999999999998</v>
      </c>
      <c r="Z188" s="95">
        <f t="shared" si="96"/>
        <v>1</v>
      </c>
      <c r="AA188" s="95">
        <f t="shared" si="96"/>
        <v>1</v>
      </c>
      <c r="AB188" s="95">
        <f t="shared" si="96"/>
        <v>1</v>
      </c>
      <c r="AC188" s="95">
        <f t="shared" si="96"/>
        <v>1</v>
      </c>
    </row>
    <row r="189" spans="1:29" s="96" customFormat="1">
      <c r="A189" s="92">
        <v>5</v>
      </c>
      <c r="B189" s="143" t="s">
        <v>467</v>
      </c>
      <c r="C189" s="133">
        <v>1</v>
      </c>
      <c r="D189" s="127">
        <v>1</v>
      </c>
      <c r="E189" s="127">
        <v>1</v>
      </c>
      <c r="F189" s="127">
        <v>1</v>
      </c>
      <c r="G189" s="148">
        <v>1.6</v>
      </c>
      <c r="H189" s="148">
        <v>1.6</v>
      </c>
      <c r="I189" s="148">
        <v>6</v>
      </c>
      <c r="J189" s="148" t="s">
        <v>1657</v>
      </c>
      <c r="K189" s="148">
        <v>6</v>
      </c>
      <c r="L189" s="148" t="s">
        <v>1657</v>
      </c>
      <c r="M189" s="148">
        <v>6</v>
      </c>
      <c r="N189" s="148" t="s">
        <v>1657</v>
      </c>
      <c r="O189" s="148">
        <v>6</v>
      </c>
      <c r="P189" s="148" t="s">
        <v>1657</v>
      </c>
      <c r="Q189" s="486">
        <v>30</v>
      </c>
      <c r="R189" s="145">
        <f t="shared" si="88"/>
        <v>288.00000000000006</v>
      </c>
      <c r="S189" s="146">
        <f t="shared" si="89"/>
        <v>288.00000000000006</v>
      </c>
      <c r="T189" s="146">
        <f t="shared" si="90"/>
        <v>288.00000000000006</v>
      </c>
      <c r="U189" s="146">
        <f t="shared" si="91"/>
        <v>288.00000000000006</v>
      </c>
      <c r="V189" s="145">
        <f t="shared" si="92"/>
        <v>288.00000000000006</v>
      </c>
      <c r="W189" s="146">
        <f t="shared" si="93"/>
        <v>288.00000000000006</v>
      </c>
      <c r="X189" s="146">
        <f t="shared" si="94"/>
        <v>288.00000000000006</v>
      </c>
      <c r="Y189" s="146">
        <f t="shared" si="95"/>
        <v>288.00000000000006</v>
      </c>
      <c r="Z189" s="147">
        <f t="shared" si="96"/>
        <v>1</v>
      </c>
      <c r="AA189" s="147">
        <f t="shared" si="96"/>
        <v>1</v>
      </c>
      <c r="AB189" s="147">
        <f t="shared" si="96"/>
        <v>1</v>
      </c>
      <c r="AC189" s="147">
        <f t="shared" si="96"/>
        <v>1</v>
      </c>
    </row>
    <row r="190" spans="1:29" s="96" customFormat="1">
      <c r="A190" s="92">
        <v>6</v>
      </c>
      <c r="B190" s="143" t="s">
        <v>469</v>
      </c>
      <c r="C190" s="133">
        <v>2</v>
      </c>
      <c r="D190" s="127">
        <v>2</v>
      </c>
      <c r="E190" s="127">
        <v>2</v>
      </c>
      <c r="F190" s="127">
        <v>2</v>
      </c>
      <c r="G190" s="148">
        <v>0.3</v>
      </c>
      <c r="H190" s="148">
        <v>0.3</v>
      </c>
      <c r="I190" s="148">
        <v>24</v>
      </c>
      <c r="J190" s="148" t="s">
        <v>996</v>
      </c>
      <c r="K190" s="148">
        <v>24</v>
      </c>
      <c r="L190" s="148" t="s">
        <v>996</v>
      </c>
      <c r="M190" s="148">
        <v>24</v>
      </c>
      <c r="N190" s="148" t="s">
        <v>996</v>
      </c>
      <c r="O190" s="148">
        <v>24</v>
      </c>
      <c r="P190" s="148" t="s">
        <v>996</v>
      </c>
      <c r="Q190" s="486">
        <v>30</v>
      </c>
      <c r="R190" s="145">
        <f t="shared" si="88"/>
        <v>431.99999999999994</v>
      </c>
      <c r="S190" s="146">
        <f t="shared" si="89"/>
        <v>431.99999999999994</v>
      </c>
      <c r="T190" s="146">
        <f t="shared" si="90"/>
        <v>431.99999999999994</v>
      </c>
      <c r="U190" s="146">
        <f t="shared" si="91"/>
        <v>431.99999999999994</v>
      </c>
      <c r="V190" s="145">
        <f t="shared" si="92"/>
        <v>431.99999999999994</v>
      </c>
      <c r="W190" s="146">
        <f t="shared" si="93"/>
        <v>431.99999999999994</v>
      </c>
      <c r="X190" s="146">
        <f t="shared" si="94"/>
        <v>431.99999999999994</v>
      </c>
      <c r="Y190" s="146">
        <f t="shared" si="95"/>
        <v>431.99999999999994</v>
      </c>
      <c r="Z190" s="147">
        <f t="shared" si="96"/>
        <v>1</v>
      </c>
      <c r="AA190" s="147">
        <f t="shared" si="96"/>
        <v>1</v>
      </c>
      <c r="AB190" s="147">
        <f t="shared" si="96"/>
        <v>1</v>
      </c>
      <c r="AC190" s="147">
        <f t="shared" si="96"/>
        <v>1</v>
      </c>
    </row>
    <row r="191" spans="1:29" s="485" customFormat="1">
      <c r="A191" s="477"/>
      <c r="B191" s="487" t="s">
        <v>718</v>
      </c>
      <c r="C191" s="478"/>
      <c r="D191" s="488"/>
      <c r="E191" s="488"/>
      <c r="F191" s="488"/>
      <c r="G191" s="480"/>
      <c r="H191" s="480"/>
      <c r="I191" s="481"/>
      <c r="J191" s="482"/>
      <c r="K191" s="481"/>
      <c r="L191" s="482"/>
      <c r="M191" s="481"/>
      <c r="N191" s="482"/>
      <c r="O191" s="481"/>
      <c r="P191" s="482"/>
      <c r="Q191" s="483"/>
      <c r="R191" s="145"/>
      <c r="S191" s="146"/>
      <c r="T191" s="146"/>
      <c r="U191" s="146"/>
      <c r="V191" s="145"/>
      <c r="W191" s="146"/>
      <c r="X191" s="146"/>
      <c r="Y191" s="146"/>
      <c r="Z191" s="484"/>
      <c r="AA191" s="484"/>
      <c r="AB191" s="484"/>
      <c r="AC191" s="484"/>
    </row>
    <row r="192" spans="1:29" s="96" customFormat="1">
      <c r="A192" s="92">
        <v>1</v>
      </c>
      <c r="B192" s="143" t="s">
        <v>460</v>
      </c>
      <c r="C192" s="133">
        <v>1</v>
      </c>
      <c r="D192" s="127">
        <v>1</v>
      </c>
      <c r="E192" s="127">
        <v>1</v>
      </c>
      <c r="F192" s="127">
        <v>1</v>
      </c>
      <c r="G192" s="148">
        <v>15</v>
      </c>
      <c r="H192" s="148">
        <v>15</v>
      </c>
      <c r="I192" s="148">
        <v>6</v>
      </c>
      <c r="J192" s="148" t="s">
        <v>1657</v>
      </c>
      <c r="K192" s="148">
        <v>6</v>
      </c>
      <c r="L192" s="148" t="s">
        <v>1657</v>
      </c>
      <c r="M192" s="148">
        <v>6</v>
      </c>
      <c r="N192" s="148" t="s">
        <v>1657</v>
      </c>
      <c r="O192" s="148">
        <v>6</v>
      </c>
      <c r="P192" s="148" t="s">
        <v>1657</v>
      </c>
      <c r="Q192" s="486">
        <v>30</v>
      </c>
      <c r="R192" s="145">
        <f>C192*G192*I192*Q192</f>
        <v>2700</v>
      </c>
      <c r="S192" s="146">
        <f>D192*G192*K192*Q192</f>
        <v>2700</v>
      </c>
      <c r="T192" s="146">
        <f>E192*G192*M192*Q192</f>
        <v>2700</v>
      </c>
      <c r="U192" s="146">
        <f>F192*G192*O192*Q192</f>
        <v>2700</v>
      </c>
      <c r="V192" s="145">
        <f>C192*H192*I192*Q192</f>
        <v>2700</v>
      </c>
      <c r="W192" s="146">
        <f>D192*H192*K192*Q192</f>
        <v>2700</v>
      </c>
      <c r="X192" s="146">
        <f>E192*H192*M192*Q192</f>
        <v>2700</v>
      </c>
      <c r="Y192" s="146">
        <f>F192*H192*O192*Q192</f>
        <v>2700</v>
      </c>
      <c r="Z192" s="147">
        <f t="shared" ref="Z192:AC196" si="97">V192/R192</f>
        <v>1</v>
      </c>
      <c r="AA192" s="147">
        <f t="shared" si="97"/>
        <v>1</v>
      </c>
      <c r="AB192" s="147">
        <f t="shared" si="97"/>
        <v>1</v>
      </c>
      <c r="AC192" s="147">
        <f t="shared" si="97"/>
        <v>1</v>
      </c>
    </row>
    <row r="193" spans="1:29" s="96" customFormat="1">
      <c r="A193" s="92">
        <v>2</v>
      </c>
      <c r="B193" s="143" t="s">
        <v>716</v>
      </c>
      <c r="C193" s="14">
        <v>1</v>
      </c>
      <c r="D193" s="14">
        <v>1</v>
      </c>
      <c r="E193" s="14">
        <v>1</v>
      </c>
      <c r="F193" s="14">
        <v>1</v>
      </c>
      <c r="G193" s="148">
        <v>0.21</v>
      </c>
      <c r="H193" s="148">
        <v>0.21</v>
      </c>
      <c r="I193" s="148">
        <v>24</v>
      </c>
      <c r="J193" s="148" t="s">
        <v>996</v>
      </c>
      <c r="K193" s="148">
        <v>24</v>
      </c>
      <c r="L193" s="148" t="s">
        <v>996</v>
      </c>
      <c r="M193" s="148">
        <v>24</v>
      </c>
      <c r="N193" s="148" t="s">
        <v>996</v>
      </c>
      <c r="O193" s="148">
        <v>24</v>
      </c>
      <c r="P193" s="148" t="s">
        <v>996</v>
      </c>
      <c r="Q193" s="486">
        <v>30</v>
      </c>
      <c r="R193" s="145">
        <f>C193*G193*I193*Q193</f>
        <v>151.19999999999999</v>
      </c>
      <c r="S193" s="146">
        <f>D193*G193*K193*Q193</f>
        <v>151.19999999999999</v>
      </c>
      <c r="T193" s="146">
        <f>E193*G193*M193*Q193</f>
        <v>151.19999999999999</v>
      </c>
      <c r="U193" s="146">
        <f>F193*G193*O193*Q193</f>
        <v>151.19999999999999</v>
      </c>
      <c r="V193" s="145">
        <f>C193*H193*I193*Q193</f>
        <v>151.19999999999999</v>
      </c>
      <c r="W193" s="146">
        <f>D193*H193*K193*Q193</f>
        <v>151.19999999999999</v>
      </c>
      <c r="X193" s="146">
        <f>E193*H193*M193*Q193</f>
        <v>151.19999999999999</v>
      </c>
      <c r="Y193" s="146">
        <f>F193*H193*O193*Q193</f>
        <v>151.19999999999999</v>
      </c>
      <c r="Z193" s="95">
        <f t="shared" si="97"/>
        <v>1</v>
      </c>
      <c r="AA193" s="95">
        <f t="shared" si="97"/>
        <v>1</v>
      </c>
      <c r="AB193" s="95">
        <f t="shared" si="97"/>
        <v>1</v>
      </c>
      <c r="AC193" s="95">
        <f t="shared" si="97"/>
        <v>1</v>
      </c>
    </row>
    <row r="194" spans="1:29" s="96" customFormat="1">
      <c r="A194" s="92">
        <v>3</v>
      </c>
      <c r="B194" s="143" t="s">
        <v>719</v>
      </c>
      <c r="C194" s="14">
        <v>1</v>
      </c>
      <c r="D194" s="14">
        <v>1</v>
      </c>
      <c r="E194" s="14">
        <v>1</v>
      </c>
      <c r="F194" s="14">
        <v>1</v>
      </c>
      <c r="G194" s="148">
        <v>0.21</v>
      </c>
      <c r="H194" s="148">
        <v>0.21</v>
      </c>
      <c r="I194" s="148">
        <v>24</v>
      </c>
      <c r="J194" s="148" t="s">
        <v>996</v>
      </c>
      <c r="K194" s="148">
        <v>24</v>
      </c>
      <c r="L194" s="148" t="s">
        <v>996</v>
      </c>
      <c r="M194" s="148">
        <v>24</v>
      </c>
      <c r="N194" s="148" t="s">
        <v>996</v>
      </c>
      <c r="O194" s="148">
        <v>24</v>
      </c>
      <c r="P194" s="148" t="s">
        <v>996</v>
      </c>
      <c r="Q194" s="486">
        <v>30</v>
      </c>
      <c r="R194" s="145">
        <f>C194*G194*I194*Q194</f>
        <v>151.19999999999999</v>
      </c>
      <c r="S194" s="146">
        <f>D194*G194*K194*Q194</f>
        <v>151.19999999999999</v>
      </c>
      <c r="T194" s="146">
        <f>E194*G194*M194*Q194</f>
        <v>151.19999999999999</v>
      </c>
      <c r="U194" s="146">
        <f>F194*G194*O194*Q194</f>
        <v>151.19999999999999</v>
      </c>
      <c r="V194" s="145">
        <f>C194*H194*I194*Q194</f>
        <v>151.19999999999999</v>
      </c>
      <c r="W194" s="146">
        <f>D194*H194*K194*Q194</f>
        <v>151.19999999999999</v>
      </c>
      <c r="X194" s="146">
        <f>E194*H194*M194*Q194</f>
        <v>151.19999999999999</v>
      </c>
      <c r="Y194" s="146">
        <f>F194*H194*O194*Q194</f>
        <v>151.19999999999999</v>
      </c>
      <c r="Z194" s="95">
        <f t="shared" si="97"/>
        <v>1</v>
      </c>
      <c r="AA194" s="95">
        <f t="shared" si="97"/>
        <v>1</v>
      </c>
      <c r="AB194" s="95">
        <f t="shared" si="97"/>
        <v>1</v>
      </c>
      <c r="AC194" s="95">
        <f t="shared" si="97"/>
        <v>1</v>
      </c>
    </row>
    <row r="195" spans="1:29" s="96" customFormat="1">
      <c r="A195" s="92">
        <v>4</v>
      </c>
      <c r="B195" s="143" t="s">
        <v>467</v>
      </c>
      <c r="C195" s="133">
        <v>1</v>
      </c>
      <c r="D195" s="127">
        <v>1</v>
      </c>
      <c r="E195" s="127">
        <v>1</v>
      </c>
      <c r="F195" s="127">
        <v>1</v>
      </c>
      <c r="G195" s="148">
        <v>1.6</v>
      </c>
      <c r="H195" s="148">
        <v>1.6</v>
      </c>
      <c r="I195" s="148">
        <v>6</v>
      </c>
      <c r="J195" s="148" t="s">
        <v>1657</v>
      </c>
      <c r="K195" s="148">
        <v>6</v>
      </c>
      <c r="L195" s="148" t="s">
        <v>1657</v>
      </c>
      <c r="M195" s="148">
        <v>6</v>
      </c>
      <c r="N195" s="148" t="s">
        <v>1657</v>
      </c>
      <c r="O195" s="148">
        <v>6</v>
      </c>
      <c r="P195" s="148" t="s">
        <v>1657</v>
      </c>
      <c r="Q195" s="486">
        <v>30</v>
      </c>
      <c r="R195" s="145">
        <f>C195*G195*I195*Q195</f>
        <v>288.00000000000006</v>
      </c>
      <c r="S195" s="146">
        <f>D195*G195*K195*Q195</f>
        <v>288.00000000000006</v>
      </c>
      <c r="T195" s="146">
        <f>E195*G195*M195*Q195</f>
        <v>288.00000000000006</v>
      </c>
      <c r="U195" s="146">
        <f>F195*G195*O195*Q195</f>
        <v>288.00000000000006</v>
      </c>
      <c r="V195" s="145">
        <f>C195*H195*I195*Q195</f>
        <v>288.00000000000006</v>
      </c>
      <c r="W195" s="146">
        <f>D195*H195*K195*Q195</f>
        <v>288.00000000000006</v>
      </c>
      <c r="X195" s="146">
        <f>E195*H195*M195*Q195</f>
        <v>288.00000000000006</v>
      </c>
      <c r="Y195" s="146">
        <f>F195*H195*O195*Q195</f>
        <v>288.00000000000006</v>
      </c>
      <c r="Z195" s="147">
        <f t="shared" si="97"/>
        <v>1</v>
      </c>
      <c r="AA195" s="147">
        <f t="shared" si="97"/>
        <v>1</v>
      </c>
      <c r="AB195" s="147">
        <f t="shared" si="97"/>
        <v>1</v>
      </c>
      <c r="AC195" s="147">
        <f t="shared" si="97"/>
        <v>1</v>
      </c>
    </row>
    <row r="196" spans="1:29" s="96" customFormat="1">
      <c r="A196" s="92">
        <v>5</v>
      </c>
      <c r="B196" s="143" t="s">
        <v>475</v>
      </c>
      <c r="C196" s="133">
        <v>2</v>
      </c>
      <c r="D196" s="127">
        <v>2</v>
      </c>
      <c r="E196" s="127">
        <v>2</v>
      </c>
      <c r="F196" s="127">
        <v>2</v>
      </c>
      <c r="G196" s="148">
        <v>0.3</v>
      </c>
      <c r="H196" s="148">
        <v>0.3</v>
      </c>
      <c r="I196" s="148">
        <v>24</v>
      </c>
      <c r="J196" s="148" t="s">
        <v>996</v>
      </c>
      <c r="K196" s="148">
        <v>24</v>
      </c>
      <c r="L196" s="148" t="s">
        <v>996</v>
      </c>
      <c r="M196" s="148">
        <v>24</v>
      </c>
      <c r="N196" s="148" t="s">
        <v>996</v>
      </c>
      <c r="O196" s="148">
        <v>24</v>
      </c>
      <c r="P196" s="148" t="s">
        <v>996</v>
      </c>
      <c r="Q196" s="486">
        <v>30</v>
      </c>
      <c r="R196" s="145">
        <f>C196*G196*I196*Q196</f>
        <v>431.99999999999994</v>
      </c>
      <c r="S196" s="146">
        <f>D196*G196*K196*Q196</f>
        <v>431.99999999999994</v>
      </c>
      <c r="T196" s="146">
        <f>E196*G196*M196*Q196</f>
        <v>431.99999999999994</v>
      </c>
      <c r="U196" s="146">
        <f>F196*G196*O196*Q196</f>
        <v>431.99999999999994</v>
      </c>
      <c r="V196" s="145">
        <f>C196*H196*I196*Q196</f>
        <v>431.99999999999994</v>
      </c>
      <c r="W196" s="146">
        <f>D196*H196*K196*Q196</f>
        <v>431.99999999999994</v>
      </c>
      <c r="X196" s="146">
        <f>E196*H196*M196*Q196</f>
        <v>431.99999999999994</v>
      </c>
      <c r="Y196" s="146">
        <f>F196*H196*O196*Q196</f>
        <v>431.99999999999994</v>
      </c>
      <c r="Z196" s="147">
        <f t="shared" si="97"/>
        <v>1</v>
      </c>
      <c r="AA196" s="147">
        <f t="shared" si="97"/>
        <v>1</v>
      </c>
      <c r="AB196" s="147">
        <f t="shared" si="97"/>
        <v>1</v>
      </c>
      <c r="AC196" s="147">
        <f t="shared" si="97"/>
        <v>1</v>
      </c>
    </row>
    <row r="197" spans="1:29" s="485" customFormat="1">
      <c r="A197" s="477"/>
      <c r="B197" s="487" t="s">
        <v>720</v>
      </c>
      <c r="C197" s="478"/>
      <c r="D197" s="488"/>
      <c r="E197" s="488"/>
      <c r="F197" s="488"/>
      <c r="G197" s="480"/>
      <c r="H197" s="480"/>
      <c r="I197" s="481"/>
      <c r="J197" s="482"/>
      <c r="K197" s="481"/>
      <c r="L197" s="482"/>
      <c r="M197" s="481"/>
      <c r="N197" s="482"/>
      <c r="O197" s="481"/>
      <c r="P197" s="482"/>
      <c r="Q197" s="483"/>
      <c r="R197" s="145"/>
      <c r="S197" s="146"/>
      <c r="T197" s="146"/>
      <c r="U197" s="146"/>
      <c r="V197" s="145"/>
      <c r="W197" s="146"/>
      <c r="X197" s="146"/>
      <c r="Y197" s="146"/>
      <c r="Z197" s="484"/>
      <c r="AA197" s="484"/>
      <c r="AB197" s="484"/>
      <c r="AC197" s="484"/>
    </row>
    <row r="198" spans="1:29" s="96" customFormat="1">
      <c r="A198" s="92">
        <v>1</v>
      </c>
      <c r="B198" s="153" t="s">
        <v>396</v>
      </c>
      <c r="C198" s="154">
        <v>1</v>
      </c>
      <c r="D198" s="154">
        <v>1</v>
      </c>
      <c r="E198" s="154">
        <v>1</v>
      </c>
      <c r="F198" s="154">
        <v>1</v>
      </c>
      <c r="G198" s="148">
        <v>10</v>
      </c>
      <c r="H198" s="148">
        <v>10</v>
      </c>
      <c r="I198" s="148">
        <v>0</v>
      </c>
      <c r="J198" s="148" t="s">
        <v>1657</v>
      </c>
      <c r="K198" s="148">
        <v>24</v>
      </c>
      <c r="L198" s="148" t="s">
        <v>1657</v>
      </c>
      <c r="M198" s="148">
        <v>24</v>
      </c>
      <c r="N198" s="148" t="s">
        <v>1657</v>
      </c>
      <c r="O198" s="148">
        <v>24</v>
      </c>
      <c r="P198" s="148" t="s">
        <v>1657</v>
      </c>
      <c r="Q198" s="486">
        <v>30</v>
      </c>
      <c r="R198" s="145">
        <f>C198*G198*I198*Q198</f>
        <v>0</v>
      </c>
      <c r="S198" s="146">
        <f>D198*G198*K198*Q198</f>
        <v>7200</v>
      </c>
      <c r="T198" s="146">
        <f>E198*G198*M198*Q198</f>
        <v>7200</v>
      </c>
      <c r="U198" s="146">
        <f>F198*G198*O198*Q198</f>
        <v>7200</v>
      </c>
      <c r="V198" s="145">
        <f>C198*H198*I198*Q198</f>
        <v>0</v>
      </c>
      <c r="W198" s="146">
        <f>D198*H198*K198*Q198</f>
        <v>7200</v>
      </c>
      <c r="X198" s="146">
        <f>E198*H198*M198*Q198</f>
        <v>7200</v>
      </c>
      <c r="Y198" s="146">
        <f>F198*H198*O198*Q198</f>
        <v>7200</v>
      </c>
      <c r="Z198" s="95" t="e">
        <f t="shared" ref="Z198:AC202" si="98">V198/R198</f>
        <v>#DIV/0!</v>
      </c>
      <c r="AA198" s="95">
        <f t="shared" si="98"/>
        <v>1</v>
      </c>
      <c r="AB198" s="95">
        <f t="shared" si="98"/>
        <v>1</v>
      </c>
      <c r="AC198" s="95">
        <f t="shared" si="98"/>
        <v>1</v>
      </c>
    </row>
    <row r="199" spans="1:29" s="96" customFormat="1">
      <c r="A199" s="92">
        <v>2</v>
      </c>
      <c r="B199" s="143" t="s">
        <v>460</v>
      </c>
      <c r="C199" s="133">
        <v>1</v>
      </c>
      <c r="D199" s="127">
        <v>1</v>
      </c>
      <c r="E199" s="127">
        <v>1</v>
      </c>
      <c r="F199" s="127">
        <v>1</v>
      </c>
      <c r="G199" s="148">
        <v>15</v>
      </c>
      <c r="H199" s="148">
        <v>15</v>
      </c>
      <c r="I199" s="148">
        <v>0</v>
      </c>
      <c r="J199" s="148" t="s">
        <v>1657</v>
      </c>
      <c r="K199" s="148">
        <v>6</v>
      </c>
      <c r="L199" s="148" t="s">
        <v>1657</v>
      </c>
      <c r="M199" s="148">
        <v>6</v>
      </c>
      <c r="N199" s="148" t="s">
        <v>1657</v>
      </c>
      <c r="O199" s="148">
        <v>6</v>
      </c>
      <c r="P199" s="148" t="s">
        <v>1657</v>
      </c>
      <c r="Q199" s="486">
        <v>30</v>
      </c>
      <c r="R199" s="145">
        <f>C199*G199*I199*Q199</f>
        <v>0</v>
      </c>
      <c r="S199" s="146">
        <f>D199*G199*K199*Q199</f>
        <v>2700</v>
      </c>
      <c r="T199" s="146">
        <f>E199*G199*M199*Q199</f>
        <v>2700</v>
      </c>
      <c r="U199" s="146">
        <f>F199*G199*O199*Q199</f>
        <v>2700</v>
      </c>
      <c r="V199" s="145">
        <f>C199*H199*I199*Q199</f>
        <v>0</v>
      </c>
      <c r="W199" s="146">
        <f>D199*H199*K199*Q199</f>
        <v>2700</v>
      </c>
      <c r="X199" s="146">
        <f>E199*H199*M199*Q199</f>
        <v>2700</v>
      </c>
      <c r="Y199" s="146">
        <f>F199*H199*O199*Q199</f>
        <v>2700</v>
      </c>
      <c r="Z199" s="147" t="e">
        <f t="shared" si="98"/>
        <v>#DIV/0!</v>
      </c>
      <c r="AA199" s="147">
        <f t="shared" si="98"/>
        <v>1</v>
      </c>
      <c r="AB199" s="147">
        <f t="shared" si="98"/>
        <v>1</v>
      </c>
      <c r="AC199" s="147">
        <f t="shared" si="98"/>
        <v>1</v>
      </c>
    </row>
    <row r="200" spans="1:29" s="96" customFormat="1">
      <c r="A200" s="92">
        <v>3</v>
      </c>
      <c r="B200" s="143" t="s">
        <v>469</v>
      </c>
      <c r="C200" s="133">
        <v>2</v>
      </c>
      <c r="D200" s="127">
        <v>2</v>
      </c>
      <c r="E200" s="127">
        <v>2</v>
      </c>
      <c r="F200" s="127">
        <v>2</v>
      </c>
      <c r="G200" s="148">
        <v>0.3</v>
      </c>
      <c r="H200" s="148">
        <v>0.3</v>
      </c>
      <c r="I200" s="148">
        <v>0</v>
      </c>
      <c r="J200" s="148" t="s">
        <v>996</v>
      </c>
      <c r="K200" s="148">
        <v>24</v>
      </c>
      <c r="L200" s="148" t="s">
        <v>996</v>
      </c>
      <c r="M200" s="148">
        <v>24</v>
      </c>
      <c r="N200" s="148" t="s">
        <v>996</v>
      </c>
      <c r="O200" s="148">
        <v>24</v>
      </c>
      <c r="P200" s="148" t="s">
        <v>996</v>
      </c>
      <c r="Q200" s="486">
        <v>30</v>
      </c>
      <c r="R200" s="145">
        <f>C200*G200*I200*Q200</f>
        <v>0</v>
      </c>
      <c r="S200" s="146">
        <f>D200*G200*K200*Q200</f>
        <v>431.99999999999994</v>
      </c>
      <c r="T200" s="146">
        <f>E200*G200*M200*Q200</f>
        <v>431.99999999999994</v>
      </c>
      <c r="U200" s="146">
        <f>F200*G200*O200*Q200</f>
        <v>431.99999999999994</v>
      </c>
      <c r="V200" s="145">
        <f>C200*H200*I200*Q200</f>
        <v>0</v>
      </c>
      <c r="W200" s="146">
        <f>D200*H200*K200*Q200</f>
        <v>431.99999999999994</v>
      </c>
      <c r="X200" s="146">
        <f>E200*H200*M200*Q200</f>
        <v>431.99999999999994</v>
      </c>
      <c r="Y200" s="146">
        <f>F200*H200*O200*Q200</f>
        <v>431.99999999999994</v>
      </c>
      <c r="Z200" s="147" t="e">
        <f t="shared" si="98"/>
        <v>#DIV/0!</v>
      </c>
      <c r="AA200" s="147">
        <f t="shared" si="98"/>
        <v>1</v>
      </c>
      <c r="AB200" s="147">
        <f t="shared" si="98"/>
        <v>1</v>
      </c>
      <c r="AC200" s="147">
        <f t="shared" si="98"/>
        <v>1</v>
      </c>
    </row>
    <row r="201" spans="1:29" s="96" customFormat="1">
      <c r="A201" s="92">
        <v>4</v>
      </c>
      <c r="B201" s="143" t="s">
        <v>467</v>
      </c>
      <c r="C201" s="133">
        <v>1</v>
      </c>
      <c r="D201" s="127">
        <v>1</v>
      </c>
      <c r="E201" s="127">
        <v>1</v>
      </c>
      <c r="F201" s="127">
        <v>1</v>
      </c>
      <c r="G201" s="148">
        <v>1.6</v>
      </c>
      <c r="H201" s="148">
        <v>1.6</v>
      </c>
      <c r="I201" s="148">
        <v>0</v>
      </c>
      <c r="J201" s="148" t="s">
        <v>1657</v>
      </c>
      <c r="K201" s="148">
        <v>6</v>
      </c>
      <c r="L201" s="148" t="s">
        <v>1657</v>
      </c>
      <c r="M201" s="148">
        <v>6</v>
      </c>
      <c r="N201" s="148" t="s">
        <v>1657</v>
      </c>
      <c r="O201" s="148">
        <v>6</v>
      </c>
      <c r="P201" s="148" t="s">
        <v>1657</v>
      </c>
      <c r="Q201" s="486">
        <v>30</v>
      </c>
      <c r="R201" s="145">
        <f>C201*G201*I201*Q201</f>
        <v>0</v>
      </c>
      <c r="S201" s="146">
        <f>D201*G201*K201*Q201</f>
        <v>288.00000000000006</v>
      </c>
      <c r="T201" s="146">
        <f>E201*G201*M201*Q201</f>
        <v>288.00000000000006</v>
      </c>
      <c r="U201" s="146">
        <f>F201*G201*O201*Q201</f>
        <v>288.00000000000006</v>
      </c>
      <c r="V201" s="145">
        <f>C201*H201*I201*Q201</f>
        <v>0</v>
      </c>
      <c r="W201" s="146">
        <f>D201*H201*K201*Q201</f>
        <v>288.00000000000006</v>
      </c>
      <c r="X201" s="146">
        <f>E201*H201*M201*Q201</f>
        <v>288.00000000000006</v>
      </c>
      <c r="Y201" s="146">
        <f>F201*H201*O201*Q201</f>
        <v>288.00000000000006</v>
      </c>
      <c r="Z201" s="147" t="e">
        <f t="shared" si="98"/>
        <v>#DIV/0!</v>
      </c>
      <c r="AA201" s="147">
        <f t="shared" si="98"/>
        <v>1</v>
      </c>
      <c r="AB201" s="147">
        <f t="shared" si="98"/>
        <v>1</v>
      </c>
      <c r="AC201" s="147">
        <f t="shared" si="98"/>
        <v>1</v>
      </c>
    </row>
    <row r="202" spans="1:29" s="96" customFormat="1">
      <c r="A202" s="92">
        <v>5</v>
      </c>
      <c r="B202" s="143" t="s">
        <v>716</v>
      </c>
      <c r="C202" s="14">
        <v>1</v>
      </c>
      <c r="D202" s="14">
        <v>1</v>
      </c>
      <c r="E202" s="14">
        <v>1</v>
      </c>
      <c r="F202" s="14">
        <v>1</v>
      </c>
      <c r="G202" s="148">
        <v>0.21</v>
      </c>
      <c r="H202" s="148">
        <v>0.21</v>
      </c>
      <c r="I202" s="148">
        <v>24</v>
      </c>
      <c r="J202" s="148" t="s">
        <v>996</v>
      </c>
      <c r="K202" s="148">
        <v>24</v>
      </c>
      <c r="L202" s="148" t="s">
        <v>996</v>
      </c>
      <c r="M202" s="148">
        <v>24</v>
      </c>
      <c r="N202" s="148" t="s">
        <v>996</v>
      </c>
      <c r="O202" s="148">
        <v>24</v>
      </c>
      <c r="P202" s="148" t="s">
        <v>996</v>
      </c>
      <c r="Q202" s="486">
        <v>30</v>
      </c>
      <c r="R202" s="145">
        <f>C202*G202*I202*Q202</f>
        <v>151.19999999999999</v>
      </c>
      <c r="S202" s="146">
        <f>D202*G202*K202*Q202</f>
        <v>151.19999999999999</v>
      </c>
      <c r="T202" s="146">
        <f>E202*G202*M202*Q202</f>
        <v>151.19999999999999</v>
      </c>
      <c r="U202" s="146">
        <f>F202*G202*O202*Q202</f>
        <v>151.19999999999999</v>
      </c>
      <c r="V202" s="145">
        <f>C202*H202*I202*Q202</f>
        <v>151.19999999999999</v>
      </c>
      <c r="W202" s="146">
        <f>D202*H202*K202*Q202</f>
        <v>151.19999999999999</v>
      </c>
      <c r="X202" s="146">
        <f>E202*H202*M202*Q202</f>
        <v>151.19999999999999</v>
      </c>
      <c r="Y202" s="146">
        <f>F202*H202*O202*Q202</f>
        <v>151.19999999999999</v>
      </c>
      <c r="Z202" s="95">
        <f t="shared" si="98"/>
        <v>1</v>
      </c>
      <c r="AA202" s="95">
        <f t="shared" si="98"/>
        <v>1</v>
      </c>
      <c r="AB202" s="95">
        <f t="shared" si="98"/>
        <v>1</v>
      </c>
      <c r="AC202" s="95">
        <f t="shared" si="98"/>
        <v>1</v>
      </c>
    </row>
    <row r="203" spans="1:29" s="485" customFormat="1">
      <c r="A203" s="477"/>
      <c r="B203" s="487" t="s">
        <v>721</v>
      </c>
      <c r="C203" s="478"/>
      <c r="D203" s="488"/>
      <c r="E203" s="488"/>
      <c r="F203" s="488"/>
      <c r="G203" s="480"/>
      <c r="H203" s="480"/>
      <c r="I203" s="481"/>
      <c r="J203" s="482"/>
      <c r="K203" s="481"/>
      <c r="L203" s="482"/>
      <c r="M203" s="481"/>
      <c r="N203" s="482"/>
      <c r="O203" s="481"/>
      <c r="P203" s="482"/>
      <c r="Q203" s="483"/>
      <c r="R203" s="145"/>
      <c r="S203" s="146"/>
      <c r="T203" s="146"/>
      <c r="U203" s="146"/>
      <c r="V203" s="145"/>
      <c r="W203" s="146"/>
      <c r="X203" s="146"/>
      <c r="Y203" s="146"/>
      <c r="Z203" s="484"/>
      <c r="AA203" s="484"/>
      <c r="AB203" s="484"/>
      <c r="AC203" s="484"/>
    </row>
    <row r="204" spans="1:29" s="96" customFormat="1">
      <c r="A204" s="92">
        <v>1</v>
      </c>
      <c r="B204" s="143" t="s">
        <v>460</v>
      </c>
      <c r="C204" s="133">
        <v>1</v>
      </c>
      <c r="D204" s="127">
        <v>1</v>
      </c>
      <c r="E204" s="127">
        <v>1</v>
      </c>
      <c r="F204" s="127">
        <v>1</v>
      </c>
      <c r="G204" s="148">
        <v>15</v>
      </c>
      <c r="H204" s="148">
        <v>15</v>
      </c>
      <c r="I204" s="148">
        <v>6</v>
      </c>
      <c r="J204" s="148" t="s">
        <v>1657</v>
      </c>
      <c r="K204" s="148">
        <v>6</v>
      </c>
      <c r="L204" s="148" t="s">
        <v>1657</v>
      </c>
      <c r="M204" s="148">
        <v>6</v>
      </c>
      <c r="N204" s="148" t="s">
        <v>1657</v>
      </c>
      <c r="O204" s="148">
        <v>6</v>
      </c>
      <c r="P204" s="148" t="s">
        <v>1657</v>
      </c>
      <c r="Q204" s="486">
        <v>30</v>
      </c>
      <c r="R204" s="145">
        <f t="shared" ref="R204:R210" si="99">C204*G204*I204*Q204</f>
        <v>2700</v>
      </c>
      <c r="S204" s="146">
        <f t="shared" ref="S204:S210" si="100">D204*G204*K204*Q204</f>
        <v>2700</v>
      </c>
      <c r="T204" s="146">
        <f t="shared" ref="T204:T210" si="101">E204*G204*M204*Q204</f>
        <v>2700</v>
      </c>
      <c r="U204" s="146">
        <f t="shared" ref="U204:U210" si="102">F204*G204*O204*Q204</f>
        <v>2700</v>
      </c>
      <c r="V204" s="145">
        <f t="shared" ref="V204:V210" si="103">C204*H204*I204*Q204</f>
        <v>2700</v>
      </c>
      <c r="W204" s="146">
        <f t="shared" ref="W204:W210" si="104">D204*H204*K204*Q204</f>
        <v>2700</v>
      </c>
      <c r="X204" s="146">
        <f t="shared" ref="X204:X210" si="105">E204*H204*M204*Q204</f>
        <v>2700</v>
      </c>
      <c r="Y204" s="146">
        <f t="shared" ref="Y204:Y210" si="106">F204*H204*O204*Q204</f>
        <v>2700</v>
      </c>
      <c r="Z204" s="147">
        <f t="shared" ref="Z204:AC210" si="107">V204/R204</f>
        <v>1</v>
      </c>
      <c r="AA204" s="147">
        <f t="shared" si="107"/>
        <v>1</v>
      </c>
      <c r="AB204" s="147">
        <f t="shared" si="107"/>
        <v>1</v>
      </c>
      <c r="AC204" s="147">
        <f t="shared" si="107"/>
        <v>1</v>
      </c>
    </row>
    <row r="205" spans="1:29" s="96" customFormat="1">
      <c r="A205" s="92">
        <v>2</v>
      </c>
      <c r="B205" s="143" t="s">
        <v>454</v>
      </c>
      <c r="C205" s="14">
        <v>1</v>
      </c>
      <c r="D205" s="14">
        <v>1</v>
      </c>
      <c r="E205" s="14">
        <v>1</v>
      </c>
      <c r="F205" s="14">
        <v>1</v>
      </c>
      <c r="G205" s="148">
        <v>1.05</v>
      </c>
      <c r="H205" s="148">
        <v>1.05</v>
      </c>
      <c r="I205" s="148">
        <v>24</v>
      </c>
      <c r="J205" s="148" t="s">
        <v>996</v>
      </c>
      <c r="K205" s="148">
        <v>24</v>
      </c>
      <c r="L205" s="148" t="s">
        <v>996</v>
      </c>
      <c r="M205" s="148">
        <v>24</v>
      </c>
      <c r="N205" s="148" t="s">
        <v>996</v>
      </c>
      <c r="O205" s="148">
        <v>24</v>
      </c>
      <c r="P205" s="148" t="s">
        <v>996</v>
      </c>
      <c r="Q205" s="486">
        <v>30</v>
      </c>
      <c r="R205" s="145">
        <f t="shared" si="99"/>
        <v>756.00000000000011</v>
      </c>
      <c r="S205" s="146">
        <f t="shared" si="100"/>
        <v>756.00000000000011</v>
      </c>
      <c r="T205" s="146">
        <f t="shared" si="101"/>
        <v>756.00000000000011</v>
      </c>
      <c r="U205" s="146">
        <f t="shared" si="102"/>
        <v>756.00000000000011</v>
      </c>
      <c r="V205" s="145">
        <f t="shared" si="103"/>
        <v>756.00000000000011</v>
      </c>
      <c r="W205" s="146">
        <f t="shared" si="104"/>
        <v>756.00000000000011</v>
      </c>
      <c r="X205" s="146">
        <f t="shared" si="105"/>
        <v>756.00000000000011</v>
      </c>
      <c r="Y205" s="146">
        <f t="shared" si="106"/>
        <v>756.00000000000011</v>
      </c>
      <c r="Z205" s="95">
        <f t="shared" si="107"/>
        <v>1</v>
      </c>
      <c r="AA205" s="95">
        <f t="shared" si="107"/>
        <v>1</v>
      </c>
      <c r="AB205" s="95">
        <f t="shared" si="107"/>
        <v>1</v>
      </c>
      <c r="AC205" s="95">
        <f t="shared" si="107"/>
        <v>1</v>
      </c>
    </row>
    <row r="206" spans="1:29" s="96" customFormat="1">
      <c r="A206" s="92">
        <v>3</v>
      </c>
      <c r="B206" s="143" t="s">
        <v>722</v>
      </c>
      <c r="C206" s="14">
        <v>1</v>
      </c>
      <c r="D206" s="14">
        <v>1</v>
      </c>
      <c r="E206" s="14">
        <v>1</v>
      </c>
      <c r="F206" s="14">
        <v>1</v>
      </c>
      <c r="G206" s="148">
        <v>0.21</v>
      </c>
      <c r="H206" s="148">
        <v>0.21</v>
      </c>
      <c r="I206" s="148">
        <v>24</v>
      </c>
      <c r="J206" s="148" t="s">
        <v>996</v>
      </c>
      <c r="K206" s="148">
        <v>24</v>
      </c>
      <c r="L206" s="148" t="s">
        <v>996</v>
      </c>
      <c r="M206" s="148">
        <v>24</v>
      </c>
      <c r="N206" s="148" t="s">
        <v>996</v>
      </c>
      <c r="O206" s="148">
        <v>24</v>
      </c>
      <c r="P206" s="148" t="s">
        <v>996</v>
      </c>
      <c r="Q206" s="486">
        <v>30</v>
      </c>
      <c r="R206" s="145">
        <f t="shared" si="99"/>
        <v>151.19999999999999</v>
      </c>
      <c r="S206" s="146">
        <f t="shared" si="100"/>
        <v>151.19999999999999</v>
      </c>
      <c r="T206" s="146">
        <f t="shared" si="101"/>
        <v>151.19999999999999</v>
      </c>
      <c r="U206" s="146">
        <f t="shared" si="102"/>
        <v>151.19999999999999</v>
      </c>
      <c r="V206" s="145">
        <f t="shared" si="103"/>
        <v>151.19999999999999</v>
      </c>
      <c r="W206" s="146">
        <f t="shared" si="104"/>
        <v>151.19999999999999</v>
      </c>
      <c r="X206" s="146">
        <f t="shared" si="105"/>
        <v>151.19999999999999</v>
      </c>
      <c r="Y206" s="146">
        <f t="shared" si="106"/>
        <v>151.19999999999999</v>
      </c>
      <c r="Z206" s="95">
        <f t="shared" si="107"/>
        <v>1</v>
      </c>
      <c r="AA206" s="95">
        <f t="shared" si="107"/>
        <v>1</v>
      </c>
      <c r="AB206" s="95">
        <f t="shared" si="107"/>
        <v>1</v>
      </c>
      <c r="AC206" s="95">
        <f t="shared" si="107"/>
        <v>1</v>
      </c>
    </row>
    <row r="207" spans="1:29" s="96" customFormat="1">
      <c r="A207" s="92">
        <v>4</v>
      </c>
      <c r="B207" s="143" t="s">
        <v>467</v>
      </c>
      <c r="C207" s="133">
        <v>1</v>
      </c>
      <c r="D207" s="127">
        <v>1</v>
      </c>
      <c r="E207" s="127">
        <v>1</v>
      </c>
      <c r="F207" s="127">
        <v>1</v>
      </c>
      <c r="G207" s="148">
        <v>1.6</v>
      </c>
      <c r="H207" s="148">
        <v>1.6</v>
      </c>
      <c r="I207" s="148">
        <v>6</v>
      </c>
      <c r="J207" s="148" t="s">
        <v>1657</v>
      </c>
      <c r="K207" s="148">
        <v>6</v>
      </c>
      <c r="L207" s="148" t="s">
        <v>1657</v>
      </c>
      <c r="M207" s="148">
        <v>6</v>
      </c>
      <c r="N207" s="148" t="s">
        <v>1657</v>
      </c>
      <c r="O207" s="148">
        <v>6</v>
      </c>
      <c r="P207" s="148" t="s">
        <v>1657</v>
      </c>
      <c r="Q207" s="486">
        <v>30</v>
      </c>
      <c r="R207" s="145">
        <f t="shared" si="99"/>
        <v>288.00000000000006</v>
      </c>
      <c r="S207" s="146">
        <f t="shared" si="100"/>
        <v>288.00000000000006</v>
      </c>
      <c r="T207" s="146">
        <f t="shared" si="101"/>
        <v>288.00000000000006</v>
      </c>
      <c r="U207" s="146">
        <f t="shared" si="102"/>
        <v>288.00000000000006</v>
      </c>
      <c r="V207" s="145">
        <f t="shared" si="103"/>
        <v>288.00000000000006</v>
      </c>
      <c r="W207" s="146">
        <f t="shared" si="104"/>
        <v>288.00000000000006</v>
      </c>
      <c r="X207" s="146">
        <f t="shared" si="105"/>
        <v>288.00000000000006</v>
      </c>
      <c r="Y207" s="146">
        <f t="shared" si="106"/>
        <v>288.00000000000006</v>
      </c>
      <c r="Z207" s="147">
        <f t="shared" si="107"/>
        <v>1</v>
      </c>
      <c r="AA207" s="147">
        <f t="shared" si="107"/>
        <v>1</v>
      </c>
      <c r="AB207" s="147">
        <f t="shared" si="107"/>
        <v>1</v>
      </c>
      <c r="AC207" s="147">
        <f t="shared" si="107"/>
        <v>1</v>
      </c>
    </row>
    <row r="208" spans="1:29" s="96" customFormat="1">
      <c r="A208" s="92">
        <v>5</v>
      </c>
      <c r="B208" s="143" t="s">
        <v>475</v>
      </c>
      <c r="C208" s="133">
        <v>1</v>
      </c>
      <c r="D208" s="127">
        <v>1</v>
      </c>
      <c r="E208" s="127">
        <v>1</v>
      </c>
      <c r="F208" s="127">
        <v>1</v>
      </c>
      <c r="G208" s="148">
        <v>0.3</v>
      </c>
      <c r="H208" s="148">
        <v>0.3</v>
      </c>
      <c r="I208" s="148">
        <v>24</v>
      </c>
      <c r="J208" s="148" t="s">
        <v>996</v>
      </c>
      <c r="K208" s="148">
        <v>24</v>
      </c>
      <c r="L208" s="148" t="s">
        <v>996</v>
      </c>
      <c r="M208" s="148">
        <v>24</v>
      </c>
      <c r="N208" s="148" t="s">
        <v>996</v>
      </c>
      <c r="O208" s="148">
        <v>24</v>
      </c>
      <c r="P208" s="148" t="s">
        <v>996</v>
      </c>
      <c r="Q208" s="486">
        <v>30</v>
      </c>
      <c r="R208" s="145">
        <f t="shared" si="99"/>
        <v>215.99999999999997</v>
      </c>
      <c r="S208" s="146">
        <f t="shared" si="100"/>
        <v>215.99999999999997</v>
      </c>
      <c r="T208" s="146">
        <f t="shared" si="101"/>
        <v>215.99999999999997</v>
      </c>
      <c r="U208" s="146">
        <f t="shared" si="102"/>
        <v>215.99999999999997</v>
      </c>
      <c r="V208" s="145">
        <f t="shared" si="103"/>
        <v>215.99999999999997</v>
      </c>
      <c r="W208" s="146">
        <f t="shared" si="104"/>
        <v>215.99999999999997</v>
      </c>
      <c r="X208" s="146">
        <f t="shared" si="105"/>
        <v>215.99999999999997</v>
      </c>
      <c r="Y208" s="146">
        <f t="shared" si="106"/>
        <v>215.99999999999997</v>
      </c>
      <c r="Z208" s="147">
        <f t="shared" si="107"/>
        <v>1</v>
      </c>
      <c r="AA208" s="147">
        <f t="shared" si="107"/>
        <v>1</v>
      </c>
      <c r="AB208" s="147">
        <f t="shared" si="107"/>
        <v>1</v>
      </c>
      <c r="AC208" s="147">
        <f t="shared" si="107"/>
        <v>1</v>
      </c>
    </row>
    <row r="209" spans="1:29" s="96" customFormat="1">
      <c r="A209" s="92">
        <v>6</v>
      </c>
      <c r="B209" s="143" t="s">
        <v>723</v>
      </c>
      <c r="C209" s="14">
        <v>1</v>
      </c>
      <c r="D209" s="14">
        <v>1</v>
      </c>
      <c r="E209" s="14">
        <v>1</v>
      </c>
      <c r="F209" s="14">
        <v>1</v>
      </c>
      <c r="G209" s="148">
        <v>0.21</v>
      </c>
      <c r="H209" s="148">
        <v>0.21</v>
      </c>
      <c r="I209" s="148">
        <v>24</v>
      </c>
      <c r="J209" s="148" t="s">
        <v>996</v>
      </c>
      <c r="K209" s="148">
        <v>24</v>
      </c>
      <c r="L209" s="148" t="s">
        <v>996</v>
      </c>
      <c r="M209" s="148">
        <v>24</v>
      </c>
      <c r="N209" s="148" t="s">
        <v>996</v>
      </c>
      <c r="O209" s="148">
        <v>24</v>
      </c>
      <c r="P209" s="148" t="s">
        <v>996</v>
      </c>
      <c r="Q209" s="486">
        <v>30</v>
      </c>
      <c r="R209" s="145">
        <f t="shared" si="99"/>
        <v>151.19999999999999</v>
      </c>
      <c r="S209" s="146">
        <f t="shared" si="100"/>
        <v>151.19999999999999</v>
      </c>
      <c r="T209" s="146">
        <f t="shared" si="101"/>
        <v>151.19999999999999</v>
      </c>
      <c r="U209" s="146">
        <f t="shared" si="102"/>
        <v>151.19999999999999</v>
      </c>
      <c r="V209" s="145">
        <f t="shared" si="103"/>
        <v>151.19999999999999</v>
      </c>
      <c r="W209" s="146">
        <f t="shared" si="104"/>
        <v>151.19999999999999</v>
      </c>
      <c r="X209" s="146">
        <f t="shared" si="105"/>
        <v>151.19999999999999</v>
      </c>
      <c r="Y209" s="146">
        <f t="shared" si="106"/>
        <v>151.19999999999999</v>
      </c>
      <c r="Z209" s="95">
        <f t="shared" si="107"/>
        <v>1</v>
      </c>
      <c r="AA209" s="95">
        <f t="shared" si="107"/>
        <v>1</v>
      </c>
      <c r="AB209" s="95">
        <f t="shared" si="107"/>
        <v>1</v>
      </c>
      <c r="AC209" s="95">
        <f t="shared" si="107"/>
        <v>1</v>
      </c>
    </row>
    <row r="210" spans="1:29" s="96" customFormat="1">
      <c r="A210" s="92">
        <v>7</v>
      </c>
      <c r="B210" s="143" t="s">
        <v>461</v>
      </c>
      <c r="C210" s="133">
        <v>0</v>
      </c>
      <c r="D210" s="127">
        <v>2</v>
      </c>
      <c r="E210" s="127">
        <v>2</v>
      </c>
      <c r="F210" s="127">
        <v>2</v>
      </c>
      <c r="G210" s="148">
        <v>6</v>
      </c>
      <c r="H210" s="148">
        <v>6</v>
      </c>
      <c r="I210" s="148">
        <v>6</v>
      </c>
      <c r="J210" s="148" t="s">
        <v>1657</v>
      </c>
      <c r="K210" s="148">
        <v>6</v>
      </c>
      <c r="L210" s="148" t="s">
        <v>1657</v>
      </c>
      <c r="M210" s="148">
        <v>6</v>
      </c>
      <c r="N210" s="148" t="s">
        <v>1657</v>
      </c>
      <c r="O210" s="148">
        <v>6</v>
      </c>
      <c r="P210" s="148" t="s">
        <v>1657</v>
      </c>
      <c r="Q210" s="486">
        <v>30</v>
      </c>
      <c r="R210" s="145">
        <f t="shared" si="99"/>
        <v>0</v>
      </c>
      <c r="S210" s="146">
        <f t="shared" si="100"/>
        <v>2160</v>
      </c>
      <c r="T210" s="146">
        <f t="shared" si="101"/>
        <v>2160</v>
      </c>
      <c r="U210" s="146">
        <f t="shared" si="102"/>
        <v>2160</v>
      </c>
      <c r="V210" s="145">
        <f t="shared" si="103"/>
        <v>0</v>
      </c>
      <c r="W210" s="146">
        <f t="shared" si="104"/>
        <v>2160</v>
      </c>
      <c r="X210" s="146">
        <f t="shared" si="105"/>
        <v>2160</v>
      </c>
      <c r="Y210" s="146">
        <f t="shared" si="106"/>
        <v>2160</v>
      </c>
      <c r="Z210" s="147" t="e">
        <f t="shared" si="107"/>
        <v>#DIV/0!</v>
      </c>
      <c r="AA210" s="147">
        <f t="shared" si="107"/>
        <v>1</v>
      </c>
      <c r="AB210" s="147">
        <f t="shared" si="107"/>
        <v>1</v>
      </c>
      <c r="AC210" s="147">
        <f t="shared" si="107"/>
        <v>1</v>
      </c>
    </row>
    <row r="211" spans="1:29" s="96" customFormat="1">
      <c r="A211" s="92">
        <v>8</v>
      </c>
      <c r="B211" s="143" t="s">
        <v>463</v>
      </c>
      <c r="C211" s="133">
        <v>1</v>
      </c>
      <c r="D211" s="127">
        <v>1</v>
      </c>
      <c r="E211" s="127">
        <v>1</v>
      </c>
      <c r="F211" s="127">
        <v>1</v>
      </c>
      <c r="G211" s="148">
        <v>1.3</v>
      </c>
      <c r="H211" s="148">
        <v>1.3</v>
      </c>
      <c r="I211" s="148">
        <v>6</v>
      </c>
      <c r="J211" s="148" t="s">
        <v>1657</v>
      </c>
      <c r="K211" s="148">
        <v>6</v>
      </c>
      <c r="L211" s="148" t="s">
        <v>1657</v>
      </c>
      <c r="M211" s="148">
        <v>6</v>
      </c>
      <c r="N211" s="148" t="s">
        <v>1657</v>
      </c>
      <c r="O211" s="148">
        <v>6</v>
      </c>
      <c r="P211" s="148" t="s">
        <v>1657</v>
      </c>
      <c r="Q211" s="486">
        <v>30</v>
      </c>
      <c r="R211" s="145">
        <f t="shared" ref="R211:R212" si="108">C211*G211*I211*Q211</f>
        <v>234.00000000000003</v>
      </c>
      <c r="S211" s="146">
        <f t="shared" ref="S211:S212" si="109">D211*G211*K211*Q211</f>
        <v>234.00000000000003</v>
      </c>
      <c r="T211" s="146">
        <f t="shared" ref="T211:T212" si="110">E211*G211*M211*Q211</f>
        <v>234.00000000000003</v>
      </c>
      <c r="U211" s="146">
        <f t="shared" ref="U211:U212" si="111">F211*G211*O211*Q211</f>
        <v>234.00000000000003</v>
      </c>
      <c r="V211" s="145">
        <f t="shared" ref="V211:V212" si="112">C211*H211*I211*Q211</f>
        <v>234.00000000000003</v>
      </c>
      <c r="W211" s="146">
        <f t="shared" ref="W211:W212" si="113">D211*H211*K211*Q211</f>
        <v>234.00000000000003</v>
      </c>
      <c r="X211" s="146">
        <f t="shared" ref="X211:X212" si="114">E211*H211*M211*Q211</f>
        <v>234.00000000000003</v>
      </c>
      <c r="Y211" s="146">
        <f t="shared" ref="Y211:Y212" si="115">F211*H211*O211*Q211</f>
        <v>234.00000000000003</v>
      </c>
      <c r="Z211" s="147">
        <f t="shared" ref="Z211:Z212" si="116">V211/R211</f>
        <v>1</v>
      </c>
      <c r="AA211" s="147">
        <f t="shared" ref="AA211:AA212" si="117">W211/S211</f>
        <v>1</v>
      </c>
      <c r="AB211" s="147">
        <f t="shared" ref="AB211:AB212" si="118">X211/T211</f>
        <v>1</v>
      </c>
      <c r="AC211" s="147">
        <f t="shared" ref="AC211:AC212" si="119">Y211/U211</f>
        <v>1</v>
      </c>
    </row>
    <row r="212" spans="1:29" s="591" customFormat="1">
      <c r="A212" s="583">
        <v>9</v>
      </c>
      <c r="B212" s="584" t="s">
        <v>719</v>
      </c>
      <c r="C212" s="585">
        <v>1</v>
      </c>
      <c r="D212" s="585">
        <v>1</v>
      </c>
      <c r="E212" s="585">
        <v>1</v>
      </c>
      <c r="F212" s="585">
        <v>1</v>
      </c>
      <c r="G212" s="586">
        <v>0.21</v>
      </c>
      <c r="H212" s="586">
        <v>0.21</v>
      </c>
      <c r="I212" s="586">
        <v>24</v>
      </c>
      <c r="J212" s="586" t="s">
        <v>996</v>
      </c>
      <c r="K212" s="586">
        <v>24</v>
      </c>
      <c r="L212" s="586" t="s">
        <v>996</v>
      </c>
      <c r="M212" s="586">
        <v>24</v>
      </c>
      <c r="N212" s="586" t="s">
        <v>996</v>
      </c>
      <c r="O212" s="586">
        <v>24</v>
      </c>
      <c r="P212" s="586" t="s">
        <v>996</v>
      </c>
      <c r="Q212" s="587">
        <v>30</v>
      </c>
      <c r="R212" s="588">
        <f t="shared" si="108"/>
        <v>151.19999999999999</v>
      </c>
      <c r="S212" s="589">
        <f t="shared" si="109"/>
        <v>151.19999999999999</v>
      </c>
      <c r="T212" s="589">
        <f t="shared" si="110"/>
        <v>151.19999999999999</v>
      </c>
      <c r="U212" s="589">
        <f t="shared" si="111"/>
        <v>151.19999999999999</v>
      </c>
      <c r="V212" s="588">
        <f t="shared" si="112"/>
        <v>151.19999999999999</v>
      </c>
      <c r="W212" s="589">
        <f t="shared" si="113"/>
        <v>151.19999999999999</v>
      </c>
      <c r="X212" s="589">
        <f t="shared" si="114"/>
        <v>151.19999999999999</v>
      </c>
      <c r="Y212" s="589">
        <f t="shared" si="115"/>
        <v>151.19999999999999</v>
      </c>
      <c r="Z212" s="590">
        <f t="shared" si="116"/>
        <v>1</v>
      </c>
      <c r="AA212" s="590">
        <f t="shared" si="117"/>
        <v>1</v>
      </c>
      <c r="AB212" s="590">
        <f t="shared" si="118"/>
        <v>1</v>
      </c>
      <c r="AC212" s="590">
        <f t="shared" si="119"/>
        <v>1</v>
      </c>
    </row>
    <row r="213" spans="1:29" s="485" customFormat="1">
      <c r="A213" s="477"/>
      <c r="B213" s="487" t="s">
        <v>724</v>
      </c>
      <c r="C213" s="478"/>
      <c r="D213" s="488"/>
      <c r="E213" s="488"/>
      <c r="F213" s="488"/>
      <c r="G213" s="480"/>
      <c r="H213" s="480"/>
      <c r="I213" s="481"/>
      <c r="J213" s="482"/>
      <c r="K213" s="481"/>
      <c r="L213" s="482"/>
      <c r="M213" s="481"/>
      <c r="N213" s="482"/>
      <c r="O213" s="481"/>
      <c r="P213" s="482"/>
      <c r="Q213" s="483"/>
      <c r="R213" s="145"/>
      <c r="S213" s="146"/>
      <c r="T213" s="146"/>
      <c r="U213" s="146"/>
      <c r="V213" s="145"/>
      <c r="W213" s="146"/>
      <c r="X213" s="146"/>
      <c r="Y213" s="146"/>
      <c r="Z213" s="484"/>
      <c r="AA213" s="484"/>
      <c r="AB213" s="484"/>
      <c r="AC213" s="484"/>
    </row>
    <row r="214" spans="1:29" s="96" customFormat="1">
      <c r="A214" s="92">
        <v>1</v>
      </c>
      <c r="B214" s="143" t="s">
        <v>722</v>
      </c>
      <c r="C214" s="14">
        <v>1</v>
      </c>
      <c r="D214" s="14">
        <v>1</v>
      </c>
      <c r="E214" s="14">
        <v>1</v>
      </c>
      <c r="F214" s="14">
        <v>1</v>
      </c>
      <c r="G214" s="148">
        <v>0.21</v>
      </c>
      <c r="H214" s="148">
        <v>0.21</v>
      </c>
      <c r="I214" s="148">
        <v>24</v>
      </c>
      <c r="J214" s="148" t="s">
        <v>996</v>
      </c>
      <c r="K214" s="148">
        <v>24</v>
      </c>
      <c r="L214" s="148" t="s">
        <v>996</v>
      </c>
      <c r="M214" s="148">
        <v>24</v>
      </c>
      <c r="N214" s="148" t="s">
        <v>996</v>
      </c>
      <c r="O214" s="148">
        <v>24</v>
      </c>
      <c r="P214" s="148" t="s">
        <v>996</v>
      </c>
      <c r="Q214" s="486">
        <v>30</v>
      </c>
      <c r="R214" s="145">
        <f>C214*G214*I214*Q214</f>
        <v>151.19999999999999</v>
      </c>
      <c r="S214" s="146">
        <f>D214*G214*K214*Q214</f>
        <v>151.19999999999999</v>
      </c>
      <c r="T214" s="146">
        <f>E214*G214*M214*Q214</f>
        <v>151.19999999999999</v>
      </c>
      <c r="U214" s="146">
        <f>F214*G214*O214*Q214</f>
        <v>151.19999999999999</v>
      </c>
      <c r="V214" s="145">
        <f>C214*H214*I214*Q214</f>
        <v>151.19999999999999</v>
      </c>
      <c r="W214" s="146">
        <f>D214*H214*K214*Q214</f>
        <v>151.19999999999999</v>
      </c>
      <c r="X214" s="146">
        <f>E214*H214*M214*Q214</f>
        <v>151.19999999999999</v>
      </c>
      <c r="Y214" s="146">
        <f>F214*H214*O214*Q214</f>
        <v>151.19999999999999</v>
      </c>
      <c r="Z214" s="95">
        <f t="shared" ref="Z214:AC219" si="120">V214/R214</f>
        <v>1</v>
      </c>
      <c r="AA214" s="95">
        <f t="shared" si="120"/>
        <v>1</v>
      </c>
      <c r="AB214" s="95">
        <f t="shared" si="120"/>
        <v>1</v>
      </c>
      <c r="AC214" s="95">
        <f t="shared" si="120"/>
        <v>1</v>
      </c>
    </row>
    <row r="215" spans="1:29" s="96" customFormat="1">
      <c r="A215" s="92">
        <v>2</v>
      </c>
      <c r="B215" s="143" t="s">
        <v>725</v>
      </c>
      <c r="C215" s="14">
        <v>1</v>
      </c>
      <c r="D215" s="14">
        <v>1</v>
      </c>
      <c r="E215" s="14">
        <v>1</v>
      </c>
      <c r="F215" s="14">
        <v>1</v>
      </c>
      <c r="G215" s="148">
        <v>0.21</v>
      </c>
      <c r="H215" s="148">
        <v>0.21</v>
      </c>
      <c r="I215" s="148">
        <v>24</v>
      </c>
      <c r="J215" s="148" t="s">
        <v>996</v>
      </c>
      <c r="K215" s="148">
        <v>24</v>
      </c>
      <c r="L215" s="148" t="s">
        <v>996</v>
      </c>
      <c r="M215" s="148">
        <v>24</v>
      </c>
      <c r="N215" s="148" t="s">
        <v>996</v>
      </c>
      <c r="O215" s="148">
        <v>24</v>
      </c>
      <c r="P215" s="148" t="s">
        <v>996</v>
      </c>
      <c r="Q215" s="486">
        <v>30</v>
      </c>
      <c r="R215" s="145">
        <f>C215*G215*I215*Q215</f>
        <v>151.19999999999999</v>
      </c>
      <c r="S215" s="146">
        <f>D215*G215*K215*Q215</f>
        <v>151.19999999999999</v>
      </c>
      <c r="T215" s="146">
        <f>E215*G215*M215*Q215</f>
        <v>151.19999999999999</v>
      </c>
      <c r="U215" s="146">
        <f>F215*G215*O215*Q215</f>
        <v>151.19999999999999</v>
      </c>
      <c r="V215" s="145">
        <f>C215*H215*I215*Q215</f>
        <v>151.19999999999999</v>
      </c>
      <c r="W215" s="146">
        <f>D215*H215*K215*Q215</f>
        <v>151.19999999999999</v>
      </c>
      <c r="X215" s="146">
        <f>E215*H215*M215*Q215</f>
        <v>151.19999999999999</v>
      </c>
      <c r="Y215" s="146">
        <f>F215*H215*O215*Q215</f>
        <v>151.19999999999999</v>
      </c>
      <c r="Z215" s="95">
        <f t="shared" si="120"/>
        <v>1</v>
      </c>
      <c r="AA215" s="95">
        <f t="shared" si="120"/>
        <v>1</v>
      </c>
      <c r="AB215" s="95">
        <f t="shared" si="120"/>
        <v>1</v>
      </c>
      <c r="AC215" s="95">
        <f t="shared" si="120"/>
        <v>1</v>
      </c>
    </row>
    <row r="216" spans="1:29" s="96" customFormat="1">
      <c r="A216" s="92">
        <v>3</v>
      </c>
      <c r="B216" s="143" t="s">
        <v>476</v>
      </c>
      <c r="C216" s="14">
        <v>1</v>
      </c>
      <c r="D216" s="14">
        <v>1</v>
      </c>
      <c r="E216" s="14">
        <v>1</v>
      </c>
      <c r="F216" s="14">
        <v>1</v>
      </c>
      <c r="G216" s="148">
        <v>0.21</v>
      </c>
      <c r="H216" s="148">
        <v>0.21</v>
      </c>
      <c r="I216" s="148">
        <v>24</v>
      </c>
      <c r="J216" s="148" t="s">
        <v>996</v>
      </c>
      <c r="K216" s="148">
        <v>24</v>
      </c>
      <c r="L216" s="148" t="s">
        <v>996</v>
      </c>
      <c r="M216" s="148">
        <v>24</v>
      </c>
      <c r="N216" s="148" t="s">
        <v>996</v>
      </c>
      <c r="O216" s="148">
        <v>24</v>
      </c>
      <c r="P216" s="148" t="s">
        <v>996</v>
      </c>
      <c r="Q216" s="486">
        <v>30</v>
      </c>
      <c r="R216" s="145">
        <f>C216*G216*I216*Q216</f>
        <v>151.19999999999999</v>
      </c>
      <c r="S216" s="146">
        <f>D216*G216*K216*Q216</f>
        <v>151.19999999999999</v>
      </c>
      <c r="T216" s="146">
        <f>E216*G216*M216*Q216</f>
        <v>151.19999999999999</v>
      </c>
      <c r="U216" s="146">
        <f>F216*G216*O216*Q216</f>
        <v>151.19999999999999</v>
      </c>
      <c r="V216" s="145">
        <f>C216*H216*I216*Q216</f>
        <v>151.19999999999999</v>
      </c>
      <c r="W216" s="146">
        <f>D216*H216*K216*Q216</f>
        <v>151.19999999999999</v>
      </c>
      <c r="X216" s="146">
        <f>E216*H216*M216*Q216</f>
        <v>151.19999999999999</v>
      </c>
      <c r="Y216" s="146">
        <f>F216*H216*O216*Q216</f>
        <v>151.19999999999999</v>
      </c>
      <c r="Z216" s="95">
        <f t="shared" si="120"/>
        <v>1</v>
      </c>
      <c r="AA216" s="95">
        <f t="shared" si="120"/>
        <v>1</v>
      </c>
      <c r="AB216" s="95">
        <f t="shared" si="120"/>
        <v>1</v>
      </c>
      <c r="AC216" s="95">
        <f t="shared" si="120"/>
        <v>1</v>
      </c>
    </row>
    <row r="217" spans="1:29" s="96" customFormat="1" ht="15" customHeight="1">
      <c r="A217" s="92">
        <v>4</v>
      </c>
      <c r="B217" s="143" t="s">
        <v>472</v>
      </c>
      <c r="C217" s="130">
        <v>1</v>
      </c>
      <c r="D217" s="129">
        <v>1</v>
      </c>
      <c r="E217" s="129">
        <v>1</v>
      </c>
      <c r="F217" s="129">
        <v>1</v>
      </c>
      <c r="G217" s="148">
        <v>3</v>
      </c>
      <c r="H217" s="148">
        <v>3</v>
      </c>
      <c r="I217" s="148">
        <v>6</v>
      </c>
      <c r="J217" s="148" t="s">
        <v>1657</v>
      </c>
      <c r="K217" s="148">
        <v>6</v>
      </c>
      <c r="L217" s="148" t="s">
        <v>1657</v>
      </c>
      <c r="M217" s="148">
        <v>6</v>
      </c>
      <c r="N217" s="148" t="s">
        <v>1657</v>
      </c>
      <c r="O217" s="148">
        <v>6</v>
      </c>
      <c r="P217" s="148" t="s">
        <v>1657</v>
      </c>
      <c r="Q217" s="486">
        <v>30</v>
      </c>
      <c r="R217" s="145">
        <f>C217*G217*I217*Q217</f>
        <v>540</v>
      </c>
      <c r="S217" s="146">
        <f>D217*G217*K217*Q217</f>
        <v>540</v>
      </c>
      <c r="T217" s="146">
        <f>E217*G217*M217*Q217</f>
        <v>540</v>
      </c>
      <c r="U217" s="146">
        <f>F217*G217*O217*Q217</f>
        <v>540</v>
      </c>
      <c r="V217" s="145">
        <f>C217*H217*I217*Q217</f>
        <v>540</v>
      </c>
      <c r="W217" s="146">
        <f>D217*H217*K217*Q217</f>
        <v>540</v>
      </c>
      <c r="X217" s="146">
        <f>E217*H217*M217*Q217</f>
        <v>540</v>
      </c>
      <c r="Y217" s="146">
        <f>F217*H217*O217*Q217</f>
        <v>540</v>
      </c>
      <c r="Z217" s="147">
        <f t="shared" si="120"/>
        <v>1</v>
      </c>
      <c r="AA217" s="147">
        <f t="shared" si="120"/>
        <v>1</v>
      </c>
      <c r="AB217" s="147">
        <f t="shared" si="120"/>
        <v>1</v>
      </c>
      <c r="AC217" s="147">
        <f t="shared" si="120"/>
        <v>1</v>
      </c>
    </row>
    <row r="218" spans="1:29" s="96" customFormat="1">
      <c r="A218" s="92">
        <v>5</v>
      </c>
      <c r="B218" s="143" t="s">
        <v>469</v>
      </c>
      <c r="C218" s="133">
        <v>1</v>
      </c>
      <c r="D218" s="127">
        <v>1</v>
      </c>
      <c r="E218" s="127">
        <v>1</v>
      </c>
      <c r="F218" s="127">
        <v>1</v>
      </c>
      <c r="G218" s="148">
        <v>0.3</v>
      </c>
      <c r="H218" s="148">
        <v>0.3</v>
      </c>
      <c r="I218" s="148">
        <v>24</v>
      </c>
      <c r="J218" s="148" t="s">
        <v>996</v>
      </c>
      <c r="K218" s="148">
        <v>24</v>
      </c>
      <c r="L218" s="148" t="s">
        <v>996</v>
      </c>
      <c r="M218" s="148">
        <v>24</v>
      </c>
      <c r="N218" s="148" t="s">
        <v>996</v>
      </c>
      <c r="O218" s="148">
        <v>24</v>
      </c>
      <c r="P218" s="148" t="s">
        <v>996</v>
      </c>
      <c r="Q218" s="486">
        <v>30</v>
      </c>
      <c r="R218" s="145">
        <f>C218*G218*I218*Q218</f>
        <v>215.99999999999997</v>
      </c>
      <c r="S218" s="146">
        <f>D218*G218*K218*Q218</f>
        <v>215.99999999999997</v>
      </c>
      <c r="T218" s="146">
        <f>E218*G218*M218*Q218</f>
        <v>215.99999999999997</v>
      </c>
      <c r="U218" s="146">
        <f>F218*G218*O218*Q218</f>
        <v>215.99999999999997</v>
      </c>
      <c r="V218" s="145">
        <f>C218*H218*I218*Q218</f>
        <v>215.99999999999997</v>
      </c>
      <c r="W218" s="146">
        <f>D218*H218*K218*Q218</f>
        <v>215.99999999999997</v>
      </c>
      <c r="X218" s="146">
        <f>E218*H218*M218*Q218</f>
        <v>215.99999999999997</v>
      </c>
      <c r="Y218" s="146">
        <f>F218*H218*O218*Q218</f>
        <v>215.99999999999997</v>
      </c>
      <c r="Z218" s="147">
        <f t="shared" si="120"/>
        <v>1</v>
      </c>
      <c r="AA218" s="147">
        <f t="shared" si="120"/>
        <v>1</v>
      </c>
      <c r="AB218" s="147">
        <f t="shared" si="120"/>
        <v>1</v>
      </c>
      <c r="AC218" s="147">
        <f t="shared" si="120"/>
        <v>1</v>
      </c>
    </row>
    <row r="219" spans="1:29" s="96" customFormat="1">
      <c r="A219" s="92">
        <v>6</v>
      </c>
      <c r="B219" s="143" t="s">
        <v>1658</v>
      </c>
      <c r="C219" s="133">
        <v>4</v>
      </c>
      <c r="D219" s="127">
        <v>4</v>
      </c>
      <c r="E219" s="127">
        <v>4</v>
      </c>
      <c r="F219" s="127">
        <v>4</v>
      </c>
      <c r="G219" s="148">
        <v>6</v>
      </c>
      <c r="H219" s="148">
        <v>6</v>
      </c>
      <c r="I219" s="148">
        <v>6</v>
      </c>
      <c r="J219" s="148" t="s">
        <v>1657</v>
      </c>
      <c r="K219" s="148">
        <v>6</v>
      </c>
      <c r="L219" s="148" t="s">
        <v>1657</v>
      </c>
      <c r="M219" s="148">
        <v>6</v>
      </c>
      <c r="N219" s="148" t="s">
        <v>1657</v>
      </c>
      <c r="O219" s="148">
        <v>6</v>
      </c>
      <c r="P219" s="148" t="s">
        <v>1657</v>
      </c>
      <c r="Q219" s="486">
        <v>30</v>
      </c>
      <c r="R219" s="145">
        <f t="shared" ref="R219" si="121">C219*G219*I219*Q219</f>
        <v>4320</v>
      </c>
      <c r="S219" s="146">
        <f t="shared" ref="S219" si="122">D219*G219*K219*Q219</f>
        <v>4320</v>
      </c>
      <c r="T219" s="146">
        <f t="shared" ref="T219" si="123">E219*G219*M219*Q219</f>
        <v>4320</v>
      </c>
      <c r="U219" s="146">
        <f t="shared" ref="U219" si="124">F219*G219*O219*Q219</f>
        <v>4320</v>
      </c>
      <c r="V219" s="145">
        <f t="shared" ref="V219" si="125">C219*H219*I219*Q219</f>
        <v>4320</v>
      </c>
      <c r="W219" s="146">
        <f t="shared" ref="W219" si="126">D219*H219*K219*Q219</f>
        <v>4320</v>
      </c>
      <c r="X219" s="146">
        <f t="shared" ref="X219" si="127">E219*H219*M219*Q219</f>
        <v>4320</v>
      </c>
      <c r="Y219" s="146">
        <f t="shared" ref="Y219" si="128">F219*H219*O219*Q219</f>
        <v>4320</v>
      </c>
      <c r="Z219" s="147">
        <f t="shared" si="120"/>
        <v>1</v>
      </c>
      <c r="AA219" s="147">
        <f t="shared" si="120"/>
        <v>1</v>
      </c>
      <c r="AB219" s="147">
        <f t="shared" si="120"/>
        <v>1</v>
      </c>
      <c r="AC219" s="147">
        <f t="shared" si="120"/>
        <v>1</v>
      </c>
    </row>
    <row r="220" spans="1:29" s="96" customFormat="1">
      <c r="A220" s="92">
        <v>7</v>
      </c>
      <c r="B220" s="143" t="s">
        <v>1659</v>
      </c>
      <c r="C220" s="133">
        <v>1</v>
      </c>
      <c r="D220" s="127">
        <v>1</v>
      </c>
      <c r="E220" s="127">
        <v>1</v>
      </c>
      <c r="F220" s="127">
        <v>1</v>
      </c>
      <c r="G220" s="148">
        <v>6</v>
      </c>
      <c r="H220" s="148">
        <v>6</v>
      </c>
      <c r="I220" s="148">
        <v>6</v>
      </c>
      <c r="J220" s="148" t="s">
        <v>1657</v>
      </c>
      <c r="K220" s="148">
        <v>6</v>
      </c>
      <c r="L220" s="148" t="s">
        <v>1657</v>
      </c>
      <c r="M220" s="148">
        <v>6</v>
      </c>
      <c r="N220" s="148" t="s">
        <v>1657</v>
      </c>
      <c r="O220" s="148">
        <v>6</v>
      </c>
      <c r="P220" s="148" t="s">
        <v>1657</v>
      </c>
      <c r="Q220" s="486">
        <v>30</v>
      </c>
      <c r="R220" s="145">
        <f t="shared" ref="R220:R221" si="129">C220*G220*I220*Q220</f>
        <v>1080</v>
      </c>
      <c r="S220" s="146">
        <f t="shared" ref="S220:S221" si="130">D220*G220*K220*Q220</f>
        <v>1080</v>
      </c>
      <c r="T220" s="146">
        <f t="shared" ref="T220:T221" si="131">E220*G220*M220*Q220</f>
        <v>1080</v>
      </c>
      <c r="U220" s="146">
        <f t="shared" ref="U220:U221" si="132">F220*G220*O220*Q220</f>
        <v>1080</v>
      </c>
      <c r="V220" s="145">
        <f t="shared" ref="V220:V221" si="133">C220*H220*I220*Q220</f>
        <v>1080</v>
      </c>
      <c r="W220" s="146">
        <f t="shared" ref="W220:W221" si="134">D220*H220*K220*Q220</f>
        <v>1080</v>
      </c>
      <c r="X220" s="146">
        <f t="shared" ref="X220:X221" si="135">E220*H220*M220*Q220</f>
        <v>1080</v>
      </c>
      <c r="Y220" s="146">
        <f t="shared" ref="Y220:Y221" si="136">F220*H220*O220*Q220</f>
        <v>1080</v>
      </c>
      <c r="Z220" s="147">
        <f t="shared" ref="Z220:Z221" si="137">V220/R220</f>
        <v>1</v>
      </c>
      <c r="AA220" s="147">
        <f t="shared" ref="AA220:AA221" si="138">W220/S220</f>
        <v>1</v>
      </c>
      <c r="AB220" s="147">
        <f t="shared" ref="AB220:AB221" si="139">X220/T220</f>
        <v>1</v>
      </c>
      <c r="AC220" s="147">
        <f t="shared" ref="AC220:AC221" si="140">Y220/U220</f>
        <v>1</v>
      </c>
    </row>
    <row r="221" spans="1:29" s="571" customFormat="1">
      <c r="A221" s="475">
        <v>8</v>
      </c>
      <c r="B221" s="476" t="s">
        <v>1783</v>
      </c>
      <c r="C221" s="572">
        <v>1</v>
      </c>
      <c r="D221" s="573">
        <v>1</v>
      </c>
      <c r="E221" s="573">
        <v>1</v>
      </c>
      <c r="F221" s="573">
        <v>1</v>
      </c>
      <c r="G221" s="472">
        <v>6</v>
      </c>
      <c r="H221" s="472">
        <v>6</v>
      </c>
      <c r="I221" s="472">
        <v>6</v>
      </c>
      <c r="J221" s="472" t="s">
        <v>1657</v>
      </c>
      <c r="K221" s="472">
        <v>6</v>
      </c>
      <c r="L221" s="472" t="s">
        <v>1657</v>
      </c>
      <c r="M221" s="472">
        <v>6</v>
      </c>
      <c r="N221" s="472" t="s">
        <v>1657</v>
      </c>
      <c r="O221" s="472">
        <v>6</v>
      </c>
      <c r="P221" s="472" t="s">
        <v>1657</v>
      </c>
      <c r="Q221" s="474">
        <v>30</v>
      </c>
      <c r="R221" s="574">
        <f t="shared" si="129"/>
        <v>1080</v>
      </c>
      <c r="S221" s="575">
        <f t="shared" si="130"/>
        <v>1080</v>
      </c>
      <c r="T221" s="575">
        <f t="shared" si="131"/>
        <v>1080</v>
      </c>
      <c r="U221" s="575">
        <f t="shared" si="132"/>
        <v>1080</v>
      </c>
      <c r="V221" s="574">
        <f t="shared" si="133"/>
        <v>1080</v>
      </c>
      <c r="W221" s="575">
        <f t="shared" si="134"/>
        <v>1080</v>
      </c>
      <c r="X221" s="575">
        <f t="shared" si="135"/>
        <v>1080</v>
      </c>
      <c r="Y221" s="575">
        <f t="shared" si="136"/>
        <v>1080</v>
      </c>
      <c r="Z221" s="576">
        <f t="shared" si="137"/>
        <v>1</v>
      </c>
      <c r="AA221" s="576">
        <f t="shared" si="138"/>
        <v>1</v>
      </c>
      <c r="AB221" s="576">
        <f t="shared" si="139"/>
        <v>1</v>
      </c>
      <c r="AC221" s="576">
        <f t="shared" si="140"/>
        <v>1</v>
      </c>
    </row>
    <row r="222" spans="1:29" s="485" customFormat="1">
      <c r="A222" s="477"/>
      <c r="B222" s="487" t="s">
        <v>395</v>
      </c>
      <c r="C222" s="478"/>
      <c r="D222" s="488"/>
      <c r="E222" s="488"/>
      <c r="F222" s="488"/>
      <c r="G222" s="480"/>
      <c r="H222" s="480"/>
      <c r="I222" s="481"/>
      <c r="J222" s="482"/>
      <c r="K222" s="481"/>
      <c r="L222" s="482"/>
      <c r="M222" s="481"/>
      <c r="N222" s="482"/>
      <c r="O222" s="481"/>
      <c r="P222" s="482"/>
      <c r="Q222" s="483"/>
      <c r="R222" s="145"/>
      <c r="S222" s="146"/>
      <c r="T222" s="146"/>
      <c r="U222" s="146"/>
      <c r="V222" s="145"/>
      <c r="W222" s="146"/>
      <c r="X222" s="146"/>
      <c r="Y222" s="146"/>
      <c r="Z222" s="484"/>
      <c r="AA222" s="484"/>
      <c r="AB222" s="484"/>
      <c r="AC222" s="484"/>
    </row>
    <row r="223" spans="1:29" s="96" customFormat="1">
      <c r="A223" s="92">
        <v>1</v>
      </c>
      <c r="B223" s="143" t="s">
        <v>460</v>
      </c>
      <c r="C223" s="133">
        <v>1</v>
      </c>
      <c r="D223" s="127">
        <v>1</v>
      </c>
      <c r="E223" s="127">
        <v>1</v>
      </c>
      <c r="F223" s="127">
        <v>1</v>
      </c>
      <c r="G223" s="148">
        <v>15</v>
      </c>
      <c r="H223" s="148">
        <v>15</v>
      </c>
      <c r="I223" s="148">
        <v>6</v>
      </c>
      <c r="J223" s="148" t="s">
        <v>1660</v>
      </c>
      <c r="K223" s="148">
        <v>6</v>
      </c>
      <c r="L223" s="148" t="s">
        <v>1660</v>
      </c>
      <c r="M223" s="148">
        <v>6</v>
      </c>
      <c r="N223" s="148" t="s">
        <v>1660</v>
      </c>
      <c r="O223" s="148">
        <v>6</v>
      </c>
      <c r="P223" s="148" t="s">
        <v>1660</v>
      </c>
      <c r="Q223" s="486">
        <v>30</v>
      </c>
      <c r="R223" s="145">
        <f t="shared" ref="R223:R233" si="141">C223*G223*I223*Q223</f>
        <v>2700</v>
      </c>
      <c r="S223" s="146">
        <f t="shared" ref="S223:S233" si="142">D223*G223*K223*Q223</f>
        <v>2700</v>
      </c>
      <c r="T223" s="146">
        <f t="shared" ref="T223:T233" si="143">E223*G223*M223*Q223</f>
        <v>2700</v>
      </c>
      <c r="U223" s="146">
        <f t="shared" ref="U223:U233" si="144">F223*G223*O223*Q223</f>
        <v>2700</v>
      </c>
      <c r="V223" s="145">
        <f t="shared" ref="V223:V233" si="145">C223*H223*I223*Q223</f>
        <v>2700</v>
      </c>
      <c r="W223" s="146">
        <f t="shared" ref="W223:W233" si="146">D223*H223*K223*Q223</f>
        <v>2700</v>
      </c>
      <c r="X223" s="146">
        <f t="shared" ref="X223:X233" si="147">E223*H223*M223*Q223</f>
        <v>2700</v>
      </c>
      <c r="Y223" s="146">
        <f t="shared" ref="Y223:Y233" si="148">F223*H223*O223*Q223</f>
        <v>2700</v>
      </c>
      <c r="Z223" s="147">
        <f t="shared" ref="Z223:AC233" si="149">V223/R223</f>
        <v>1</v>
      </c>
      <c r="AA223" s="147">
        <f t="shared" si="149"/>
        <v>1</v>
      </c>
      <c r="AB223" s="147">
        <f t="shared" si="149"/>
        <v>1</v>
      </c>
      <c r="AC223" s="147">
        <f t="shared" si="149"/>
        <v>1</v>
      </c>
    </row>
    <row r="224" spans="1:29" s="96" customFormat="1">
      <c r="A224" s="92">
        <v>2</v>
      </c>
      <c r="B224" s="143" t="s">
        <v>454</v>
      </c>
      <c r="C224" s="14">
        <v>1</v>
      </c>
      <c r="D224" s="14">
        <v>1</v>
      </c>
      <c r="E224" s="14">
        <v>1</v>
      </c>
      <c r="F224" s="14">
        <v>1</v>
      </c>
      <c r="G224" s="148">
        <v>1.05</v>
      </c>
      <c r="H224" s="148">
        <v>1.05</v>
      </c>
      <c r="I224" s="148">
        <v>24</v>
      </c>
      <c r="J224" s="148" t="s">
        <v>996</v>
      </c>
      <c r="K224" s="148">
        <v>24</v>
      </c>
      <c r="L224" s="148" t="s">
        <v>996</v>
      </c>
      <c r="M224" s="148">
        <v>24</v>
      </c>
      <c r="N224" s="148" t="s">
        <v>996</v>
      </c>
      <c r="O224" s="148">
        <v>24</v>
      </c>
      <c r="P224" s="148" t="s">
        <v>996</v>
      </c>
      <c r="Q224" s="486">
        <v>30</v>
      </c>
      <c r="R224" s="145">
        <f t="shared" si="141"/>
        <v>756.00000000000011</v>
      </c>
      <c r="S224" s="146">
        <f t="shared" si="142"/>
        <v>756.00000000000011</v>
      </c>
      <c r="T224" s="146">
        <f t="shared" si="143"/>
        <v>756.00000000000011</v>
      </c>
      <c r="U224" s="146">
        <f t="shared" si="144"/>
        <v>756.00000000000011</v>
      </c>
      <c r="V224" s="145">
        <f t="shared" si="145"/>
        <v>756.00000000000011</v>
      </c>
      <c r="W224" s="146">
        <f t="shared" si="146"/>
        <v>756.00000000000011</v>
      </c>
      <c r="X224" s="146">
        <f t="shared" si="147"/>
        <v>756.00000000000011</v>
      </c>
      <c r="Y224" s="146">
        <f t="shared" si="148"/>
        <v>756.00000000000011</v>
      </c>
      <c r="Z224" s="95">
        <f t="shared" si="149"/>
        <v>1</v>
      </c>
      <c r="AA224" s="95">
        <f t="shared" si="149"/>
        <v>1</v>
      </c>
      <c r="AB224" s="95">
        <f t="shared" si="149"/>
        <v>1</v>
      </c>
      <c r="AC224" s="95">
        <f t="shared" si="149"/>
        <v>1</v>
      </c>
    </row>
    <row r="225" spans="1:29" s="96" customFormat="1">
      <c r="A225" s="92">
        <v>3</v>
      </c>
      <c r="B225" s="143" t="s">
        <v>726</v>
      </c>
      <c r="C225" s="14">
        <v>1</v>
      </c>
      <c r="D225" s="14">
        <v>1</v>
      </c>
      <c r="E225" s="14">
        <v>1</v>
      </c>
      <c r="F225" s="14">
        <v>1</v>
      </c>
      <c r="G225" s="148">
        <v>0.21</v>
      </c>
      <c r="H225" s="148">
        <v>0.21</v>
      </c>
      <c r="I225" s="148">
        <v>24</v>
      </c>
      <c r="J225" s="148" t="s">
        <v>996</v>
      </c>
      <c r="K225" s="148">
        <v>24</v>
      </c>
      <c r="L225" s="148" t="s">
        <v>996</v>
      </c>
      <c r="M225" s="148">
        <v>24</v>
      </c>
      <c r="N225" s="148" t="s">
        <v>996</v>
      </c>
      <c r="O225" s="148">
        <v>24</v>
      </c>
      <c r="P225" s="148" t="s">
        <v>996</v>
      </c>
      <c r="Q225" s="486">
        <v>30</v>
      </c>
      <c r="R225" s="145">
        <f t="shared" si="141"/>
        <v>151.19999999999999</v>
      </c>
      <c r="S225" s="146">
        <f t="shared" si="142"/>
        <v>151.19999999999999</v>
      </c>
      <c r="T225" s="146">
        <f t="shared" si="143"/>
        <v>151.19999999999999</v>
      </c>
      <c r="U225" s="146">
        <f t="shared" si="144"/>
        <v>151.19999999999999</v>
      </c>
      <c r="V225" s="145">
        <f t="shared" si="145"/>
        <v>151.19999999999999</v>
      </c>
      <c r="W225" s="146">
        <f t="shared" si="146"/>
        <v>151.19999999999999</v>
      </c>
      <c r="X225" s="146">
        <f t="shared" si="147"/>
        <v>151.19999999999999</v>
      </c>
      <c r="Y225" s="146">
        <f t="shared" si="148"/>
        <v>151.19999999999999</v>
      </c>
      <c r="Z225" s="95">
        <f t="shared" si="149"/>
        <v>1</v>
      </c>
      <c r="AA225" s="95">
        <f t="shared" si="149"/>
        <v>1</v>
      </c>
      <c r="AB225" s="95">
        <f t="shared" si="149"/>
        <v>1</v>
      </c>
      <c r="AC225" s="95">
        <f t="shared" si="149"/>
        <v>1</v>
      </c>
    </row>
    <row r="226" spans="1:29" s="96" customFormat="1">
      <c r="A226" s="92">
        <v>4</v>
      </c>
      <c r="B226" s="143" t="s">
        <v>467</v>
      </c>
      <c r="C226" s="133">
        <v>1</v>
      </c>
      <c r="D226" s="127">
        <v>1</v>
      </c>
      <c r="E226" s="127">
        <v>1</v>
      </c>
      <c r="F226" s="127">
        <v>1</v>
      </c>
      <c r="G226" s="148">
        <v>1.6</v>
      </c>
      <c r="H226" s="148">
        <v>1.6</v>
      </c>
      <c r="I226" s="148">
        <v>6</v>
      </c>
      <c r="J226" s="148" t="s">
        <v>1660</v>
      </c>
      <c r="K226" s="148">
        <v>6</v>
      </c>
      <c r="L226" s="148" t="s">
        <v>1660</v>
      </c>
      <c r="M226" s="148">
        <v>6</v>
      </c>
      <c r="N226" s="148" t="s">
        <v>1660</v>
      </c>
      <c r="O226" s="148">
        <v>6</v>
      </c>
      <c r="P226" s="148" t="s">
        <v>1660</v>
      </c>
      <c r="Q226" s="486">
        <v>30</v>
      </c>
      <c r="R226" s="145">
        <f t="shared" si="141"/>
        <v>288.00000000000006</v>
      </c>
      <c r="S226" s="146">
        <f t="shared" si="142"/>
        <v>288.00000000000006</v>
      </c>
      <c r="T226" s="146">
        <f t="shared" si="143"/>
        <v>288.00000000000006</v>
      </c>
      <c r="U226" s="146">
        <f t="shared" si="144"/>
        <v>288.00000000000006</v>
      </c>
      <c r="V226" s="145">
        <f t="shared" si="145"/>
        <v>288.00000000000006</v>
      </c>
      <c r="W226" s="146">
        <f t="shared" si="146"/>
        <v>288.00000000000006</v>
      </c>
      <c r="X226" s="146">
        <f t="shared" si="147"/>
        <v>288.00000000000006</v>
      </c>
      <c r="Y226" s="146">
        <f t="shared" si="148"/>
        <v>288.00000000000006</v>
      </c>
      <c r="Z226" s="147">
        <f t="shared" si="149"/>
        <v>1</v>
      </c>
      <c r="AA226" s="147">
        <f t="shared" si="149"/>
        <v>1</v>
      </c>
      <c r="AB226" s="147">
        <f t="shared" si="149"/>
        <v>1</v>
      </c>
      <c r="AC226" s="147">
        <f t="shared" si="149"/>
        <v>1</v>
      </c>
    </row>
    <row r="227" spans="1:29" s="96" customFormat="1">
      <c r="A227" s="92">
        <v>5</v>
      </c>
      <c r="B227" s="143" t="s">
        <v>475</v>
      </c>
      <c r="C227" s="133">
        <v>3</v>
      </c>
      <c r="D227" s="127">
        <v>3</v>
      </c>
      <c r="E227" s="127">
        <v>3</v>
      </c>
      <c r="F227" s="127">
        <v>3</v>
      </c>
      <c r="G227" s="148">
        <v>0.3</v>
      </c>
      <c r="H227" s="148">
        <v>0.3</v>
      </c>
      <c r="I227" s="148">
        <v>24</v>
      </c>
      <c r="J227" s="148" t="s">
        <v>996</v>
      </c>
      <c r="K227" s="148">
        <v>24</v>
      </c>
      <c r="L227" s="148" t="s">
        <v>996</v>
      </c>
      <c r="M227" s="148">
        <v>24</v>
      </c>
      <c r="N227" s="148" t="s">
        <v>996</v>
      </c>
      <c r="O227" s="148">
        <v>24</v>
      </c>
      <c r="P227" s="148" t="s">
        <v>996</v>
      </c>
      <c r="Q227" s="486">
        <v>30</v>
      </c>
      <c r="R227" s="145">
        <f t="shared" si="141"/>
        <v>647.99999999999989</v>
      </c>
      <c r="S227" s="146">
        <f t="shared" si="142"/>
        <v>647.99999999999989</v>
      </c>
      <c r="T227" s="146">
        <f t="shared" si="143"/>
        <v>647.99999999999989</v>
      </c>
      <c r="U227" s="146">
        <f t="shared" si="144"/>
        <v>647.99999999999989</v>
      </c>
      <c r="V227" s="145">
        <f t="shared" si="145"/>
        <v>647.99999999999989</v>
      </c>
      <c r="W227" s="146">
        <f t="shared" si="146"/>
        <v>647.99999999999989</v>
      </c>
      <c r="X227" s="146">
        <f t="shared" si="147"/>
        <v>647.99999999999989</v>
      </c>
      <c r="Y227" s="146">
        <f t="shared" si="148"/>
        <v>647.99999999999989</v>
      </c>
      <c r="Z227" s="147">
        <f t="shared" si="149"/>
        <v>1</v>
      </c>
      <c r="AA227" s="147">
        <f t="shared" si="149"/>
        <v>1</v>
      </c>
      <c r="AB227" s="147">
        <f t="shared" si="149"/>
        <v>1</v>
      </c>
      <c r="AC227" s="147">
        <f t="shared" si="149"/>
        <v>1</v>
      </c>
    </row>
    <row r="228" spans="1:29" s="96" customFormat="1">
      <c r="A228" s="92">
        <v>6</v>
      </c>
      <c r="B228" s="143" t="s">
        <v>716</v>
      </c>
      <c r="C228" s="14">
        <v>2</v>
      </c>
      <c r="D228" s="14">
        <v>2</v>
      </c>
      <c r="E228" s="14">
        <v>2</v>
      </c>
      <c r="F228" s="14">
        <v>2</v>
      </c>
      <c r="G228" s="148">
        <v>0.21</v>
      </c>
      <c r="H228" s="148">
        <v>0.21</v>
      </c>
      <c r="I228" s="148">
        <v>24</v>
      </c>
      <c r="J228" s="148" t="s">
        <v>996</v>
      </c>
      <c r="K228" s="148">
        <v>24</v>
      </c>
      <c r="L228" s="148" t="s">
        <v>996</v>
      </c>
      <c r="M228" s="148">
        <v>24</v>
      </c>
      <c r="N228" s="148" t="s">
        <v>996</v>
      </c>
      <c r="O228" s="148">
        <v>24</v>
      </c>
      <c r="P228" s="148" t="s">
        <v>996</v>
      </c>
      <c r="Q228" s="486">
        <v>30</v>
      </c>
      <c r="R228" s="145">
        <f t="shared" si="141"/>
        <v>302.39999999999998</v>
      </c>
      <c r="S228" s="146">
        <f t="shared" si="142"/>
        <v>302.39999999999998</v>
      </c>
      <c r="T228" s="146">
        <f t="shared" si="143"/>
        <v>302.39999999999998</v>
      </c>
      <c r="U228" s="146">
        <f t="shared" si="144"/>
        <v>302.39999999999998</v>
      </c>
      <c r="V228" s="145">
        <f t="shared" si="145"/>
        <v>302.39999999999998</v>
      </c>
      <c r="W228" s="146">
        <f t="shared" si="146"/>
        <v>302.39999999999998</v>
      </c>
      <c r="X228" s="146">
        <f t="shared" si="147"/>
        <v>302.39999999999998</v>
      </c>
      <c r="Y228" s="146">
        <f t="shared" si="148"/>
        <v>302.39999999999998</v>
      </c>
      <c r="Z228" s="95">
        <f t="shared" si="149"/>
        <v>1</v>
      </c>
      <c r="AA228" s="95">
        <f t="shared" si="149"/>
        <v>1</v>
      </c>
      <c r="AB228" s="95">
        <f t="shared" si="149"/>
        <v>1</v>
      </c>
      <c r="AC228" s="95">
        <f t="shared" si="149"/>
        <v>1</v>
      </c>
    </row>
    <row r="229" spans="1:29" s="96" customFormat="1">
      <c r="A229" s="92">
        <v>7</v>
      </c>
      <c r="B229" s="143" t="s">
        <v>465</v>
      </c>
      <c r="C229" s="133">
        <v>2</v>
      </c>
      <c r="D229" s="127">
        <v>2</v>
      </c>
      <c r="E229" s="127">
        <v>2</v>
      </c>
      <c r="F229" s="127">
        <v>2</v>
      </c>
      <c r="G229" s="148">
        <v>3.4</v>
      </c>
      <c r="H229" s="148">
        <v>3.4</v>
      </c>
      <c r="I229" s="148">
        <v>6</v>
      </c>
      <c r="J229" s="148" t="s">
        <v>1657</v>
      </c>
      <c r="K229" s="148">
        <v>6</v>
      </c>
      <c r="L229" s="148" t="s">
        <v>1660</v>
      </c>
      <c r="M229" s="148">
        <v>6</v>
      </c>
      <c r="N229" s="148" t="s">
        <v>1660</v>
      </c>
      <c r="O229" s="148">
        <v>6</v>
      </c>
      <c r="P229" s="148" t="s">
        <v>1660</v>
      </c>
      <c r="Q229" s="486">
        <v>30</v>
      </c>
      <c r="R229" s="145">
        <f t="shared" si="141"/>
        <v>1224</v>
      </c>
      <c r="S229" s="146">
        <f t="shared" si="142"/>
        <v>1224</v>
      </c>
      <c r="T229" s="146">
        <f t="shared" si="143"/>
        <v>1224</v>
      </c>
      <c r="U229" s="146">
        <f t="shared" si="144"/>
        <v>1224</v>
      </c>
      <c r="V229" s="145">
        <f t="shared" si="145"/>
        <v>1224</v>
      </c>
      <c r="W229" s="146">
        <f t="shared" si="146"/>
        <v>1224</v>
      </c>
      <c r="X229" s="146">
        <f t="shared" si="147"/>
        <v>1224</v>
      </c>
      <c r="Y229" s="146">
        <f t="shared" si="148"/>
        <v>1224</v>
      </c>
      <c r="Z229" s="147">
        <f t="shared" si="149"/>
        <v>1</v>
      </c>
      <c r="AA229" s="147">
        <f t="shared" si="149"/>
        <v>1</v>
      </c>
      <c r="AB229" s="147">
        <f t="shared" si="149"/>
        <v>1</v>
      </c>
      <c r="AC229" s="147">
        <f t="shared" si="149"/>
        <v>1</v>
      </c>
    </row>
    <row r="230" spans="1:29" s="96" customFormat="1">
      <c r="A230" s="92">
        <v>8</v>
      </c>
      <c r="B230" s="143" t="s">
        <v>425</v>
      </c>
      <c r="C230" s="133">
        <v>2</v>
      </c>
      <c r="D230" s="127">
        <v>2</v>
      </c>
      <c r="E230" s="127">
        <v>2</v>
      </c>
      <c r="F230" s="127">
        <v>2</v>
      </c>
      <c r="G230" s="148">
        <v>1.8</v>
      </c>
      <c r="H230" s="148">
        <v>1.8</v>
      </c>
      <c r="I230" s="148">
        <v>6</v>
      </c>
      <c r="J230" s="148" t="s">
        <v>1660</v>
      </c>
      <c r="K230" s="148">
        <v>6</v>
      </c>
      <c r="L230" s="148" t="s">
        <v>1660</v>
      </c>
      <c r="M230" s="148">
        <v>6</v>
      </c>
      <c r="N230" s="148" t="s">
        <v>1660</v>
      </c>
      <c r="O230" s="148">
        <v>6</v>
      </c>
      <c r="P230" s="148" t="s">
        <v>1660</v>
      </c>
      <c r="Q230" s="486">
        <v>30</v>
      </c>
      <c r="R230" s="145">
        <f t="shared" si="141"/>
        <v>648</v>
      </c>
      <c r="S230" s="146">
        <f t="shared" si="142"/>
        <v>648</v>
      </c>
      <c r="T230" s="146">
        <f t="shared" si="143"/>
        <v>648</v>
      </c>
      <c r="U230" s="146">
        <f t="shared" si="144"/>
        <v>648</v>
      </c>
      <c r="V230" s="145">
        <f t="shared" si="145"/>
        <v>648</v>
      </c>
      <c r="W230" s="146">
        <f t="shared" si="146"/>
        <v>648</v>
      </c>
      <c r="X230" s="146">
        <f t="shared" si="147"/>
        <v>648</v>
      </c>
      <c r="Y230" s="146">
        <f t="shared" si="148"/>
        <v>648</v>
      </c>
      <c r="Z230" s="147">
        <f t="shared" si="149"/>
        <v>1</v>
      </c>
      <c r="AA230" s="147">
        <f t="shared" si="149"/>
        <v>1</v>
      </c>
      <c r="AB230" s="147">
        <f t="shared" si="149"/>
        <v>1</v>
      </c>
      <c r="AC230" s="147">
        <f t="shared" si="149"/>
        <v>1</v>
      </c>
    </row>
    <row r="231" spans="1:29" s="96" customFormat="1" ht="21.75" customHeight="1">
      <c r="A231" s="92">
        <v>9</v>
      </c>
      <c r="B231" s="143" t="s">
        <v>469</v>
      </c>
      <c r="C231" s="133">
        <v>1</v>
      </c>
      <c r="D231" s="127">
        <v>1</v>
      </c>
      <c r="E231" s="127">
        <v>1</v>
      </c>
      <c r="F231" s="127">
        <v>3</v>
      </c>
      <c r="G231" s="148">
        <v>0.3</v>
      </c>
      <c r="H231" s="148">
        <v>0.3</v>
      </c>
      <c r="I231" s="148">
        <v>24</v>
      </c>
      <c r="J231" s="148" t="s">
        <v>996</v>
      </c>
      <c r="K231" s="148">
        <v>24</v>
      </c>
      <c r="L231" s="148" t="s">
        <v>996</v>
      </c>
      <c r="M231" s="148">
        <v>24</v>
      </c>
      <c r="N231" s="148" t="s">
        <v>996</v>
      </c>
      <c r="O231" s="148">
        <v>24</v>
      </c>
      <c r="P231" s="148" t="s">
        <v>996</v>
      </c>
      <c r="Q231" s="486">
        <v>30</v>
      </c>
      <c r="R231" s="145">
        <f t="shared" si="141"/>
        <v>215.99999999999997</v>
      </c>
      <c r="S231" s="146">
        <f t="shared" si="142"/>
        <v>215.99999999999997</v>
      </c>
      <c r="T231" s="146">
        <f t="shared" si="143"/>
        <v>215.99999999999997</v>
      </c>
      <c r="U231" s="146">
        <f t="shared" si="144"/>
        <v>647.99999999999989</v>
      </c>
      <c r="V231" s="145">
        <f t="shared" si="145"/>
        <v>215.99999999999997</v>
      </c>
      <c r="W231" s="146">
        <f t="shared" si="146"/>
        <v>215.99999999999997</v>
      </c>
      <c r="X231" s="146">
        <f t="shared" si="147"/>
        <v>215.99999999999997</v>
      </c>
      <c r="Y231" s="146">
        <f t="shared" si="148"/>
        <v>647.99999999999989</v>
      </c>
      <c r="Z231" s="147">
        <f t="shared" si="149"/>
        <v>1</v>
      </c>
      <c r="AA231" s="147">
        <f t="shared" si="149"/>
        <v>1</v>
      </c>
      <c r="AB231" s="147">
        <f t="shared" si="149"/>
        <v>1</v>
      </c>
      <c r="AC231" s="147">
        <f t="shared" si="149"/>
        <v>1</v>
      </c>
    </row>
    <row r="232" spans="1:29" s="96" customFormat="1">
      <c r="A232" s="92">
        <v>10</v>
      </c>
      <c r="B232" s="143" t="s">
        <v>462</v>
      </c>
      <c r="C232" s="133">
        <v>1</v>
      </c>
      <c r="D232" s="127">
        <v>1</v>
      </c>
      <c r="E232" s="127">
        <v>1</v>
      </c>
      <c r="F232" s="127">
        <v>1</v>
      </c>
      <c r="G232" s="148">
        <v>3</v>
      </c>
      <c r="H232" s="148">
        <v>3</v>
      </c>
      <c r="I232" s="148">
        <v>8</v>
      </c>
      <c r="J232" s="148" t="s">
        <v>1657</v>
      </c>
      <c r="K232" s="148">
        <v>8</v>
      </c>
      <c r="L232" s="148" t="s">
        <v>1657</v>
      </c>
      <c r="M232" s="148">
        <v>8</v>
      </c>
      <c r="N232" s="148" t="s">
        <v>1657</v>
      </c>
      <c r="O232" s="148">
        <v>8</v>
      </c>
      <c r="P232" s="148" t="s">
        <v>1657</v>
      </c>
      <c r="Q232" s="486">
        <v>30</v>
      </c>
      <c r="R232" s="145">
        <f t="shared" si="141"/>
        <v>720</v>
      </c>
      <c r="S232" s="146">
        <f t="shared" si="142"/>
        <v>720</v>
      </c>
      <c r="T232" s="146">
        <f t="shared" si="143"/>
        <v>720</v>
      </c>
      <c r="U232" s="146">
        <f t="shared" si="144"/>
        <v>720</v>
      </c>
      <c r="V232" s="145">
        <f t="shared" si="145"/>
        <v>720</v>
      </c>
      <c r="W232" s="146">
        <f t="shared" si="146"/>
        <v>720</v>
      </c>
      <c r="X232" s="146">
        <f t="shared" si="147"/>
        <v>720</v>
      </c>
      <c r="Y232" s="146">
        <f t="shared" si="148"/>
        <v>720</v>
      </c>
      <c r="Z232" s="147">
        <f t="shared" si="149"/>
        <v>1</v>
      </c>
      <c r="AA232" s="147">
        <f t="shared" si="149"/>
        <v>1</v>
      </c>
      <c r="AB232" s="147">
        <f t="shared" si="149"/>
        <v>1</v>
      </c>
      <c r="AC232" s="147">
        <f t="shared" si="149"/>
        <v>1</v>
      </c>
    </row>
    <row r="233" spans="1:29" s="96" customFormat="1">
      <c r="A233" s="92">
        <v>11</v>
      </c>
      <c r="B233" s="143" t="s">
        <v>468</v>
      </c>
      <c r="C233" s="133">
        <v>1</v>
      </c>
      <c r="D233" s="127">
        <v>1</v>
      </c>
      <c r="E233" s="127">
        <v>1</v>
      </c>
      <c r="F233" s="127">
        <v>1</v>
      </c>
      <c r="G233" s="148">
        <v>1.8</v>
      </c>
      <c r="H233" s="148">
        <v>1.8</v>
      </c>
      <c r="I233" s="148">
        <v>24</v>
      </c>
      <c r="J233" s="148" t="s">
        <v>996</v>
      </c>
      <c r="K233" s="148">
        <v>24</v>
      </c>
      <c r="L233" s="148" t="s">
        <v>996</v>
      </c>
      <c r="M233" s="148">
        <v>24</v>
      </c>
      <c r="N233" s="148" t="s">
        <v>996</v>
      </c>
      <c r="O233" s="148">
        <v>24</v>
      </c>
      <c r="P233" s="148" t="s">
        <v>996</v>
      </c>
      <c r="Q233" s="486">
        <v>30</v>
      </c>
      <c r="R233" s="145">
        <f t="shared" si="141"/>
        <v>1296</v>
      </c>
      <c r="S233" s="146">
        <f t="shared" si="142"/>
        <v>1296</v>
      </c>
      <c r="T233" s="146">
        <f t="shared" si="143"/>
        <v>1296</v>
      </c>
      <c r="U233" s="146">
        <f t="shared" si="144"/>
        <v>1296</v>
      </c>
      <c r="V233" s="145">
        <f t="shared" si="145"/>
        <v>1296</v>
      </c>
      <c r="W233" s="146">
        <f t="shared" si="146"/>
        <v>1296</v>
      </c>
      <c r="X233" s="146">
        <f t="shared" si="147"/>
        <v>1296</v>
      </c>
      <c r="Y233" s="146">
        <f t="shared" si="148"/>
        <v>1296</v>
      </c>
      <c r="Z233" s="147">
        <f t="shared" si="149"/>
        <v>1</v>
      </c>
      <c r="AA233" s="147">
        <f t="shared" si="149"/>
        <v>1</v>
      </c>
      <c r="AB233" s="147">
        <f t="shared" si="149"/>
        <v>1</v>
      </c>
      <c r="AC233" s="147">
        <f t="shared" si="149"/>
        <v>1</v>
      </c>
    </row>
    <row r="234" spans="1:29" s="485" customFormat="1">
      <c r="A234" s="477"/>
      <c r="B234" s="487" t="s">
        <v>727</v>
      </c>
      <c r="C234" s="478"/>
      <c r="D234" s="488"/>
      <c r="E234" s="488"/>
      <c r="F234" s="488"/>
      <c r="G234" s="480"/>
      <c r="H234" s="480"/>
      <c r="I234" s="481"/>
      <c r="J234" s="482"/>
      <c r="K234" s="481"/>
      <c r="L234" s="482"/>
      <c r="M234" s="481"/>
      <c r="N234" s="482"/>
      <c r="O234" s="481"/>
      <c r="P234" s="482"/>
      <c r="Q234" s="483"/>
      <c r="R234" s="145"/>
      <c r="S234" s="146"/>
      <c r="T234" s="146"/>
      <c r="U234" s="146"/>
      <c r="V234" s="145"/>
      <c r="W234" s="146"/>
      <c r="X234" s="146"/>
      <c r="Y234" s="146"/>
      <c r="Z234" s="484"/>
      <c r="AA234" s="484"/>
      <c r="AB234" s="484"/>
      <c r="AC234" s="484"/>
    </row>
    <row r="235" spans="1:29" s="96" customFormat="1">
      <c r="A235" s="92">
        <v>1</v>
      </c>
      <c r="B235" s="143" t="s">
        <v>728</v>
      </c>
      <c r="C235" s="133">
        <v>1</v>
      </c>
      <c r="D235" s="127">
        <v>1</v>
      </c>
      <c r="E235" s="127">
        <v>1</v>
      </c>
      <c r="F235" s="127">
        <v>1</v>
      </c>
      <c r="G235" s="148">
        <v>0.3</v>
      </c>
      <c r="H235" s="148">
        <v>0.3</v>
      </c>
      <c r="I235" s="148">
        <v>24</v>
      </c>
      <c r="J235" s="148" t="s">
        <v>996</v>
      </c>
      <c r="K235" s="148">
        <v>24</v>
      </c>
      <c r="L235" s="148" t="s">
        <v>996</v>
      </c>
      <c r="M235" s="148">
        <v>24</v>
      </c>
      <c r="N235" s="148" t="s">
        <v>996</v>
      </c>
      <c r="O235" s="148">
        <v>24</v>
      </c>
      <c r="P235" s="148" t="s">
        <v>996</v>
      </c>
      <c r="Q235" s="486">
        <v>30</v>
      </c>
      <c r="R235" s="145">
        <f t="shared" ref="R235:R242" si="150">C235*G235*I235*Q235</f>
        <v>215.99999999999997</v>
      </c>
      <c r="S235" s="146">
        <f t="shared" ref="S235:S242" si="151">D235*G235*K235*Q235</f>
        <v>215.99999999999997</v>
      </c>
      <c r="T235" s="146">
        <f t="shared" ref="T235:T242" si="152">E235*G235*M235*Q235</f>
        <v>215.99999999999997</v>
      </c>
      <c r="U235" s="146">
        <f t="shared" ref="U235:U242" si="153">F235*G235*O235*Q235</f>
        <v>215.99999999999997</v>
      </c>
      <c r="V235" s="145">
        <f t="shared" ref="V235:V242" si="154">C235*H235*I235*Q235</f>
        <v>215.99999999999997</v>
      </c>
      <c r="W235" s="146">
        <f t="shared" ref="W235:W242" si="155">D235*H235*K235*Q235</f>
        <v>215.99999999999997</v>
      </c>
      <c r="X235" s="146">
        <f t="shared" ref="X235:X242" si="156">E235*H235*M235*Q235</f>
        <v>215.99999999999997</v>
      </c>
      <c r="Y235" s="146">
        <f t="shared" ref="Y235:Y242" si="157">F235*H235*O235*Q235</f>
        <v>215.99999999999997</v>
      </c>
      <c r="Z235" s="147">
        <f t="shared" ref="Z235:AC243" si="158">V235/R235</f>
        <v>1</v>
      </c>
      <c r="AA235" s="147">
        <f t="shared" si="158"/>
        <v>1</v>
      </c>
      <c r="AB235" s="147">
        <f t="shared" si="158"/>
        <v>1</v>
      </c>
      <c r="AC235" s="147">
        <f t="shared" si="158"/>
        <v>1</v>
      </c>
    </row>
    <row r="236" spans="1:29" s="96" customFormat="1">
      <c r="A236" s="92">
        <v>2</v>
      </c>
      <c r="B236" s="143" t="s">
        <v>475</v>
      </c>
      <c r="C236" s="133">
        <v>2</v>
      </c>
      <c r="D236" s="127">
        <v>2</v>
      </c>
      <c r="E236" s="127">
        <v>2</v>
      </c>
      <c r="F236" s="127">
        <v>2</v>
      </c>
      <c r="G236" s="148">
        <v>0.3</v>
      </c>
      <c r="H236" s="148">
        <v>0.3</v>
      </c>
      <c r="I236" s="148">
        <v>24</v>
      </c>
      <c r="J236" s="148" t="s">
        <v>996</v>
      </c>
      <c r="K236" s="148">
        <v>24</v>
      </c>
      <c r="L236" s="148" t="s">
        <v>996</v>
      </c>
      <c r="M236" s="148">
        <v>24</v>
      </c>
      <c r="N236" s="148" t="s">
        <v>996</v>
      </c>
      <c r="O236" s="148">
        <v>24</v>
      </c>
      <c r="P236" s="148" t="s">
        <v>996</v>
      </c>
      <c r="Q236" s="486">
        <v>30</v>
      </c>
      <c r="R236" s="145">
        <f t="shared" si="150"/>
        <v>431.99999999999994</v>
      </c>
      <c r="S236" s="146">
        <f t="shared" si="151"/>
        <v>431.99999999999994</v>
      </c>
      <c r="T236" s="146">
        <f t="shared" si="152"/>
        <v>431.99999999999994</v>
      </c>
      <c r="U236" s="146">
        <f t="shared" si="153"/>
        <v>431.99999999999994</v>
      </c>
      <c r="V236" s="145">
        <f t="shared" si="154"/>
        <v>431.99999999999994</v>
      </c>
      <c r="W236" s="146">
        <f t="shared" si="155"/>
        <v>431.99999999999994</v>
      </c>
      <c r="X236" s="146">
        <f t="shared" si="156"/>
        <v>431.99999999999994</v>
      </c>
      <c r="Y236" s="146">
        <f t="shared" si="157"/>
        <v>431.99999999999994</v>
      </c>
      <c r="Z236" s="147">
        <f t="shared" si="158"/>
        <v>1</v>
      </c>
      <c r="AA236" s="147">
        <f t="shared" si="158"/>
        <v>1</v>
      </c>
      <c r="AB236" s="147">
        <f t="shared" si="158"/>
        <v>1</v>
      </c>
      <c r="AC236" s="147">
        <f t="shared" si="158"/>
        <v>1</v>
      </c>
    </row>
    <row r="237" spans="1:29" s="96" customFormat="1">
      <c r="A237" s="92">
        <v>3</v>
      </c>
      <c r="B237" s="143" t="s">
        <v>729</v>
      </c>
      <c r="C237" s="133">
        <v>2</v>
      </c>
      <c r="D237" s="127">
        <v>2</v>
      </c>
      <c r="E237" s="127">
        <v>2</v>
      </c>
      <c r="F237" s="127">
        <v>2</v>
      </c>
      <c r="G237" s="148">
        <v>0.3</v>
      </c>
      <c r="H237" s="148">
        <v>0.3</v>
      </c>
      <c r="I237" s="148">
        <v>24</v>
      </c>
      <c r="J237" s="148" t="s">
        <v>996</v>
      </c>
      <c r="K237" s="148">
        <v>24</v>
      </c>
      <c r="L237" s="148" t="s">
        <v>996</v>
      </c>
      <c r="M237" s="148">
        <v>24</v>
      </c>
      <c r="N237" s="148" t="s">
        <v>996</v>
      </c>
      <c r="O237" s="148">
        <v>24</v>
      </c>
      <c r="P237" s="148" t="s">
        <v>996</v>
      </c>
      <c r="Q237" s="486">
        <v>30</v>
      </c>
      <c r="R237" s="145">
        <f t="shared" si="150"/>
        <v>431.99999999999994</v>
      </c>
      <c r="S237" s="146">
        <f t="shared" si="151"/>
        <v>431.99999999999994</v>
      </c>
      <c r="T237" s="146">
        <f t="shared" si="152"/>
        <v>431.99999999999994</v>
      </c>
      <c r="U237" s="146">
        <f t="shared" si="153"/>
        <v>431.99999999999994</v>
      </c>
      <c r="V237" s="145">
        <f t="shared" si="154"/>
        <v>431.99999999999994</v>
      </c>
      <c r="W237" s="146">
        <f t="shared" si="155"/>
        <v>431.99999999999994</v>
      </c>
      <c r="X237" s="146">
        <f t="shared" si="156"/>
        <v>431.99999999999994</v>
      </c>
      <c r="Y237" s="146">
        <f t="shared" si="157"/>
        <v>431.99999999999994</v>
      </c>
      <c r="Z237" s="147">
        <f t="shared" si="158"/>
        <v>1</v>
      </c>
      <c r="AA237" s="147">
        <f t="shared" si="158"/>
        <v>1</v>
      </c>
      <c r="AB237" s="147">
        <f t="shared" si="158"/>
        <v>1</v>
      </c>
      <c r="AC237" s="147">
        <f t="shared" si="158"/>
        <v>1</v>
      </c>
    </row>
    <row r="238" spans="1:29" s="96" customFormat="1">
      <c r="A238" s="92">
        <v>4</v>
      </c>
      <c r="B238" s="143" t="s">
        <v>730</v>
      </c>
      <c r="C238" s="133">
        <v>1</v>
      </c>
      <c r="D238" s="127">
        <v>1</v>
      </c>
      <c r="E238" s="127">
        <v>1</v>
      </c>
      <c r="F238" s="127">
        <v>1</v>
      </c>
      <c r="G238" s="148">
        <v>15</v>
      </c>
      <c r="H238" s="148">
        <v>15</v>
      </c>
      <c r="I238" s="148" t="s">
        <v>1660</v>
      </c>
      <c r="J238" s="148" t="s">
        <v>1660</v>
      </c>
      <c r="K238" s="148" t="s">
        <v>1660</v>
      </c>
      <c r="L238" s="148" t="s">
        <v>1660</v>
      </c>
      <c r="M238" s="148" t="s">
        <v>1660</v>
      </c>
      <c r="N238" s="148" t="s">
        <v>1660</v>
      </c>
      <c r="O238" s="148" t="s">
        <v>1660</v>
      </c>
      <c r="P238" s="148" t="s">
        <v>1660</v>
      </c>
      <c r="Q238" s="486">
        <v>30</v>
      </c>
      <c r="R238" s="145" t="e">
        <f t="shared" si="150"/>
        <v>#VALUE!</v>
      </c>
      <c r="S238" s="146" t="e">
        <f t="shared" si="151"/>
        <v>#VALUE!</v>
      </c>
      <c r="T238" s="146" t="e">
        <f t="shared" si="152"/>
        <v>#VALUE!</v>
      </c>
      <c r="U238" s="146" t="e">
        <f t="shared" si="153"/>
        <v>#VALUE!</v>
      </c>
      <c r="V238" s="145" t="e">
        <f t="shared" si="154"/>
        <v>#VALUE!</v>
      </c>
      <c r="W238" s="146" t="e">
        <f t="shared" si="155"/>
        <v>#VALUE!</v>
      </c>
      <c r="X238" s="146" t="e">
        <f t="shared" si="156"/>
        <v>#VALUE!</v>
      </c>
      <c r="Y238" s="146" t="e">
        <f t="shared" si="157"/>
        <v>#VALUE!</v>
      </c>
      <c r="Z238" s="147" t="e">
        <f t="shared" si="158"/>
        <v>#VALUE!</v>
      </c>
      <c r="AA238" s="147" t="e">
        <f t="shared" si="158"/>
        <v>#VALUE!</v>
      </c>
      <c r="AB238" s="147" t="e">
        <f t="shared" si="158"/>
        <v>#VALUE!</v>
      </c>
      <c r="AC238" s="147" t="e">
        <f t="shared" si="158"/>
        <v>#VALUE!</v>
      </c>
    </row>
    <row r="239" spans="1:29" s="96" customFormat="1">
      <c r="A239" s="92">
        <v>5</v>
      </c>
      <c r="B239" s="143" t="s">
        <v>467</v>
      </c>
      <c r="C239" s="133">
        <v>1</v>
      </c>
      <c r="D239" s="127">
        <v>1</v>
      </c>
      <c r="E239" s="127">
        <v>1</v>
      </c>
      <c r="F239" s="127">
        <v>1</v>
      </c>
      <c r="G239" s="148">
        <v>1.6</v>
      </c>
      <c r="H239" s="148">
        <v>1.6</v>
      </c>
      <c r="I239" s="148" t="s">
        <v>1127</v>
      </c>
      <c r="J239" s="148" t="s">
        <v>1660</v>
      </c>
      <c r="K239" s="148" t="s">
        <v>1660</v>
      </c>
      <c r="L239" s="148" t="s">
        <v>1660</v>
      </c>
      <c r="M239" s="148" t="s">
        <v>1660</v>
      </c>
      <c r="N239" s="148" t="s">
        <v>1660</v>
      </c>
      <c r="O239" s="148" t="s">
        <v>1660</v>
      </c>
      <c r="P239" s="148" t="s">
        <v>1660</v>
      </c>
      <c r="Q239" s="486">
        <v>30</v>
      </c>
      <c r="R239" s="145" t="e">
        <f t="shared" si="150"/>
        <v>#VALUE!</v>
      </c>
      <c r="S239" s="146" t="e">
        <f t="shared" si="151"/>
        <v>#VALUE!</v>
      </c>
      <c r="T239" s="146" t="e">
        <f t="shared" si="152"/>
        <v>#VALUE!</v>
      </c>
      <c r="U239" s="146" t="e">
        <f t="shared" si="153"/>
        <v>#VALUE!</v>
      </c>
      <c r="V239" s="145" t="e">
        <f t="shared" si="154"/>
        <v>#VALUE!</v>
      </c>
      <c r="W239" s="146" t="e">
        <f t="shared" si="155"/>
        <v>#VALUE!</v>
      </c>
      <c r="X239" s="146" t="e">
        <f t="shared" si="156"/>
        <v>#VALUE!</v>
      </c>
      <c r="Y239" s="146" t="e">
        <f t="shared" si="157"/>
        <v>#VALUE!</v>
      </c>
      <c r="Z239" s="147" t="e">
        <f t="shared" si="158"/>
        <v>#VALUE!</v>
      </c>
      <c r="AA239" s="147" t="e">
        <f t="shared" si="158"/>
        <v>#VALUE!</v>
      </c>
      <c r="AB239" s="147" t="e">
        <f t="shared" si="158"/>
        <v>#VALUE!</v>
      </c>
      <c r="AC239" s="147" t="e">
        <f t="shared" si="158"/>
        <v>#VALUE!</v>
      </c>
    </row>
    <row r="240" spans="1:29" s="96" customFormat="1">
      <c r="A240" s="92">
        <v>6</v>
      </c>
      <c r="B240" s="143" t="s">
        <v>731</v>
      </c>
      <c r="C240" s="133">
        <v>1</v>
      </c>
      <c r="D240" s="127">
        <v>1</v>
      </c>
      <c r="E240" s="127">
        <v>1</v>
      </c>
      <c r="F240" s="127">
        <v>1</v>
      </c>
      <c r="G240" s="148">
        <v>11</v>
      </c>
      <c r="H240" s="148">
        <v>11</v>
      </c>
      <c r="I240" s="148" t="s">
        <v>1127</v>
      </c>
      <c r="J240" s="148" t="s">
        <v>1660</v>
      </c>
      <c r="K240" s="148" t="s">
        <v>1660</v>
      </c>
      <c r="L240" s="148" t="s">
        <v>1660</v>
      </c>
      <c r="M240" s="148" t="s">
        <v>1660</v>
      </c>
      <c r="N240" s="148" t="s">
        <v>1660</v>
      </c>
      <c r="O240" s="148" t="s">
        <v>1660</v>
      </c>
      <c r="P240" s="148" t="s">
        <v>1660</v>
      </c>
      <c r="Q240" s="486">
        <v>30</v>
      </c>
      <c r="R240" s="145" t="e">
        <f t="shared" si="150"/>
        <v>#VALUE!</v>
      </c>
      <c r="S240" s="146" t="e">
        <f t="shared" si="151"/>
        <v>#VALUE!</v>
      </c>
      <c r="T240" s="146" t="e">
        <f t="shared" si="152"/>
        <v>#VALUE!</v>
      </c>
      <c r="U240" s="146" t="e">
        <f t="shared" si="153"/>
        <v>#VALUE!</v>
      </c>
      <c r="V240" s="145" t="e">
        <f t="shared" si="154"/>
        <v>#VALUE!</v>
      </c>
      <c r="W240" s="146" t="e">
        <f t="shared" si="155"/>
        <v>#VALUE!</v>
      </c>
      <c r="X240" s="146" t="e">
        <f t="shared" si="156"/>
        <v>#VALUE!</v>
      </c>
      <c r="Y240" s="146" t="e">
        <f t="shared" si="157"/>
        <v>#VALUE!</v>
      </c>
      <c r="Z240" s="147" t="e">
        <f t="shared" si="158"/>
        <v>#VALUE!</v>
      </c>
      <c r="AA240" s="147" t="e">
        <f t="shared" si="158"/>
        <v>#VALUE!</v>
      </c>
      <c r="AB240" s="147" t="e">
        <f t="shared" si="158"/>
        <v>#VALUE!</v>
      </c>
      <c r="AC240" s="147" t="e">
        <f t="shared" si="158"/>
        <v>#VALUE!</v>
      </c>
    </row>
    <row r="241" spans="1:29" s="96" customFormat="1">
      <c r="A241" s="92">
        <v>7</v>
      </c>
      <c r="B241" s="143" t="s">
        <v>732</v>
      </c>
      <c r="C241" s="133">
        <v>1</v>
      </c>
      <c r="D241" s="127">
        <v>1</v>
      </c>
      <c r="E241" s="127">
        <v>1</v>
      </c>
      <c r="F241" s="127">
        <v>1</v>
      </c>
      <c r="G241" s="148">
        <v>0.3</v>
      </c>
      <c r="H241" s="148">
        <v>0.3</v>
      </c>
      <c r="I241" s="148">
        <v>24</v>
      </c>
      <c r="J241" s="148" t="s">
        <v>996</v>
      </c>
      <c r="K241" s="148">
        <v>24</v>
      </c>
      <c r="L241" s="148" t="s">
        <v>996</v>
      </c>
      <c r="M241" s="148">
        <v>24</v>
      </c>
      <c r="N241" s="148" t="s">
        <v>996</v>
      </c>
      <c r="O241" s="148">
        <v>24</v>
      </c>
      <c r="P241" s="148" t="s">
        <v>996</v>
      </c>
      <c r="Q241" s="486">
        <v>30</v>
      </c>
      <c r="R241" s="145">
        <f t="shared" si="150"/>
        <v>215.99999999999997</v>
      </c>
      <c r="S241" s="146">
        <f t="shared" si="151"/>
        <v>215.99999999999997</v>
      </c>
      <c r="T241" s="146">
        <f t="shared" si="152"/>
        <v>215.99999999999997</v>
      </c>
      <c r="U241" s="146">
        <f t="shared" si="153"/>
        <v>215.99999999999997</v>
      </c>
      <c r="V241" s="145">
        <f t="shared" si="154"/>
        <v>215.99999999999997</v>
      </c>
      <c r="W241" s="146">
        <f t="shared" si="155"/>
        <v>215.99999999999997</v>
      </c>
      <c r="X241" s="146">
        <f t="shared" si="156"/>
        <v>215.99999999999997</v>
      </c>
      <c r="Y241" s="146">
        <f t="shared" si="157"/>
        <v>215.99999999999997</v>
      </c>
      <c r="Z241" s="147">
        <f t="shared" si="158"/>
        <v>1</v>
      </c>
      <c r="AA241" s="147">
        <f t="shared" si="158"/>
        <v>1</v>
      </c>
      <c r="AB241" s="147">
        <f t="shared" si="158"/>
        <v>1</v>
      </c>
      <c r="AC241" s="147">
        <f t="shared" si="158"/>
        <v>1</v>
      </c>
    </row>
    <row r="242" spans="1:29" s="96" customFormat="1">
      <c r="A242" s="92">
        <v>8</v>
      </c>
      <c r="B242" s="143" t="s">
        <v>733</v>
      </c>
      <c r="C242" s="133">
        <v>1</v>
      </c>
      <c r="D242" s="127">
        <v>1</v>
      </c>
      <c r="E242" s="127">
        <v>1</v>
      </c>
      <c r="F242" s="127">
        <v>1</v>
      </c>
      <c r="G242" s="148">
        <v>1</v>
      </c>
      <c r="H242" s="148">
        <v>1</v>
      </c>
      <c r="I242" s="148" t="s">
        <v>1127</v>
      </c>
      <c r="J242" s="148" t="s">
        <v>1661</v>
      </c>
      <c r="K242" s="148" t="s">
        <v>1661</v>
      </c>
      <c r="L242" s="148" t="s">
        <v>1661</v>
      </c>
      <c r="M242" s="148" t="s">
        <v>1661</v>
      </c>
      <c r="N242" s="148" t="s">
        <v>1661</v>
      </c>
      <c r="O242" s="148" t="s">
        <v>1661</v>
      </c>
      <c r="P242" s="148" t="s">
        <v>1661</v>
      </c>
      <c r="Q242" s="486">
        <v>30</v>
      </c>
      <c r="R242" s="145" t="e">
        <f t="shared" si="150"/>
        <v>#VALUE!</v>
      </c>
      <c r="S242" s="146" t="e">
        <f t="shared" si="151"/>
        <v>#VALUE!</v>
      </c>
      <c r="T242" s="146" t="e">
        <f t="shared" si="152"/>
        <v>#VALUE!</v>
      </c>
      <c r="U242" s="146" t="e">
        <f t="shared" si="153"/>
        <v>#VALUE!</v>
      </c>
      <c r="V242" s="145" t="e">
        <f t="shared" si="154"/>
        <v>#VALUE!</v>
      </c>
      <c r="W242" s="146" t="e">
        <f t="shared" si="155"/>
        <v>#VALUE!</v>
      </c>
      <c r="X242" s="146" t="e">
        <f t="shared" si="156"/>
        <v>#VALUE!</v>
      </c>
      <c r="Y242" s="146" t="e">
        <f t="shared" si="157"/>
        <v>#VALUE!</v>
      </c>
      <c r="Z242" s="147" t="e">
        <f t="shared" si="158"/>
        <v>#VALUE!</v>
      </c>
      <c r="AA242" s="147" t="e">
        <f t="shared" si="158"/>
        <v>#VALUE!</v>
      </c>
      <c r="AB242" s="147" t="e">
        <f t="shared" si="158"/>
        <v>#VALUE!</v>
      </c>
      <c r="AC242" s="147" t="e">
        <f t="shared" si="158"/>
        <v>#VALUE!</v>
      </c>
    </row>
    <row r="243" spans="1:29" s="96" customFormat="1" ht="15" customHeight="1">
      <c r="A243" s="92">
        <v>9</v>
      </c>
      <c r="B243" s="143" t="s">
        <v>472</v>
      </c>
      <c r="C243" s="130">
        <v>1</v>
      </c>
      <c r="D243" s="129">
        <v>1</v>
      </c>
      <c r="E243" s="129">
        <v>1</v>
      </c>
      <c r="F243" s="129">
        <v>1</v>
      </c>
      <c r="G243" s="148">
        <v>3</v>
      </c>
      <c r="H243" s="148">
        <v>3</v>
      </c>
      <c r="I243" s="148">
        <v>6</v>
      </c>
      <c r="J243" s="148" t="s">
        <v>1660</v>
      </c>
      <c r="K243" s="148" t="s">
        <v>1660</v>
      </c>
      <c r="L243" s="148" t="s">
        <v>1660</v>
      </c>
      <c r="M243" s="148" t="s">
        <v>1660</v>
      </c>
      <c r="N243" s="148" t="s">
        <v>1660</v>
      </c>
      <c r="O243" s="148" t="s">
        <v>1660</v>
      </c>
      <c r="P243" s="148" t="s">
        <v>1660</v>
      </c>
      <c r="Q243" s="486">
        <v>30</v>
      </c>
      <c r="R243" s="145">
        <f>C243*G243*I243*Q243</f>
        <v>540</v>
      </c>
      <c r="S243" s="146" t="e">
        <f>D243*G243*K243*Q243</f>
        <v>#VALUE!</v>
      </c>
      <c r="T243" s="146" t="e">
        <f>E243*G243*M243*Q243</f>
        <v>#VALUE!</v>
      </c>
      <c r="U243" s="146" t="e">
        <f>F243*G243*O243*Q243</f>
        <v>#VALUE!</v>
      </c>
      <c r="V243" s="145">
        <f>C243*H243*I243*Q243</f>
        <v>540</v>
      </c>
      <c r="W243" s="146" t="e">
        <f>D243*H243*K243*Q243</f>
        <v>#VALUE!</v>
      </c>
      <c r="X243" s="146" t="e">
        <f>E243*H243*M243*Q243</f>
        <v>#VALUE!</v>
      </c>
      <c r="Y243" s="146" t="e">
        <f>F243*H243*O243*Q243</f>
        <v>#VALUE!</v>
      </c>
      <c r="Z243" s="147">
        <f t="shared" si="158"/>
        <v>1</v>
      </c>
      <c r="AA243" s="147" t="e">
        <f t="shared" si="158"/>
        <v>#VALUE!</v>
      </c>
      <c r="AB243" s="147" t="e">
        <f t="shared" si="158"/>
        <v>#VALUE!</v>
      </c>
      <c r="AC243" s="147" t="e">
        <f t="shared" si="158"/>
        <v>#VALUE!</v>
      </c>
    </row>
    <row r="244" spans="1:29" s="96" customFormat="1" ht="15" customHeight="1">
      <c r="A244" s="477" t="s">
        <v>44</v>
      </c>
      <c r="B244" s="513" t="s">
        <v>478</v>
      </c>
      <c r="C244" s="478"/>
      <c r="D244" s="515"/>
      <c r="E244" s="515"/>
      <c r="F244" s="515"/>
      <c r="G244" s="480"/>
      <c r="H244" s="480"/>
      <c r="I244" s="481"/>
      <c r="J244" s="482"/>
      <c r="K244" s="481"/>
      <c r="L244" s="482"/>
      <c r="M244" s="481"/>
      <c r="N244" s="482"/>
      <c r="O244" s="481"/>
      <c r="P244" s="482"/>
      <c r="Q244" s="483"/>
      <c r="R244" s="508">
        <v>0</v>
      </c>
      <c r="S244" s="509">
        <v>0</v>
      </c>
      <c r="T244" s="509">
        <v>0</v>
      </c>
      <c r="U244" s="509">
        <v>0</v>
      </c>
      <c r="V244" s="508">
        <v>0</v>
      </c>
      <c r="W244" s="509">
        <v>0</v>
      </c>
      <c r="X244" s="509">
        <v>0</v>
      </c>
      <c r="Y244" s="509">
        <v>0</v>
      </c>
      <c r="Z244" s="512" t="e">
        <v>#DIV/0!</v>
      </c>
      <c r="AA244" s="512" t="e">
        <v>#DIV/0!</v>
      </c>
      <c r="AB244" s="512" t="e">
        <v>#DIV/0!</v>
      </c>
      <c r="AC244" s="512" t="e">
        <v>#DIV/0!</v>
      </c>
    </row>
    <row r="245" spans="1:29" s="96" customFormat="1" ht="15" customHeight="1">
      <c r="A245" s="516"/>
      <c r="B245" s="517" t="s">
        <v>734</v>
      </c>
      <c r="C245" s="518"/>
      <c r="D245" s="519"/>
      <c r="E245" s="519"/>
      <c r="F245" s="519"/>
      <c r="G245" s="520"/>
      <c r="H245" s="520"/>
      <c r="I245" s="521"/>
      <c r="J245" s="522"/>
      <c r="K245" s="521"/>
      <c r="L245" s="522"/>
      <c r="M245" s="521"/>
      <c r="N245" s="522"/>
      <c r="O245" s="521"/>
      <c r="P245" s="522"/>
      <c r="Q245" s="539"/>
      <c r="R245" s="523"/>
      <c r="S245" s="524"/>
      <c r="T245" s="524"/>
      <c r="U245" s="524"/>
      <c r="V245" s="523"/>
      <c r="W245" s="524"/>
      <c r="X245" s="524"/>
      <c r="Y245" s="524"/>
      <c r="Z245" s="525"/>
      <c r="AA245" s="525"/>
      <c r="AB245" s="525"/>
      <c r="AC245" s="525"/>
    </row>
    <row r="246" spans="1:29" s="96" customFormat="1" ht="15" customHeight="1">
      <c r="A246" s="526">
        <v>1</v>
      </c>
      <c r="B246" s="577" t="s">
        <v>462</v>
      </c>
      <c r="C246" s="527">
        <v>1</v>
      </c>
      <c r="D246" s="528">
        <v>1</v>
      </c>
      <c r="E246" s="528">
        <v>1</v>
      </c>
      <c r="F246" s="528">
        <v>1</v>
      </c>
      <c r="G246" s="529">
        <v>3</v>
      </c>
      <c r="H246" s="529">
        <v>3</v>
      </c>
      <c r="I246" s="529">
        <v>24</v>
      </c>
      <c r="J246" s="529" t="s">
        <v>996</v>
      </c>
      <c r="K246" s="529">
        <v>24</v>
      </c>
      <c r="L246" s="529" t="s">
        <v>996</v>
      </c>
      <c r="M246" s="529">
        <v>24</v>
      </c>
      <c r="N246" s="529" t="s">
        <v>996</v>
      </c>
      <c r="O246" s="529">
        <v>24</v>
      </c>
      <c r="P246" s="529" t="s">
        <v>996</v>
      </c>
      <c r="Q246" s="540">
        <v>30</v>
      </c>
      <c r="R246" s="530">
        <v>2160</v>
      </c>
      <c r="S246" s="531">
        <v>2160</v>
      </c>
      <c r="T246" s="531">
        <v>2160</v>
      </c>
      <c r="U246" s="531">
        <v>2160</v>
      </c>
      <c r="V246" s="530">
        <v>2160</v>
      </c>
      <c r="W246" s="531">
        <v>2160</v>
      </c>
      <c r="X246" s="531">
        <v>2160</v>
      </c>
      <c r="Y246" s="531">
        <v>2160</v>
      </c>
      <c r="Z246" s="532">
        <v>1</v>
      </c>
      <c r="AA246" s="532">
        <v>1</v>
      </c>
      <c r="AB246" s="532">
        <v>1</v>
      </c>
      <c r="AC246" s="532">
        <v>1</v>
      </c>
    </row>
    <row r="247" spans="1:29" s="96" customFormat="1" ht="15" customHeight="1">
      <c r="A247" s="526">
        <v>2</v>
      </c>
      <c r="B247" s="577" t="s">
        <v>464</v>
      </c>
      <c r="C247" s="527">
        <v>1</v>
      </c>
      <c r="D247" s="528">
        <v>1</v>
      </c>
      <c r="E247" s="528">
        <v>1</v>
      </c>
      <c r="F247" s="528">
        <v>1</v>
      </c>
      <c r="G247" s="529">
        <v>0.28999999999999998</v>
      </c>
      <c r="H247" s="529">
        <v>0.28999999999999998</v>
      </c>
      <c r="I247" s="529">
        <v>24</v>
      </c>
      <c r="J247" s="529" t="s">
        <v>996</v>
      </c>
      <c r="K247" s="529">
        <v>24</v>
      </c>
      <c r="L247" s="529" t="s">
        <v>996</v>
      </c>
      <c r="M247" s="529">
        <v>24</v>
      </c>
      <c r="N247" s="529" t="s">
        <v>996</v>
      </c>
      <c r="O247" s="529">
        <v>24</v>
      </c>
      <c r="P247" s="529" t="s">
        <v>996</v>
      </c>
      <c r="Q247" s="540">
        <v>30</v>
      </c>
      <c r="R247" s="530">
        <v>208.79999999999998</v>
      </c>
      <c r="S247" s="531">
        <v>208.79999999999998</v>
      </c>
      <c r="T247" s="531">
        <v>208.79999999999998</v>
      </c>
      <c r="U247" s="531">
        <v>208.79999999999998</v>
      </c>
      <c r="V247" s="530">
        <v>208.79999999999998</v>
      </c>
      <c r="W247" s="531">
        <v>208.79999999999998</v>
      </c>
      <c r="X247" s="531">
        <v>208.79999999999998</v>
      </c>
      <c r="Y247" s="531">
        <v>208.79999999999998</v>
      </c>
      <c r="Z247" s="532">
        <v>1</v>
      </c>
      <c r="AA247" s="532">
        <v>1</v>
      </c>
      <c r="AB247" s="532">
        <v>1</v>
      </c>
      <c r="AC247" s="532">
        <v>1</v>
      </c>
    </row>
    <row r="248" spans="1:29" s="96" customFormat="1" ht="15" customHeight="1">
      <c r="A248" s="526">
        <v>3</v>
      </c>
      <c r="B248" s="577" t="s">
        <v>480</v>
      </c>
      <c r="C248" s="527">
        <v>1</v>
      </c>
      <c r="D248" s="528">
        <v>1</v>
      </c>
      <c r="E248" s="528">
        <v>1</v>
      </c>
      <c r="F248" s="528">
        <v>1</v>
      </c>
      <c r="G248" s="529">
        <v>1.05</v>
      </c>
      <c r="H248" s="529">
        <v>1.05</v>
      </c>
      <c r="I248" s="529">
        <v>24</v>
      </c>
      <c r="J248" s="529" t="s">
        <v>996</v>
      </c>
      <c r="K248" s="529">
        <v>24</v>
      </c>
      <c r="L248" s="529" t="s">
        <v>996</v>
      </c>
      <c r="M248" s="529">
        <v>24</v>
      </c>
      <c r="N248" s="529" t="s">
        <v>996</v>
      </c>
      <c r="O248" s="529">
        <v>24</v>
      </c>
      <c r="P248" s="529" t="s">
        <v>996</v>
      </c>
      <c r="Q248" s="540">
        <v>30</v>
      </c>
      <c r="R248" s="530">
        <v>756.00000000000011</v>
      </c>
      <c r="S248" s="531">
        <v>756.00000000000011</v>
      </c>
      <c r="T248" s="531">
        <v>756.00000000000011</v>
      </c>
      <c r="U248" s="531">
        <v>756.00000000000011</v>
      </c>
      <c r="V248" s="530">
        <v>756.00000000000011</v>
      </c>
      <c r="W248" s="531">
        <v>756.00000000000011</v>
      </c>
      <c r="X248" s="531">
        <v>756.00000000000011</v>
      </c>
      <c r="Y248" s="531">
        <v>756.00000000000011</v>
      </c>
      <c r="Z248" s="532">
        <v>1</v>
      </c>
      <c r="AA248" s="532">
        <v>1</v>
      </c>
      <c r="AB248" s="532">
        <v>1</v>
      </c>
      <c r="AC248" s="532">
        <v>1</v>
      </c>
    </row>
    <row r="249" spans="1:29" s="96" customFormat="1" ht="15" customHeight="1">
      <c r="A249" s="526">
        <v>4</v>
      </c>
      <c r="B249" s="577" t="s">
        <v>481</v>
      </c>
      <c r="C249" s="527">
        <v>1</v>
      </c>
      <c r="D249" s="528">
        <v>1</v>
      </c>
      <c r="E249" s="528">
        <v>1</v>
      </c>
      <c r="F249" s="528">
        <v>1</v>
      </c>
      <c r="G249" s="529">
        <v>5</v>
      </c>
      <c r="H249" s="529">
        <v>5</v>
      </c>
      <c r="I249" s="529" t="s">
        <v>887</v>
      </c>
      <c r="J249" s="529" t="s">
        <v>1657</v>
      </c>
      <c r="K249" s="529" t="s">
        <v>887</v>
      </c>
      <c r="L249" s="529" t="s">
        <v>1657</v>
      </c>
      <c r="M249" s="529" t="s">
        <v>887</v>
      </c>
      <c r="N249" s="529" t="s">
        <v>1657</v>
      </c>
      <c r="O249" s="529" t="s">
        <v>887</v>
      </c>
      <c r="P249" s="529" t="s">
        <v>1657</v>
      </c>
      <c r="Q249" s="540">
        <v>30</v>
      </c>
      <c r="R249" s="530" t="e">
        <v>#VALUE!</v>
      </c>
      <c r="S249" s="531" t="e">
        <v>#VALUE!</v>
      </c>
      <c r="T249" s="531" t="e">
        <v>#VALUE!</v>
      </c>
      <c r="U249" s="531" t="e">
        <v>#VALUE!</v>
      </c>
      <c r="V249" s="530" t="e">
        <v>#VALUE!</v>
      </c>
      <c r="W249" s="531" t="e">
        <v>#VALUE!</v>
      </c>
      <c r="X249" s="531" t="e">
        <v>#VALUE!</v>
      </c>
      <c r="Y249" s="531" t="e">
        <v>#VALUE!</v>
      </c>
      <c r="Z249" s="533" t="e">
        <v>#VALUE!</v>
      </c>
      <c r="AA249" s="533" t="e">
        <v>#VALUE!</v>
      </c>
      <c r="AB249" s="533" t="e">
        <v>#VALUE!</v>
      </c>
      <c r="AC249" s="533" t="e">
        <v>#VALUE!</v>
      </c>
    </row>
    <row r="250" spans="1:29" s="96" customFormat="1" ht="15" customHeight="1">
      <c r="A250" s="526">
        <v>5</v>
      </c>
      <c r="B250" s="577" t="s">
        <v>455</v>
      </c>
      <c r="C250" s="527">
        <v>1</v>
      </c>
      <c r="D250" s="528">
        <v>1</v>
      </c>
      <c r="E250" s="528">
        <v>1</v>
      </c>
      <c r="F250" s="528">
        <v>1</v>
      </c>
      <c r="G250" s="529">
        <v>8.1</v>
      </c>
      <c r="H250" s="529">
        <v>8.1</v>
      </c>
      <c r="I250" s="529">
        <v>6</v>
      </c>
      <c r="J250" s="529" t="s">
        <v>1694</v>
      </c>
      <c r="K250" s="529">
        <v>9</v>
      </c>
      <c r="L250" s="529" t="s">
        <v>1694</v>
      </c>
      <c r="M250" s="529">
        <v>9</v>
      </c>
      <c r="N250" s="529" t="s">
        <v>1694</v>
      </c>
      <c r="O250" s="529">
        <v>9</v>
      </c>
      <c r="P250" s="529" t="s">
        <v>1694</v>
      </c>
      <c r="Q250" s="540">
        <v>30</v>
      </c>
      <c r="R250" s="530">
        <v>1457.9999999999998</v>
      </c>
      <c r="S250" s="531">
        <v>2186.9999999999995</v>
      </c>
      <c r="T250" s="531">
        <v>2186.9999999999995</v>
      </c>
      <c r="U250" s="531">
        <v>2186.9999999999995</v>
      </c>
      <c r="V250" s="530">
        <v>1457.9999999999998</v>
      </c>
      <c r="W250" s="531">
        <v>2186.9999999999995</v>
      </c>
      <c r="X250" s="531">
        <v>2186.9999999999995</v>
      </c>
      <c r="Y250" s="531">
        <v>2186.9999999999995</v>
      </c>
      <c r="Z250" s="533">
        <v>1</v>
      </c>
      <c r="AA250" s="533">
        <v>1</v>
      </c>
      <c r="AB250" s="533">
        <v>1</v>
      </c>
      <c r="AC250" s="533">
        <v>1</v>
      </c>
    </row>
    <row r="251" spans="1:29" s="96" customFormat="1" ht="15" customHeight="1">
      <c r="A251" s="526">
        <v>6</v>
      </c>
      <c r="B251" s="577" t="s">
        <v>735</v>
      </c>
      <c r="C251" s="527">
        <v>2</v>
      </c>
      <c r="D251" s="528">
        <v>2</v>
      </c>
      <c r="E251" s="528">
        <v>2</v>
      </c>
      <c r="F251" s="528">
        <v>2</v>
      </c>
      <c r="G251" s="529">
        <v>0.21</v>
      </c>
      <c r="H251" s="529">
        <v>0.21</v>
      </c>
      <c r="I251" s="529">
        <v>24</v>
      </c>
      <c r="J251" s="529" t="s">
        <v>996</v>
      </c>
      <c r="K251" s="529">
        <v>24</v>
      </c>
      <c r="L251" s="529" t="s">
        <v>996</v>
      </c>
      <c r="M251" s="529">
        <v>24</v>
      </c>
      <c r="N251" s="529" t="s">
        <v>996</v>
      </c>
      <c r="O251" s="529">
        <v>24</v>
      </c>
      <c r="P251" s="529" t="s">
        <v>996</v>
      </c>
      <c r="Q251" s="540">
        <v>30</v>
      </c>
      <c r="R251" s="530">
        <v>302.39999999999998</v>
      </c>
      <c r="S251" s="531">
        <v>302.39999999999998</v>
      </c>
      <c r="T251" s="531">
        <v>302.39999999999998</v>
      </c>
      <c r="U251" s="531">
        <v>302.39999999999998</v>
      </c>
      <c r="V251" s="530">
        <v>302.39999999999998</v>
      </c>
      <c r="W251" s="531">
        <v>302.39999999999998</v>
      </c>
      <c r="X251" s="531">
        <v>302.39999999999998</v>
      </c>
      <c r="Y251" s="531">
        <v>302.39999999999998</v>
      </c>
      <c r="Z251" s="533">
        <v>1</v>
      </c>
      <c r="AA251" s="533">
        <v>1</v>
      </c>
      <c r="AB251" s="533">
        <v>1</v>
      </c>
      <c r="AC251" s="533">
        <v>1</v>
      </c>
    </row>
    <row r="252" spans="1:29" s="96" customFormat="1" ht="15" customHeight="1">
      <c r="A252" s="526">
        <v>7</v>
      </c>
      <c r="B252" s="577" t="s">
        <v>736</v>
      </c>
      <c r="C252" s="527">
        <v>2</v>
      </c>
      <c r="D252" s="528">
        <v>2</v>
      </c>
      <c r="E252" s="528">
        <v>2</v>
      </c>
      <c r="F252" s="528">
        <v>2</v>
      </c>
      <c r="G252" s="148">
        <v>0.15</v>
      </c>
      <c r="H252" s="148">
        <v>0.15</v>
      </c>
      <c r="I252" s="529">
        <v>8</v>
      </c>
      <c r="J252" s="529" t="s">
        <v>1120</v>
      </c>
      <c r="K252" s="529">
        <v>8</v>
      </c>
      <c r="L252" s="529" t="s">
        <v>1120</v>
      </c>
      <c r="M252" s="529">
        <v>8</v>
      </c>
      <c r="N252" s="529" t="s">
        <v>1120</v>
      </c>
      <c r="O252" s="529">
        <v>8</v>
      </c>
      <c r="P252" s="529" t="s">
        <v>1120</v>
      </c>
      <c r="Q252" s="540">
        <v>30</v>
      </c>
      <c r="R252" s="530"/>
      <c r="S252" s="531"/>
      <c r="T252" s="531"/>
      <c r="U252" s="531"/>
      <c r="V252" s="530"/>
      <c r="W252" s="531"/>
      <c r="X252" s="531"/>
      <c r="Y252" s="531"/>
      <c r="Z252" s="533"/>
      <c r="AA252" s="533"/>
      <c r="AB252" s="533"/>
      <c r="AC252" s="533"/>
    </row>
    <row r="253" spans="1:29" s="96" customFormat="1" ht="15" customHeight="1">
      <c r="A253" s="526">
        <v>8</v>
      </c>
      <c r="B253" s="577" t="s">
        <v>737</v>
      </c>
      <c r="C253" s="527">
        <v>7</v>
      </c>
      <c r="D253" s="528">
        <v>7</v>
      </c>
      <c r="E253" s="528">
        <v>7</v>
      </c>
      <c r="F253" s="528">
        <v>7</v>
      </c>
      <c r="G253" s="148">
        <v>0.28999999999999998</v>
      </c>
      <c r="H253" s="148">
        <v>0.28999999999999998</v>
      </c>
      <c r="I253" s="529" t="s">
        <v>887</v>
      </c>
      <c r="J253" s="529" t="s">
        <v>1695</v>
      </c>
      <c r="K253" s="529" t="s">
        <v>887</v>
      </c>
      <c r="L253" s="529" t="s">
        <v>1695</v>
      </c>
      <c r="M253" s="529" t="s">
        <v>887</v>
      </c>
      <c r="N253" s="529" t="s">
        <v>1695</v>
      </c>
      <c r="O253" s="529" t="s">
        <v>887</v>
      </c>
      <c r="P253" s="529" t="s">
        <v>1695</v>
      </c>
      <c r="Q253" s="540">
        <v>30</v>
      </c>
      <c r="R253" s="530"/>
      <c r="S253" s="531"/>
      <c r="T253" s="531"/>
      <c r="U253" s="531"/>
      <c r="V253" s="530"/>
      <c r="W253" s="531"/>
      <c r="X253" s="531"/>
      <c r="Y253" s="531"/>
      <c r="Z253" s="533"/>
      <c r="AA253" s="533"/>
      <c r="AB253" s="533"/>
      <c r="AC253" s="533"/>
    </row>
    <row r="254" spans="1:29" s="96" customFormat="1" ht="15" customHeight="1">
      <c r="A254" s="526">
        <v>9</v>
      </c>
      <c r="B254" s="577" t="s">
        <v>671</v>
      </c>
      <c r="C254" s="527">
        <v>1</v>
      </c>
      <c r="D254" s="528">
        <v>1</v>
      </c>
      <c r="E254" s="528">
        <v>1</v>
      </c>
      <c r="F254" s="528">
        <v>1</v>
      </c>
      <c r="G254" s="529">
        <v>1</v>
      </c>
      <c r="H254" s="529">
        <v>1</v>
      </c>
      <c r="I254" s="529">
        <v>8</v>
      </c>
      <c r="J254" s="529" t="s">
        <v>1120</v>
      </c>
      <c r="K254" s="529">
        <v>8</v>
      </c>
      <c r="L254" s="529" t="s">
        <v>1120</v>
      </c>
      <c r="M254" s="529">
        <v>8</v>
      </c>
      <c r="N254" s="529" t="s">
        <v>1120</v>
      </c>
      <c r="O254" s="529">
        <v>8</v>
      </c>
      <c r="P254" s="529" t="s">
        <v>1120</v>
      </c>
      <c r="Q254" s="540">
        <v>30</v>
      </c>
      <c r="R254" s="530">
        <v>240</v>
      </c>
      <c r="S254" s="531">
        <v>240</v>
      </c>
      <c r="T254" s="531">
        <v>240</v>
      </c>
      <c r="U254" s="531">
        <v>240</v>
      </c>
      <c r="V254" s="530">
        <v>240</v>
      </c>
      <c r="W254" s="531">
        <v>240</v>
      </c>
      <c r="X254" s="531">
        <v>240</v>
      </c>
      <c r="Y254" s="531">
        <v>240</v>
      </c>
      <c r="Z254" s="533">
        <v>1</v>
      </c>
      <c r="AA254" s="533">
        <v>1</v>
      </c>
      <c r="AB254" s="533">
        <v>1</v>
      </c>
      <c r="AC254" s="533">
        <v>1</v>
      </c>
    </row>
    <row r="255" spans="1:29" s="96" customFormat="1" ht="15" customHeight="1">
      <c r="A255" s="526">
        <v>10</v>
      </c>
      <c r="B255" s="577" t="s">
        <v>681</v>
      </c>
      <c r="C255" s="527">
        <v>1</v>
      </c>
      <c r="D255" s="528">
        <v>1</v>
      </c>
      <c r="E255" s="528">
        <v>1</v>
      </c>
      <c r="F255" s="528">
        <v>1</v>
      </c>
      <c r="G255" s="520">
        <v>1</v>
      </c>
      <c r="H255" s="520">
        <v>1</v>
      </c>
      <c r="I255" s="529">
        <v>8</v>
      </c>
      <c r="J255" s="529" t="s">
        <v>1120</v>
      </c>
      <c r="K255" s="529">
        <v>8</v>
      </c>
      <c r="L255" s="529" t="s">
        <v>1120</v>
      </c>
      <c r="M255" s="529">
        <v>8</v>
      </c>
      <c r="N255" s="529" t="s">
        <v>1120</v>
      </c>
      <c r="O255" s="529">
        <v>8</v>
      </c>
      <c r="P255" s="529" t="s">
        <v>1120</v>
      </c>
      <c r="Q255" s="539"/>
      <c r="R255" s="530"/>
      <c r="S255" s="531"/>
      <c r="T255" s="531"/>
      <c r="U255" s="531"/>
      <c r="V255" s="530"/>
      <c r="W255" s="531"/>
      <c r="X255" s="531"/>
      <c r="Y255" s="531"/>
      <c r="Z255" s="525"/>
      <c r="AA255" s="525"/>
      <c r="AB255" s="525"/>
      <c r="AC255" s="525"/>
    </row>
    <row r="256" spans="1:29" s="96" customFormat="1" ht="15" customHeight="1">
      <c r="A256" s="526">
        <v>11</v>
      </c>
      <c r="B256" s="577" t="s">
        <v>808</v>
      </c>
      <c r="C256" s="527">
        <v>1</v>
      </c>
      <c r="D256" s="528">
        <v>1</v>
      </c>
      <c r="E256" s="528">
        <v>1</v>
      </c>
      <c r="F256" s="528">
        <v>1</v>
      </c>
      <c r="G256" s="520">
        <v>1</v>
      </c>
      <c r="H256" s="520">
        <v>1</v>
      </c>
      <c r="I256" s="529">
        <v>8</v>
      </c>
      <c r="J256" s="529" t="s">
        <v>1120</v>
      </c>
      <c r="K256" s="529">
        <v>8</v>
      </c>
      <c r="L256" s="529" t="s">
        <v>1120</v>
      </c>
      <c r="M256" s="529">
        <v>8</v>
      </c>
      <c r="N256" s="529" t="s">
        <v>1120</v>
      </c>
      <c r="O256" s="529">
        <v>8</v>
      </c>
      <c r="P256" s="529" t="s">
        <v>1120</v>
      </c>
      <c r="Q256" s="540">
        <v>30</v>
      </c>
      <c r="R256" s="530">
        <v>240</v>
      </c>
      <c r="S256" s="531">
        <v>240</v>
      </c>
      <c r="T256" s="531">
        <v>240</v>
      </c>
      <c r="U256" s="531">
        <v>240</v>
      </c>
      <c r="V256" s="530">
        <v>240</v>
      </c>
      <c r="W256" s="531">
        <v>240</v>
      </c>
      <c r="X256" s="531">
        <v>240</v>
      </c>
      <c r="Y256" s="531">
        <v>240</v>
      </c>
      <c r="Z256" s="533"/>
      <c r="AA256" s="533"/>
      <c r="AB256" s="533"/>
      <c r="AC256" s="533"/>
    </row>
    <row r="257" spans="1:29" s="96" customFormat="1" ht="15" customHeight="1">
      <c r="A257" s="526">
        <v>12</v>
      </c>
      <c r="B257" s="577" t="s">
        <v>341</v>
      </c>
      <c r="C257" s="527">
        <v>1</v>
      </c>
      <c r="D257" s="527">
        <v>1</v>
      </c>
      <c r="E257" s="527">
        <v>1</v>
      </c>
      <c r="F257" s="527">
        <v>1</v>
      </c>
      <c r="G257" s="529" t="s">
        <v>1696</v>
      </c>
      <c r="H257" s="529" t="s">
        <v>1696</v>
      </c>
      <c r="I257" s="529">
        <v>24</v>
      </c>
      <c r="J257" s="529" t="s">
        <v>996</v>
      </c>
      <c r="K257" s="529">
        <v>24</v>
      </c>
      <c r="L257" s="529" t="s">
        <v>996</v>
      </c>
      <c r="M257" s="529">
        <v>24</v>
      </c>
      <c r="N257" s="529" t="s">
        <v>996</v>
      </c>
      <c r="O257" s="529">
        <v>24</v>
      </c>
      <c r="P257" s="529" t="s">
        <v>996</v>
      </c>
      <c r="Q257" s="540">
        <v>30</v>
      </c>
      <c r="R257" s="530" t="e">
        <v>#VALUE!</v>
      </c>
      <c r="S257" s="531" t="e">
        <v>#VALUE!</v>
      </c>
      <c r="T257" s="531" t="e">
        <v>#VALUE!</v>
      </c>
      <c r="U257" s="531" t="e">
        <v>#VALUE!</v>
      </c>
      <c r="V257" s="530" t="e">
        <v>#VALUE!</v>
      </c>
      <c r="W257" s="531" t="e">
        <v>#VALUE!</v>
      </c>
      <c r="X257" s="531" t="e">
        <v>#VALUE!</v>
      </c>
      <c r="Y257" s="531" t="e">
        <v>#VALUE!</v>
      </c>
      <c r="Z257" s="533" t="e">
        <v>#VALUE!</v>
      </c>
      <c r="AA257" s="533" t="e">
        <v>#VALUE!</v>
      </c>
      <c r="AB257" s="533" t="e">
        <v>#VALUE!</v>
      </c>
      <c r="AC257" s="533" t="e">
        <v>#VALUE!</v>
      </c>
    </row>
    <row r="258" spans="1:29" s="96" customFormat="1" ht="15" customHeight="1">
      <c r="A258" s="526">
        <v>13</v>
      </c>
      <c r="B258" s="577" t="s">
        <v>741</v>
      </c>
      <c r="C258" s="527">
        <v>1</v>
      </c>
      <c r="D258" s="527">
        <v>1</v>
      </c>
      <c r="E258" s="527">
        <v>1</v>
      </c>
      <c r="F258" s="527">
        <v>1</v>
      </c>
      <c r="G258" s="529">
        <v>0.1</v>
      </c>
      <c r="H258" s="529">
        <v>0.1</v>
      </c>
      <c r="I258" s="529">
        <v>8</v>
      </c>
      <c r="J258" s="529" t="s">
        <v>1697</v>
      </c>
      <c r="K258" s="529">
        <v>8</v>
      </c>
      <c r="L258" s="529" t="s">
        <v>1697</v>
      </c>
      <c r="M258" s="529">
        <v>8</v>
      </c>
      <c r="N258" s="529" t="s">
        <v>1697</v>
      </c>
      <c r="O258" s="529">
        <v>8</v>
      </c>
      <c r="P258" s="529" t="s">
        <v>1697</v>
      </c>
      <c r="Q258" s="540"/>
      <c r="R258" s="530"/>
      <c r="S258" s="531"/>
      <c r="T258" s="531"/>
      <c r="U258" s="531"/>
      <c r="V258" s="530"/>
      <c r="W258" s="531"/>
      <c r="X258" s="531"/>
      <c r="Y258" s="531"/>
      <c r="Z258" s="533"/>
      <c r="AA258" s="533"/>
      <c r="AB258" s="533"/>
      <c r="AC258" s="533"/>
    </row>
    <row r="259" spans="1:29" s="591" customFormat="1">
      <c r="A259" s="583">
        <v>14</v>
      </c>
      <c r="B259" s="584" t="s">
        <v>719</v>
      </c>
      <c r="C259" s="585">
        <v>1</v>
      </c>
      <c r="D259" s="585">
        <v>1</v>
      </c>
      <c r="E259" s="585">
        <v>1</v>
      </c>
      <c r="F259" s="585">
        <v>1</v>
      </c>
      <c r="G259" s="586">
        <v>0.21</v>
      </c>
      <c r="H259" s="586">
        <v>0.21</v>
      </c>
      <c r="I259" s="586">
        <v>24</v>
      </c>
      <c r="J259" s="586" t="s">
        <v>996</v>
      </c>
      <c r="K259" s="586">
        <v>24</v>
      </c>
      <c r="L259" s="586" t="s">
        <v>996</v>
      </c>
      <c r="M259" s="586">
        <v>24</v>
      </c>
      <c r="N259" s="586" t="s">
        <v>996</v>
      </c>
      <c r="O259" s="586">
        <v>24</v>
      </c>
      <c r="P259" s="586" t="s">
        <v>996</v>
      </c>
      <c r="Q259" s="587">
        <v>30</v>
      </c>
      <c r="R259" s="588">
        <f t="shared" ref="R259:R260" si="159">C259*G259*I259*Q259</f>
        <v>151.19999999999999</v>
      </c>
      <c r="S259" s="589">
        <f t="shared" ref="S259:S260" si="160">D259*G259*K259*Q259</f>
        <v>151.19999999999999</v>
      </c>
      <c r="T259" s="589">
        <f t="shared" ref="T259:T260" si="161">E259*G259*M259*Q259</f>
        <v>151.19999999999999</v>
      </c>
      <c r="U259" s="589">
        <f t="shared" ref="U259:U260" si="162">F259*G259*O259*Q259</f>
        <v>151.19999999999999</v>
      </c>
      <c r="V259" s="588">
        <f t="shared" ref="V259:V260" si="163">C259*H259*I259*Q259</f>
        <v>151.19999999999999</v>
      </c>
      <c r="W259" s="589">
        <f t="shared" ref="W259:W260" si="164">D259*H259*K259*Q259</f>
        <v>151.19999999999999</v>
      </c>
      <c r="X259" s="589">
        <f t="shared" ref="X259:X260" si="165">E259*H259*M259*Q259</f>
        <v>151.19999999999999</v>
      </c>
      <c r="Y259" s="589">
        <f t="shared" ref="Y259:Y260" si="166">F259*H259*O259*Q259</f>
        <v>151.19999999999999</v>
      </c>
      <c r="Z259" s="590">
        <f t="shared" ref="Z259:Z260" si="167">V259/R259</f>
        <v>1</v>
      </c>
      <c r="AA259" s="590">
        <f t="shared" ref="AA259:AA260" si="168">W259/S259</f>
        <v>1</v>
      </c>
      <c r="AB259" s="590">
        <f t="shared" ref="AB259:AB260" si="169">X259/T259</f>
        <v>1</v>
      </c>
      <c r="AC259" s="590">
        <f t="shared" ref="AC259:AC260" si="170">Y259/U259</f>
        <v>1</v>
      </c>
    </row>
    <row r="260" spans="1:29" s="591" customFormat="1" ht="21.75" customHeight="1">
      <c r="A260" s="583">
        <v>15</v>
      </c>
      <c r="B260" s="584" t="s">
        <v>469</v>
      </c>
      <c r="C260" s="592">
        <v>1</v>
      </c>
      <c r="D260" s="593">
        <v>1</v>
      </c>
      <c r="E260" s="593">
        <v>1</v>
      </c>
      <c r="F260" s="593">
        <v>3</v>
      </c>
      <c r="G260" s="586">
        <v>0.3</v>
      </c>
      <c r="H260" s="586">
        <v>0.3</v>
      </c>
      <c r="I260" s="586">
        <v>24</v>
      </c>
      <c r="J260" s="586" t="s">
        <v>996</v>
      </c>
      <c r="K260" s="586">
        <v>24</v>
      </c>
      <c r="L260" s="586" t="s">
        <v>996</v>
      </c>
      <c r="M260" s="586">
        <v>24</v>
      </c>
      <c r="N260" s="586" t="s">
        <v>996</v>
      </c>
      <c r="O260" s="586">
        <v>24</v>
      </c>
      <c r="P260" s="586" t="s">
        <v>996</v>
      </c>
      <c r="Q260" s="587">
        <v>30</v>
      </c>
      <c r="R260" s="588">
        <f t="shared" si="159"/>
        <v>215.99999999999997</v>
      </c>
      <c r="S260" s="589">
        <f t="shared" si="160"/>
        <v>215.99999999999997</v>
      </c>
      <c r="T260" s="589">
        <f t="shared" si="161"/>
        <v>215.99999999999997</v>
      </c>
      <c r="U260" s="589">
        <f t="shared" si="162"/>
        <v>647.99999999999989</v>
      </c>
      <c r="V260" s="588">
        <f t="shared" si="163"/>
        <v>215.99999999999997</v>
      </c>
      <c r="W260" s="589">
        <f t="shared" si="164"/>
        <v>215.99999999999997</v>
      </c>
      <c r="X260" s="589">
        <f t="shared" si="165"/>
        <v>215.99999999999997</v>
      </c>
      <c r="Y260" s="589">
        <f t="shared" si="166"/>
        <v>647.99999999999989</v>
      </c>
      <c r="Z260" s="594">
        <f t="shared" si="167"/>
        <v>1</v>
      </c>
      <c r="AA260" s="594">
        <f t="shared" si="168"/>
        <v>1</v>
      </c>
      <c r="AB260" s="594">
        <f t="shared" si="169"/>
        <v>1</v>
      </c>
      <c r="AC260" s="594">
        <f t="shared" si="170"/>
        <v>1</v>
      </c>
    </row>
    <row r="261" spans="1:29" s="96" customFormat="1" ht="15" customHeight="1">
      <c r="A261" s="534"/>
      <c r="B261" s="517" t="s">
        <v>738</v>
      </c>
      <c r="C261" s="535"/>
      <c r="D261" s="535"/>
      <c r="E261" s="535"/>
      <c r="F261" s="535"/>
      <c r="G261" s="520"/>
      <c r="H261" s="520"/>
      <c r="I261" s="520"/>
      <c r="J261" s="520"/>
      <c r="K261" s="520"/>
      <c r="L261" s="520"/>
      <c r="M261" s="520"/>
      <c r="N261" s="520"/>
      <c r="O261" s="520"/>
      <c r="P261" s="520"/>
      <c r="Q261" s="539"/>
      <c r="R261" s="523"/>
      <c r="S261" s="524"/>
      <c r="T261" s="524"/>
      <c r="U261" s="524"/>
      <c r="V261" s="523"/>
      <c r="W261" s="524"/>
      <c r="X261" s="524"/>
      <c r="Y261" s="524"/>
      <c r="Z261" s="536"/>
      <c r="AA261" s="536"/>
      <c r="AB261" s="536"/>
      <c r="AC261" s="536"/>
    </row>
    <row r="262" spans="1:29" s="96" customFormat="1" ht="15" customHeight="1">
      <c r="A262" s="526">
        <v>1</v>
      </c>
      <c r="B262" s="577" t="s">
        <v>479</v>
      </c>
      <c r="C262" s="527">
        <v>1</v>
      </c>
      <c r="D262" s="528">
        <v>1</v>
      </c>
      <c r="E262" s="528">
        <v>1</v>
      </c>
      <c r="F262" s="528">
        <v>1</v>
      </c>
      <c r="G262" s="529">
        <v>3.4</v>
      </c>
      <c r="H262" s="529">
        <v>3.4</v>
      </c>
      <c r="I262" s="529">
        <v>8</v>
      </c>
      <c r="J262" s="529" t="s">
        <v>1120</v>
      </c>
      <c r="K262" s="529">
        <v>8</v>
      </c>
      <c r="L262" s="529" t="s">
        <v>1120</v>
      </c>
      <c r="M262" s="529">
        <v>8</v>
      </c>
      <c r="N262" s="529" t="s">
        <v>1120</v>
      </c>
      <c r="O262" s="529">
        <v>8</v>
      </c>
      <c r="P262" s="529" t="s">
        <v>1120</v>
      </c>
      <c r="Q262" s="540">
        <v>30</v>
      </c>
      <c r="R262" s="530">
        <v>816</v>
      </c>
      <c r="S262" s="531">
        <v>816</v>
      </c>
      <c r="T262" s="531">
        <v>816</v>
      </c>
      <c r="U262" s="531">
        <v>816</v>
      </c>
      <c r="V262" s="530">
        <v>816</v>
      </c>
      <c r="W262" s="531">
        <v>816</v>
      </c>
      <c r="X262" s="531">
        <v>816</v>
      </c>
      <c r="Y262" s="531">
        <v>816</v>
      </c>
      <c r="Z262" s="532">
        <v>1</v>
      </c>
      <c r="AA262" s="532">
        <v>1</v>
      </c>
      <c r="AB262" s="532">
        <v>1</v>
      </c>
      <c r="AC262" s="532">
        <v>1</v>
      </c>
    </row>
    <row r="263" spans="1:29" s="96" customFormat="1" ht="15" customHeight="1">
      <c r="A263" s="526">
        <v>2</v>
      </c>
      <c r="B263" s="577" t="s">
        <v>480</v>
      </c>
      <c r="C263" s="527">
        <v>1</v>
      </c>
      <c r="D263" s="528">
        <v>1</v>
      </c>
      <c r="E263" s="528">
        <v>1</v>
      </c>
      <c r="F263" s="528">
        <v>1</v>
      </c>
      <c r="G263" s="529">
        <v>1.05</v>
      </c>
      <c r="H263" s="529">
        <v>1.05</v>
      </c>
      <c r="I263" s="529">
        <v>24</v>
      </c>
      <c r="J263" s="529" t="s">
        <v>996</v>
      </c>
      <c r="K263" s="529">
        <v>24</v>
      </c>
      <c r="L263" s="529" t="s">
        <v>996</v>
      </c>
      <c r="M263" s="529">
        <v>24</v>
      </c>
      <c r="N263" s="529" t="s">
        <v>996</v>
      </c>
      <c r="O263" s="529">
        <v>24</v>
      </c>
      <c r="P263" s="529" t="s">
        <v>996</v>
      </c>
      <c r="Q263" s="540">
        <v>30</v>
      </c>
      <c r="R263" s="530">
        <v>756.00000000000011</v>
      </c>
      <c r="S263" s="531">
        <v>756.00000000000011</v>
      </c>
      <c r="T263" s="531">
        <v>756.00000000000011</v>
      </c>
      <c r="U263" s="531">
        <v>756.00000000000011</v>
      </c>
      <c r="V263" s="530">
        <v>756.00000000000011</v>
      </c>
      <c r="W263" s="531">
        <v>756.00000000000011</v>
      </c>
      <c r="X263" s="531">
        <v>756.00000000000011</v>
      </c>
      <c r="Y263" s="531">
        <v>756.00000000000011</v>
      </c>
      <c r="Z263" s="532">
        <v>1</v>
      </c>
      <c r="AA263" s="532">
        <v>1</v>
      </c>
      <c r="AB263" s="532">
        <v>1</v>
      </c>
      <c r="AC263" s="532">
        <v>1</v>
      </c>
    </row>
    <row r="264" spans="1:29" s="96" customFormat="1" ht="15" customHeight="1">
      <c r="A264" s="526">
        <v>3</v>
      </c>
      <c r="B264" s="577" t="s">
        <v>462</v>
      </c>
      <c r="C264" s="527">
        <v>2</v>
      </c>
      <c r="D264" s="528">
        <v>2</v>
      </c>
      <c r="E264" s="528">
        <v>2</v>
      </c>
      <c r="F264" s="528">
        <v>2</v>
      </c>
      <c r="G264" s="529">
        <v>3</v>
      </c>
      <c r="H264" s="529">
        <v>3</v>
      </c>
      <c r="I264" s="529">
        <v>24</v>
      </c>
      <c r="J264" s="529" t="s">
        <v>996</v>
      </c>
      <c r="K264" s="529">
        <v>24</v>
      </c>
      <c r="L264" s="529" t="s">
        <v>996</v>
      </c>
      <c r="M264" s="529">
        <v>24</v>
      </c>
      <c r="N264" s="529" t="s">
        <v>996</v>
      </c>
      <c r="O264" s="529">
        <v>24</v>
      </c>
      <c r="P264" s="529" t="s">
        <v>996</v>
      </c>
      <c r="Q264" s="540">
        <v>30</v>
      </c>
      <c r="R264" s="530">
        <v>4320</v>
      </c>
      <c r="S264" s="531">
        <v>4320</v>
      </c>
      <c r="T264" s="531">
        <v>4320</v>
      </c>
      <c r="U264" s="531">
        <v>4320</v>
      </c>
      <c r="V264" s="530">
        <v>4320</v>
      </c>
      <c r="W264" s="531">
        <v>4320</v>
      </c>
      <c r="X264" s="531">
        <v>4320</v>
      </c>
      <c r="Y264" s="531">
        <v>4320</v>
      </c>
      <c r="Z264" s="532">
        <v>1</v>
      </c>
      <c r="AA264" s="532">
        <v>1</v>
      </c>
      <c r="AB264" s="532">
        <v>1</v>
      </c>
      <c r="AC264" s="532">
        <v>1</v>
      </c>
    </row>
    <row r="265" spans="1:29" s="96" customFormat="1" ht="15" customHeight="1">
      <c r="A265" s="526">
        <v>4</v>
      </c>
      <c r="B265" s="577" t="s">
        <v>735</v>
      </c>
      <c r="C265" s="527">
        <v>2</v>
      </c>
      <c r="D265" s="528">
        <v>2</v>
      </c>
      <c r="E265" s="528">
        <v>2</v>
      </c>
      <c r="F265" s="528">
        <v>2</v>
      </c>
      <c r="G265" s="529">
        <v>0.21</v>
      </c>
      <c r="H265" s="529">
        <v>0.21</v>
      </c>
      <c r="I265" s="529">
        <v>24</v>
      </c>
      <c r="J265" s="529" t="s">
        <v>996</v>
      </c>
      <c r="K265" s="529">
        <v>24</v>
      </c>
      <c r="L265" s="529" t="s">
        <v>996</v>
      </c>
      <c r="M265" s="529">
        <v>24</v>
      </c>
      <c r="N265" s="529" t="s">
        <v>996</v>
      </c>
      <c r="O265" s="529">
        <v>24</v>
      </c>
      <c r="P265" s="529" t="s">
        <v>996</v>
      </c>
      <c r="Q265" s="540">
        <v>30</v>
      </c>
      <c r="R265" s="530">
        <v>302.39999999999998</v>
      </c>
      <c r="S265" s="531">
        <v>302.39999999999998</v>
      </c>
      <c r="T265" s="531">
        <v>302.39999999999998</v>
      </c>
      <c r="U265" s="531">
        <v>302.39999999999998</v>
      </c>
      <c r="V265" s="530">
        <v>302.39999999999998</v>
      </c>
      <c r="W265" s="531">
        <v>302.39999999999998</v>
      </c>
      <c r="X265" s="531">
        <v>302.39999999999998</v>
      </c>
      <c r="Y265" s="531">
        <v>302.39999999999998</v>
      </c>
      <c r="Z265" s="533">
        <v>1</v>
      </c>
      <c r="AA265" s="533">
        <v>1</v>
      </c>
      <c r="AB265" s="533">
        <v>1</v>
      </c>
      <c r="AC265" s="533">
        <v>1</v>
      </c>
    </row>
    <row r="266" spans="1:29" s="96" customFormat="1" ht="15" customHeight="1">
      <c r="A266" s="526">
        <v>5</v>
      </c>
      <c r="B266" s="578" t="s">
        <v>739</v>
      </c>
      <c r="C266" s="527">
        <v>2</v>
      </c>
      <c r="D266" s="527">
        <v>2</v>
      </c>
      <c r="E266" s="527">
        <v>2</v>
      </c>
      <c r="F266" s="527">
        <v>2</v>
      </c>
      <c r="G266" s="529">
        <v>0.3</v>
      </c>
      <c r="H266" s="529">
        <v>0.3</v>
      </c>
      <c r="I266" s="529">
        <v>24</v>
      </c>
      <c r="J266" s="529" t="s">
        <v>996</v>
      </c>
      <c r="K266" s="529">
        <v>24</v>
      </c>
      <c r="L266" s="529" t="s">
        <v>996</v>
      </c>
      <c r="M266" s="529">
        <v>24</v>
      </c>
      <c r="N266" s="529" t="s">
        <v>996</v>
      </c>
      <c r="O266" s="529">
        <v>24</v>
      </c>
      <c r="P266" s="529" t="s">
        <v>996</v>
      </c>
      <c r="Q266" s="540">
        <v>30</v>
      </c>
      <c r="R266" s="530">
        <v>431.99999999999994</v>
      </c>
      <c r="S266" s="531">
        <v>431.99999999999994</v>
      </c>
      <c r="T266" s="531">
        <v>431.99999999999994</v>
      </c>
      <c r="U266" s="531">
        <v>431.99999999999994</v>
      </c>
      <c r="V266" s="530">
        <v>431.99999999999994</v>
      </c>
      <c r="W266" s="531">
        <v>431.99999999999994</v>
      </c>
      <c r="X266" s="531">
        <v>431.99999999999994</v>
      </c>
      <c r="Y266" s="531">
        <v>431.99999999999994</v>
      </c>
      <c r="Z266" s="533"/>
      <c r="AA266" s="533"/>
      <c r="AB266" s="533"/>
      <c r="AC266" s="533"/>
    </row>
    <row r="267" spans="1:29" s="96" customFormat="1" ht="15" customHeight="1">
      <c r="A267" s="526">
        <v>6</v>
      </c>
      <c r="B267" s="577" t="s">
        <v>808</v>
      </c>
      <c r="C267" s="527">
        <v>1</v>
      </c>
      <c r="D267" s="528">
        <v>1</v>
      </c>
      <c r="E267" s="528">
        <v>1</v>
      </c>
      <c r="F267" s="528">
        <v>1</v>
      </c>
      <c r="G267" s="520">
        <v>1</v>
      </c>
      <c r="H267" s="520">
        <v>1</v>
      </c>
      <c r="I267" s="529">
        <v>8</v>
      </c>
      <c r="J267" s="529" t="s">
        <v>1120</v>
      </c>
      <c r="K267" s="529">
        <v>8</v>
      </c>
      <c r="L267" s="529" t="s">
        <v>1120</v>
      </c>
      <c r="M267" s="529">
        <v>8</v>
      </c>
      <c r="N267" s="529" t="s">
        <v>1120</v>
      </c>
      <c r="O267" s="529">
        <v>8</v>
      </c>
      <c r="P267" s="529" t="s">
        <v>1120</v>
      </c>
      <c r="Q267" s="540">
        <v>30</v>
      </c>
      <c r="R267" s="530">
        <v>240</v>
      </c>
      <c r="S267" s="531">
        <v>240</v>
      </c>
      <c r="T267" s="531">
        <v>240</v>
      </c>
      <c r="U267" s="531">
        <v>240</v>
      </c>
      <c r="V267" s="530">
        <v>240</v>
      </c>
      <c r="W267" s="531">
        <v>240</v>
      </c>
      <c r="X267" s="531">
        <v>240</v>
      </c>
      <c r="Y267" s="531">
        <v>240</v>
      </c>
      <c r="Z267" s="533"/>
      <c r="AA267" s="533"/>
      <c r="AB267" s="533"/>
      <c r="AC267" s="533"/>
    </row>
    <row r="268" spans="1:29" s="96" customFormat="1" ht="15" customHeight="1">
      <c r="A268" s="526">
        <v>7</v>
      </c>
      <c r="B268" s="577" t="s">
        <v>1698</v>
      </c>
      <c r="C268" s="527">
        <v>1</v>
      </c>
      <c r="D268" s="528">
        <v>1</v>
      </c>
      <c r="E268" s="528">
        <v>1</v>
      </c>
      <c r="F268" s="528">
        <v>1</v>
      </c>
      <c r="G268" s="520"/>
      <c r="H268" s="520"/>
      <c r="I268" s="529">
        <v>8</v>
      </c>
      <c r="J268" s="529" t="s">
        <v>1120</v>
      </c>
      <c r="K268" s="529">
        <v>8</v>
      </c>
      <c r="L268" s="529" t="s">
        <v>1120</v>
      </c>
      <c r="M268" s="529">
        <v>8</v>
      </c>
      <c r="N268" s="529" t="s">
        <v>1120</v>
      </c>
      <c r="O268" s="529">
        <v>8</v>
      </c>
      <c r="P268" s="529" t="s">
        <v>1120</v>
      </c>
      <c r="Q268" s="540"/>
      <c r="R268" s="530"/>
      <c r="S268" s="531"/>
      <c r="T268" s="531"/>
      <c r="U268" s="531"/>
      <c r="V268" s="530"/>
      <c r="W268" s="531"/>
      <c r="X268" s="531"/>
      <c r="Y268" s="531"/>
      <c r="Z268" s="533"/>
      <c r="AA268" s="533"/>
      <c r="AB268" s="533"/>
      <c r="AC268" s="533"/>
    </row>
    <row r="269" spans="1:29" s="96" customFormat="1" ht="15" customHeight="1">
      <c r="A269" s="526">
        <v>8</v>
      </c>
      <c r="B269" s="578" t="s">
        <v>349</v>
      </c>
      <c r="C269" s="527">
        <v>1</v>
      </c>
      <c r="D269" s="527">
        <v>1</v>
      </c>
      <c r="E269" s="527">
        <v>1</v>
      </c>
      <c r="F269" s="527">
        <v>1</v>
      </c>
      <c r="G269" s="520">
        <v>1</v>
      </c>
      <c r="H269" s="520">
        <v>1</v>
      </c>
      <c r="I269" s="529">
        <v>6</v>
      </c>
      <c r="J269" s="529" t="s">
        <v>1699</v>
      </c>
      <c r="K269" s="529">
        <v>6</v>
      </c>
      <c r="L269" s="529" t="s">
        <v>1120</v>
      </c>
      <c r="M269" s="529">
        <v>6</v>
      </c>
      <c r="N269" s="529" t="s">
        <v>1120</v>
      </c>
      <c r="O269" s="529">
        <v>6</v>
      </c>
      <c r="P269" s="529" t="s">
        <v>1120</v>
      </c>
      <c r="Q269" s="540"/>
      <c r="R269" s="530"/>
      <c r="S269" s="531"/>
      <c r="T269" s="531"/>
      <c r="U269" s="531"/>
      <c r="V269" s="530"/>
      <c r="W269" s="531"/>
      <c r="X269" s="531"/>
      <c r="Y269" s="531"/>
      <c r="Z269" s="533"/>
      <c r="AA269" s="533"/>
      <c r="AB269" s="533"/>
      <c r="AC269" s="533"/>
    </row>
    <row r="270" spans="1:29" s="96" customFormat="1" ht="15" customHeight="1">
      <c r="A270" s="534"/>
      <c r="B270" s="517" t="s">
        <v>740</v>
      </c>
      <c r="C270" s="535"/>
      <c r="D270" s="535"/>
      <c r="E270" s="535"/>
      <c r="F270" s="535"/>
      <c r="G270" s="520"/>
      <c r="H270" s="520"/>
      <c r="I270" s="520"/>
      <c r="J270" s="520"/>
      <c r="K270" s="520"/>
      <c r="L270" s="520"/>
      <c r="M270" s="520"/>
      <c r="N270" s="520"/>
      <c r="O270" s="520"/>
      <c r="P270" s="520"/>
      <c r="Q270" s="539"/>
      <c r="R270" s="523"/>
      <c r="S270" s="524"/>
      <c r="T270" s="524"/>
      <c r="U270" s="524"/>
      <c r="V270" s="523"/>
      <c r="W270" s="524"/>
      <c r="X270" s="524"/>
      <c r="Y270" s="524"/>
      <c r="Z270" s="536"/>
      <c r="AA270" s="536"/>
      <c r="AB270" s="536"/>
      <c r="AC270" s="536"/>
    </row>
    <row r="271" spans="1:29" s="96" customFormat="1" ht="15" customHeight="1">
      <c r="A271" s="526">
        <v>1</v>
      </c>
      <c r="B271" s="577" t="s">
        <v>481</v>
      </c>
      <c r="C271" s="527">
        <v>1</v>
      </c>
      <c r="D271" s="528">
        <v>1</v>
      </c>
      <c r="E271" s="528">
        <v>1</v>
      </c>
      <c r="F271" s="528">
        <v>1</v>
      </c>
      <c r="G271" s="529">
        <v>5</v>
      </c>
      <c r="H271" s="529">
        <v>5</v>
      </c>
      <c r="I271" s="529">
        <v>8</v>
      </c>
      <c r="J271" s="529" t="s">
        <v>1120</v>
      </c>
      <c r="K271" s="529">
        <v>8</v>
      </c>
      <c r="L271" s="529" t="s">
        <v>1120</v>
      </c>
      <c r="M271" s="529">
        <v>8</v>
      </c>
      <c r="N271" s="529" t="s">
        <v>1120</v>
      </c>
      <c r="O271" s="529">
        <v>8</v>
      </c>
      <c r="P271" s="529" t="s">
        <v>1120</v>
      </c>
      <c r="Q271" s="540">
        <v>30</v>
      </c>
      <c r="R271" s="530">
        <v>1200</v>
      </c>
      <c r="S271" s="531">
        <v>1200</v>
      </c>
      <c r="T271" s="531">
        <v>1200</v>
      </c>
      <c r="U271" s="531">
        <v>1200</v>
      </c>
      <c r="V271" s="530">
        <v>1200</v>
      </c>
      <c r="W271" s="531">
        <v>1200</v>
      </c>
      <c r="X271" s="531">
        <v>1200</v>
      </c>
      <c r="Y271" s="531">
        <v>1200</v>
      </c>
      <c r="Z271" s="533">
        <v>1</v>
      </c>
      <c r="AA271" s="533">
        <v>1</v>
      </c>
      <c r="AB271" s="533">
        <v>1</v>
      </c>
      <c r="AC271" s="533">
        <v>1</v>
      </c>
    </row>
    <row r="272" spans="1:29" s="96" customFormat="1" ht="15" customHeight="1">
      <c r="A272" s="526">
        <v>2</v>
      </c>
      <c r="B272" s="577" t="s">
        <v>671</v>
      </c>
      <c r="C272" s="527">
        <v>1</v>
      </c>
      <c r="D272" s="528">
        <v>1</v>
      </c>
      <c r="E272" s="528">
        <v>1</v>
      </c>
      <c r="F272" s="528">
        <v>1</v>
      </c>
      <c r="G272" s="529">
        <v>1</v>
      </c>
      <c r="H272" s="529">
        <v>1</v>
      </c>
      <c r="I272" s="529">
        <v>8</v>
      </c>
      <c r="J272" s="529" t="s">
        <v>1120</v>
      </c>
      <c r="K272" s="529">
        <v>8</v>
      </c>
      <c r="L272" s="529" t="s">
        <v>1120</v>
      </c>
      <c r="M272" s="529">
        <v>8</v>
      </c>
      <c r="N272" s="529" t="s">
        <v>1120</v>
      </c>
      <c r="O272" s="529">
        <v>8</v>
      </c>
      <c r="P272" s="529" t="s">
        <v>1120</v>
      </c>
      <c r="Q272" s="540">
        <v>30</v>
      </c>
      <c r="R272" s="530">
        <v>240</v>
      </c>
      <c r="S272" s="531">
        <v>240</v>
      </c>
      <c r="T272" s="531">
        <v>240</v>
      </c>
      <c r="U272" s="531">
        <v>240</v>
      </c>
      <c r="V272" s="530">
        <v>240</v>
      </c>
      <c r="W272" s="531">
        <v>240</v>
      </c>
      <c r="X272" s="531">
        <v>240</v>
      </c>
      <c r="Y272" s="531">
        <v>240</v>
      </c>
      <c r="Z272" s="532"/>
      <c r="AA272" s="532"/>
      <c r="AB272" s="532"/>
      <c r="AC272" s="532"/>
    </row>
    <row r="273" spans="1:29" s="96" customFormat="1" ht="15" customHeight="1">
      <c r="A273" s="526">
        <v>3</v>
      </c>
      <c r="B273" s="577" t="s">
        <v>741</v>
      </c>
      <c r="C273" s="527">
        <v>1</v>
      </c>
      <c r="D273" s="528">
        <v>1</v>
      </c>
      <c r="E273" s="528">
        <v>1</v>
      </c>
      <c r="F273" s="528">
        <v>1</v>
      </c>
      <c r="G273" s="529">
        <v>0.1</v>
      </c>
      <c r="H273" s="529">
        <v>0.1</v>
      </c>
      <c r="I273" s="529" t="s">
        <v>887</v>
      </c>
      <c r="J273" s="529" t="s">
        <v>1695</v>
      </c>
      <c r="K273" s="529" t="s">
        <v>887</v>
      </c>
      <c r="L273" s="529" t="s">
        <v>1695</v>
      </c>
      <c r="M273" s="529" t="s">
        <v>887</v>
      </c>
      <c r="N273" s="529" t="s">
        <v>1695</v>
      </c>
      <c r="O273" s="529" t="s">
        <v>887</v>
      </c>
      <c r="P273" s="529" t="s">
        <v>1695</v>
      </c>
      <c r="Q273" s="540">
        <v>30</v>
      </c>
      <c r="R273" s="530" t="e">
        <v>#VALUE!</v>
      </c>
      <c r="S273" s="531" t="e">
        <v>#VALUE!</v>
      </c>
      <c r="T273" s="531" t="e">
        <v>#VALUE!</v>
      </c>
      <c r="U273" s="531" t="e">
        <v>#VALUE!</v>
      </c>
      <c r="V273" s="530" t="e">
        <v>#VALUE!</v>
      </c>
      <c r="W273" s="531" t="e">
        <v>#VALUE!</v>
      </c>
      <c r="X273" s="531" t="e">
        <v>#VALUE!</v>
      </c>
      <c r="Y273" s="531" t="e">
        <v>#VALUE!</v>
      </c>
      <c r="Z273" s="532"/>
      <c r="AA273" s="532"/>
      <c r="AB273" s="532"/>
      <c r="AC273" s="532"/>
    </row>
    <row r="274" spans="1:29" s="96" customFormat="1" ht="15" customHeight="1">
      <c r="A274" s="526">
        <v>4</v>
      </c>
      <c r="B274" s="577" t="s">
        <v>735</v>
      </c>
      <c r="C274" s="527">
        <v>1</v>
      </c>
      <c r="D274" s="528">
        <v>1</v>
      </c>
      <c r="E274" s="528">
        <v>1</v>
      </c>
      <c r="F274" s="528">
        <v>1</v>
      </c>
      <c r="G274" s="529">
        <v>0.21</v>
      </c>
      <c r="H274" s="529">
        <v>0.21</v>
      </c>
      <c r="I274" s="529">
        <v>24</v>
      </c>
      <c r="J274" s="529" t="s">
        <v>996</v>
      </c>
      <c r="K274" s="529">
        <v>24</v>
      </c>
      <c r="L274" s="529" t="s">
        <v>996</v>
      </c>
      <c r="M274" s="529">
        <v>24</v>
      </c>
      <c r="N274" s="529" t="s">
        <v>996</v>
      </c>
      <c r="O274" s="529">
        <v>24</v>
      </c>
      <c r="P274" s="529" t="s">
        <v>996</v>
      </c>
      <c r="Q274" s="540">
        <v>30</v>
      </c>
      <c r="R274" s="530">
        <v>151.19999999999999</v>
      </c>
      <c r="S274" s="531">
        <v>151.19999999999999</v>
      </c>
      <c r="T274" s="531">
        <v>151.19999999999999</v>
      </c>
      <c r="U274" s="531">
        <v>151.19999999999999</v>
      </c>
      <c r="V274" s="530">
        <v>151.19999999999999</v>
      </c>
      <c r="W274" s="531">
        <v>151.19999999999999</v>
      </c>
      <c r="X274" s="531">
        <v>151.19999999999999</v>
      </c>
      <c r="Y274" s="531">
        <v>151.19999999999999</v>
      </c>
      <c r="Z274" s="533">
        <v>1</v>
      </c>
      <c r="AA274" s="533">
        <v>1</v>
      </c>
      <c r="AB274" s="533">
        <v>1</v>
      </c>
      <c r="AC274" s="533">
        <v>1</v>
      </c>
    </row>
    <row r="275" spans="1:29" s="96" customFormat="1" ht="15" customHeight="1">
      <c r="A275" s="526">
        <v>5</v>
      </c>
      <c r="B275" s="578" t="s">
        <v>394</v>
      </c>
      <c r="C275" s="527">
        <v>1</v>
      </c>
      <c r="D275" s="527">
        <v>1</v>
      </c>
      <c r="E275" s="527">
        <v>1</v>
      </c>
      <c r="F275" s="527">
        <v>1</v>
      </c>
      <c r="G275" s="529">
        <v>0.3</v>
      </c>
      <c r="H275" s="529">
        <v>0.3</v>
      </c>
      <c r="I275" s="529">
        <v>24</v>
      </c>
      <c r="J275" s="529" t="s">
        <v>996</v>
      </c>
      <c r="K275" s="529">
        <v>24</v>
      </c>
      <c r="L275" s="529" t="s">
        <v>996</v>
      </c>
      <c r="M275" s="529">
        <v>24</v>
      </c>
      <c r="N275" s="529" t="s">
        <v>996</v>
      </c>
      <c r="O275" s="529">
        <v>24</v>
      </c>
      <c r="P275" s="529" t="s">
        <v>996</v>
      </c>
      <c r="Q275" s="540">
        <v>30</v>
      </c>
      <c r="R275" s="530">
        <v>215.99999999999997</v>
      </c>
      <c r="S275" s="531">
        <v>215.99999999999997</v>
      </c>
      <c r="T275" s="531">
        <v>215.99999999999997</v>
      </c>
      <c r="U275" s="531">
        <v>215.99999999999997</v>
      </c>
      <c r="V275" s="530">
        <v>215.99999999999997</v>
      </c>
      <c r="W275" s="531">
        <v>215.99999999999997</v>
      </c>
      <c r="X275" s="531">
        <v>215.99999999999997</v>
      </c>
      <c r="Y275" s="531">
        <v>215.99999999999997</v>
      </c>
      <c r="Z275" s="533"/>
      <c r="AA275" s="533"/>
      <c r="AB275" s="533"/>
      <c r="AC275" s="533"/>
    </row>
    <row r="276" spans="1:29" s="96" customFormat="1" ht="15" customHeight="1">
      <c r="A276" s="526">
        <v>6</v>
      </c>
      <c r="B276" s="577" t="s">
        <v>482</v>
      </c>
      <c r="C276" s="527">
        <v>1</v>
      </c>
      <c r="D276" s="528">
        <v>1</v>
      </c>
      <c r="E276" s="528">
        <v>1</v>
      </c>
      <c r="F276" s="528">
        <v>1</v>
      </c>
      <c r="G276" s="529">
        <v>8.6</v>
      </c>
      <c r="H276" s="529">
        <v>8.6</v>
      </c>
      <c r="I276" s="529" t="s">
        <v>887</v>
      </c>
      <c r="J276" s="529" t="s">
        <v>1695</v>
      </c>
      <c r="K276" s="529" t="s">
        <v>887</v>
      </c>
      <c r="L276" s="529" t="s">
        <v>1695</v>
      </c>
      <c r="M276" s="529" t="s">
        <v>887</v>
      </c>
      <c r="N276" s="529" t="s">
        <v>1695</v>
      </c>
      <c r="O276" s="529" t="s">
        <v>887</v>
      </c>
      <c r="P276" s="529" t="s">
        <v>1695</v>
      </c>
      <c r="Q276" s="540">
        <v>30</v>
      </c>
      <c r="R276" s="530" t="e">
        <v>#VALUE!</v>
      </c>
      <c r="S276" s="531" t="e">
        <v>#VALUE!</v>
      </c>
      <c r="T276" s="531" t="e">
        <v>#VALUE!</v>
      </c>
      <c r="U276" s="531" t="e">
        <v>#VALUE!</v>
      </c>
      <c r="V276" s="530" t="e">
        <v>#VALUE!</v>
      </c>
      <c r="W276" s="531" t="e">
        <v>#VALUE!</v>
      </c>
      <c r="X276" s="531" t="e">
        <v>#VALUE!</v>
      </c>
      <c r="Y276" s="531" t="e">
        <v>#VALUE!</v>
      </c>
      <c r="Z276" s="533" t="e">
        <v>#VALUE!</v>
      </c>
      <c r="AA276" s="533" t="e">
        <v>#VALUE!</v>
      </c>
      <c r="AB276" s="533" t="e">
        <v>#VALUE!</v>
      </c>
      <c r="AC276" s="533" t="e">
        <v>#VALUE!</v>
      </c>
    </row>
    <row r="277" spans="1:29" s="96" customFormat="1" ht="15" customHeight="1">
      <c r="A277" s="526">
        <v>7</v>
      </c>
      <c r="B277" s="577" t="s">
        <v>483</v>
      </c>
      <c r="C277" s="527">
        <v>1</v>
      </c>
      <c r="D277" s="528">
        <v>1</v>
      </c>
      <c r="E277" s="528">
        <v>1</v>
      </c>
      <c r="F277" s="528">
        <v>1</v>
      </c>
      <c r="G277" s="529">
        <v>1.6</v>
      </c>
      <c r="H277" s="529">
        <v>1.6</v>
      </c>
      <c r="I277" s="529" t="s">
        <v>887</v>
      </c>
      <c r="J277" s="529" t="s">
        <v>1695</v>
      </c>
      <c r="K277" s="529" t="s">
        <v>887</v>
      </c>
      <c r="L277" s="529" t="s">
        <v>1695</v>
      </c>
      <c r="M277" s="529" t="s">
        <v>887</v>
      </c>
      <c r="N277" s="529" t="s">
        <v>1695</v>
      </c>
      <c r="O277" s="529" t="s">
        <v>887</v>
      </c>
      <c r="P277" s="529" t="s">
        <v>1695</v>
      </c>
      <c r="Q277" s="540">
        <v>30</v>
      </c>
      <c r="R277" s="530" t="e">
        <v>#VALUE!</v>
      </c>
      <c r="S277" s="531" t="e">
        <v>#VALUE!</v>
      </c>
      <c r="T277" s="531" t="e">
        <v>#VALUE!</v>
      </c>
      <c r="U277" s="531" t="e">
        <v>#VALUE!</v>
      </c>
      <c r="V277" s="530" t="e">
        <v>#VALUE!</v>
      </c>
      <c r="W277" s="531" t="e">
        <v>#VALUE!</v>
      </c>
      <c r="X277" s="531" t="e">
        <v>#VALUE!</v>
      </c>
      <c r="Y277" s="531" t="e">
        <v>#VALUE!</v>
      </c>
      <c r="Z277" s="533" t="e">
        <v>#VALUE!</v>
      </c>
      <c r="AA277" s="533" t="e">
        <v>#VALUE!</v>
      </c>
      <c r="AB277" s="533" t="e">
        <v>#VALUE!</v>
      </c>
      <c r="AC277" s="533" t="e">
        <v>#VALUE!</v>
      </c>
    </row>
    <row r="278" spans="1:29" s="96" customFormat="1" ht="15" customHeight="1">
      <c r="A278" s="526">
        <v>8</v>
      </c>
      <c r="B278" s="577" t="s">
        <v>1700</v>
      </c>
      <c r="C278" s="527">
        <v>1</v>
      </c>
      <c r="D278" s="528">
        <v>1</v>
      </c>
      <c r="E278" s="528">
        <v>1</v>
      </c>
      <c r="F278" s="528">
        <v>1</v>
      </c>
      <c r="G278" s="529" t="s">
        <v>1701</v>
      </c>
      <c r="H278" s="529" t="s">
        <v>1701</v>
      </c>
      <c r="I278" s="529">
        <v>24</v>
      </c>
      <c r="J278" s="529" t="s">
        <v>996</v>
      </c>
      <c r="K278" s="529">
        <v>24</v>
      </c>
      <c r="L278" s="529" t="s">
        <v>996</v>
      </c>
      <c r="M278" s="529">
        <v>24</v>
      </c>
      <c r="N278" s="529" t="s">
        <v>996</v>
      </c>
      <c r="O278" s="529">
        <v>24</v>
      </c>
      <c r="P278" s="529" t="s">
        <v>996</v>
      </c>
      <c r="Q278" s="540"/>
      <c r="R278" s="530"/>
      <c r="S278" s="531"/>
      <c r="T278" s="531"/>
      <c r="U278" s="531"/>
      <c r="V278" s="530"/>
      <c r="W278" s="531"/>
      <c r="X278" s="531"/>
      <c r="Y278" s="531"/>
      <c r="Z278" s="533"/>
      <c r="AA278" s="533"/>
      <c r="AB278" s="533"/>
      <c r="AC278" s="533"/>
    </row>
    <row r="279" spans="1:29" s="96" customFormat="1" ht="15" customHeight="1">
      <c r="A279" s="92">
        <v>8</v>
      </c>
      <c r="B279" s="93" t="s">
        <v>349</v>
      </c>
      <c r="C279" s="130">
        <v>1</v>
      </c>
      <c r="D279" s="130">
        <v>1</v>
      </c>
      <c r="E279" s="130">
        <v>1</v>
      </c>
      <c r="F279" s="130">
        <v>1</v>
      </c>
      <c r="G279" s="148">
        <v>5</v>
      </c>
      <c r="H279" s="148">
        <v>5</v>
      </c>
      <c r="I279" s="529">
        <v>8</v>
      </c>
      <c r="J279" s="529" t="s">
        <v>1120</v>
      </c>
      <c r="K279" s="529">
        <v>8</v>
      </c>
      <c r="L279" s="529" t="s">
        <v>1120</v>
      </c>
      <c r="M279" s="529">
        <v>8</v>
      </c>
      <c r="N279" s="529" t="s">
        <v>1120</v>
      </c>
      <c r="O279" s="529">
        <v>8</v>
      </c>
      <c r="P279" s="529" t="s">
        <v>1120</v>
      </c>
      <c r="Q279" s="540">
        <v>30</v>
      </c>
      <c r="R279" s="508">
        <v>1200</v>
      </c>
      <c r="S279" s="509">
        <v>1200</v>
      </c>
      <c r="T279" s="509">
        <v>1200</v>
      </c>
      <c r="U279" s="509">
        <v>1200</v>
      </c>
      <c r="V279" s="508">
        <v>1200</v>
      </c>
      <c r="W279" s="509">
        <v>1200</v>
      </c>
      <c r="X279" s="509">
        <v>1200</v>
      </c>
      <c r="Y279" s="509">
        <v>1200</v>
      </c>
      <c r="Z279" s="507"/>
      <c r="AA279" s="507"/>
      <c r="AB279" s="507"/>
      <c r="AC279" s="507"/>
    </row>
    <row r="280" spans="1:29" s="96" customFormat="1" ht="15" customHeight="1">
      <c r="A280" s="92">
        <v>9</v>
      </c>
      <c r="B280" s="93" t="s">
        <v>334</v>
      </c>
      <c r="C280" s="130">
        <v>1</v>
      </c>
      <c r="D280" s="130">
        <v>1</v>
      </c>
      <c r="E280" s="130">
        <v>1</v>
      </c>
      <c r="F280" s="130">
        <v>1</v>
      </c>
      <c r="G280" s="148">
        <v>5</v>
      </c>
      <c r="H280" s="148">
        <v>5</v>
      </c>
      <c r="I280" s="529">
        <v>8</v>
      </c>
      <c r="J280" s="529" t="s">
        <v>1120</v>
      </c>
      <c r="K280" s="529">
        <v>8</v>
      </c>
      <c r="L280" s="529" t="s">
        <v>1120</v>
      </c>
      <c r="M280" s="529">
        <v>8</v>
      </c>
      <c r="N280" s="529" t="s">
        <v>1120</v>
      </c>
      <c r="O280" s="529">
        <v>8</v>
      </c>
      <c r="P280" s="529" t="s">
        <v>1120</v>
      </c>
      <c r="Q280" s="540">
        <v>30</v>
      </c>
      <c r="R280" s="508">
        <v>1200</v>
      </c>
      <c r="S280" s="509">
        <v>1200</v>
      </c>
      <c r="T280" s="509">
        <v>1200</v>
      </c>
      <c r="U280" s="509">
        <v>1200</v>
      </c>
      <c r="V280" s="508">
        <v>1200</v>
      </c>
      <c r="W280" s="509">
        <v>1200</v>
      </c>
      <c r="X280" s="509">
        <v>1200</v>
      </c>
      <c r="Y280" s="509">
        <v>1200</v>
      </c>
      <c r="Z280" s="507"/>
      <c r="AA280" s="507"/>
      <c r="AB280" s="507"/>
      <c r="AC280" s="507"/>
    </row>
    <row r="281" spans="1:29" s="96" customFormat="1" ht="15" customHeight="1">
      <c r="A281" s="92">
        <v>10</v>
      </c>
      <c r="B281" s="93" t="s">
        <v>742</v>
      </c>
      <c r="C281" s="130">
        <v>1</v>
      </c>
      <c r="D281" s="130">
        <v>1</v>
      </c>
      <c r="E281" s="130">
        <v>1</v>
      </c>
      <c r="F281" s="130">
        <v>1</v>
      </c>
      <c r="G281" s="148">
        <v>10</v>
      </c>
      <c r="H281" s="148">
        <v>10</v>
      </c>
      <c r="I281" s="529">
        <v>8</v>
      </c>
      <c r="J281" s="529" t="s">
        <v>1120</v>
      </c>
      <c r="K281" s="529">
        <v>8</v>
      </c>
      <c r="L281" s="529" t="s">
        <v>1120</v>
      </c>
      <c r="M281" s="529">
        <v>8</v>
      </c>
      <c r="N281" s="529" t="s">
        <v>1120</v>
      </c>
      <c r="O281" s="529">
        <v>8</v>
      </c>
      <c r="P281" s="529" t="s">
        <v>1120</v>
      </c>
      <c r="Q281" s="540">
        <v>30</v>
      </c>
      <c r="R281" s="508">
        <v>2400</v>
      </c>
      <c r="S281" s="509">
        <v>2400</v>
      </c>
      <c r="T281" s="509">
        <v>2400</v>
      </c>
      <c r="U281" s="509">
        <v>2400</v>
      </c>
      <c r="V281" s="508">
        <v>2400</v>
      </c>
      <c r="W281" s="509">
        <v>2400</v>
      </c>
      <c r="X281" s="509">
        <v>2400</v>
      </c>
      <c r="Y281" s="509">
        <v>2400</v>
      </c>
      <c r="Z281" s="507"/>
      <c r="AA281" s="507"/>
      <c r="AB281" s="507"/>
      <c r="AC281" s="507"/>
    </row>
    <row r="282" spans="1:29" s="96" customFormat="1" ht="15" customHeight="1">
      <c r="A282" s="488"/>
      <c r="B282" s="487" t="s">
        <v>743</v>
      </c>
      <c r="C282" s="537"/>
      <c r="D282" s="537"/>
      <c r="E282" s="537"/>
      <c r="F282" s="537"/>
      <c r="G282" s="480"/>
      <c r="H282" s="480"/>
      <c r="I282" s="480"/>
      <c r="J282" s="480"/>
      <c r="K282" s="480"/>
      <c r="L282" s="480"/>
      <c r="M282" s="480"/>
      <c r="N282" s="480"/>
      <c r="O282" s="480"/>
      <c r="P282" s="480"/>
      <c r="Q282" s="483"/>
      <c r="R282" s="511"/>
      <c r="S282" s="538"/>
      <c r="T282" s="538"/>
      <c r="U282" s="538"/>
      <c r="V282" s="511"/>
      <c r="W282" s="538"/>
      <c r="X282" s="538"/>
      <c r="Y282" s="538"/>
      <c r="Z282" s="514"/>
      <c r="AA282" s="514"/>
      <c r="AB282" s="514"/>
      <c r="AC282" s="514"/>
    </row>
    <row r="283" spans="1:29" s="96" customFormat="1" ht="16.5">
      <c r="A283" s="92">
        <v>1</v>
      </c>
      <c r="B283" s="143" t="s">
        <v>460</v>
      </c>
      <c r="C283" s="133">
        <v>1</v>
      </c>
      <c r="D283" s="127">
        <v>1</v>
      </c>
      <c r="E283" s="127">
        <v>1</v>
      </c>
      <c r="F283" s="127">
        <v>1</v>
      </c>
      <c r="G283" s="148">
        <v>15</v>
      </c>
      <c r="H283" s="148">
        <v>15</v>
      </c>
      <c r="I283" s="529">
        <v>8</v>
      </c>
      <c r="J283" s="529" t="s">
        <v>1120</v>
      </c>
      <c r="K283" s="529">
        <v>8</v>
      </c>
      <c r="L283" s="529" t="s">
        <v>1120</v>
      </c>
      <c r="M283" s="529">
        <v>8</v>
      </c>
      <c r="N283" s="529" t="s">
        <v>1120</v>
      </c>
      <c r="O283" s="529">
        <v>8</v>
      </c>
      <c r="P283" s="529" t="s">
        <v>1120</v>
      </c>
      <c r="Q283" s="486">
        <v>30</v>
      </c>
      <c r="R283" s="508">
        <v>3600</v>
      </c>
      <c r="S283" s="509">
        <v>3600</v>
      </c>
      <c r="T283" s="509">
        <v>3600</v>
      </c>
      <c r="U283" s="509">
        <v>3600</v>
      </c>
      <c r="V283" s="508">
        <v>3600</v>
      </c>
      <c r="W283" s="509">
        <v>3600</v>
      </c>
      <c r="X283" s="509">
        <v>3600</v>
      </c>
      <c r="Y283" s="509">
        <v>3600</v>
      </c>
      <c r="Z283" s="510">
        <v>1</v>
      </c>
      <c r="AA283" s="510">
        <v>1</v>
      </c>
      <c r="AB283" s="510">
        <v>1</v>
      </c>
      <c r="AC283" s="510">
        <v>1</v>
      </c>
    </row>
    <row r="284" spans="1:29" s="155" customFormat="1" ht="16.5">
      <c r="A284" s="92">
        <v>2</v>
      </c>
      <c r="B284" s="143" t="s">
        <v>744</v>
      </c>
      <c r="C284" s="14">
        <v>1</v>
      </c>
      <c r="D284" s="14">
        <v>1</v>
      </c>
      <c r="E284" s="14">
        <v>1</v>
      </c>
      <c r="F284" s="14">
        <v>1</v>
      </c>
      <c r="G284" s="148">
        <v>0.21</v>
      </c>
      <c r="H284" s="148">
        <v>0.21</v>
      </c>
      <c r="I284" s="148">
        <v>24</v>
      </c>
      <c r="J284" s="148" t="s">
        <v>996</v>
      </c>
      <c r="K284" s="148">
        <v>24</v>
      </c>
      <c r="L284" s="148" t="s">
        <v>996</v>
      </c>
      <c r="M284" s="148">
        <v>24</v>
      </c>
      <c r="N284" s="148" t="s">
        <v>996</v>
      </c>
      <c r="O284" s="148">
        <v>24</v>
      </c>
      <c r="P284" s="148" t="s">
        <v>996</v>
      </c>
      <c r="Q284" s="486">
        <v>30</v>
      </c>
      <c r="R284" s="508">
        <v>151.19999999999999</v>
      </c>
      <c r="S284" s="509">
        <v>151.19999999999999</v>
      </c>
      <c r="T284" s="509">
        <v>151.19999999999999</v>
      </c>
      <c r="U284" s="509">
        <v>151.19999999999999</v>
      </c>
      <c r="V284" s="508">
        <v>151.19999999999999</v>
      </c>
      <c r="W284" s="509">
        <v>151.19999999999999</v>
      </c>
      <c r="X284" s="509">
        <v>151.19999999999999</v>
      </c>
      <c r="Y284" s="509">
        <v>151.19999999999999</v>
      </c>
      <c r="Z284" s="507">
        <v>1</v>
      </c>
      <c r="AA284" s="507">
        <v>1</v>
      </c>
      <c r="AB284" s="507">
        <v>1</v>
      </c>
      <c r="AC284" s="507">
        <v>1</v>
      </c>
    </row>
    <row r="285" spans="1:29" s="155" customFormat="1" ht="16.5">
      <c r="A285" s="92">
        <v>4</v>
      </c>
      <c r="B285" s="143" t="s">
        <v>467</v>
      </c>
      <c r="C285" s="133">
        <v>1</v>
      </c>
      <c r="D285" s="127">
        <v>1</v>
      </c>
      <c r="E285" s="127">
        <v>1</v>
      </c>
      <c r="F285" s="127">
        <v>1</v>
      </c>
      <c r="G285" s="148">
        <v>1.6</v>
      </c>
      <c r="H285" s="148">
        <v>1.6</v>
      </c>
      <c r="I285" s="148">
        <v>6</v>
      </c>
      <c r="J285" s="529" t="s">
        <v>1120</v>
      </c>
      <c r="K285" s="529">
        <v>8</v>
      </c>
      <c r="L285" s="529" t="s">
        <v>1120</v>
      </c>
      <c r="M285" s="529">
        <v>8</v>
      </c>
      <c r="N285" s="529" t="s">
        <v>1120</v>
      </c>
      <c r="O285" s="529">
        <v>8</v>
      </c>
      <c r="P285" s="529" t="s">
        <v>1120</v>
      </c>
      <c r="Q285" s="486">
        <v>30</v>
      </c>
      <c r="R285" s="508">
        <v>288.00000000000006</v>
      </c>
      <c r="S285" s="509">
        <v>384</v>
      </c>
      <c r="T285" s="509">
        <v>384</v>
      </c>
      <c r="U285" s="509">
        <v>384</v>
      </c>
      <c r="V285" s="508">
        <v>288.00000000000006</v>
      </c>
      <c r="W285" s="509">
        <v>384</v>
      </c>
      <c r="X285" s="509">
        <v>384</v>
      </c>
      <c r="Y285" s="509">
        <v>384</v>
      </c>
      <c r="Z285" s="510">
        <v>1</v>
      </c>
      <c r="AA285" s="510">
        <v>1</v>
      </c>
      <c r="AB285" s="510">
        <v>1</v>
      </c>
      <c r="AC285" s="510">
        <v>1</v>
      </c>
    </row>
    <row r="286" spans="1:29" s="155" customFormat="1" ht="16.5">
      <c r="A286" s="92">
        <v>5</v>
      </c>
      <c r="B286" s="143" t="s">
        <v>469</v>
      </c>
      <c r="C286" s="133">
        <v>2</v>
      </c>
      <c r="D286" s="127">
        <v>2</v>
      </c>
      <c r="E286" s="127">
        <v>2</v>
      </c>
      <c r="F286" s="127">
        <v>2</v>
      </c>
      <c r="G286" s="148">
        <v>1.8</v>
      </c>
      <c r="H286" s="148">
        <v>1.8</v>
      </c>
      <c r="I286" s="148">
        <v>24</v>
      </c>
      <c r="J286" s="148" t="s">
        <v>996</v>
      </c>
      <c r="K286" s="148">
        <v>24</v>
      </c>
      <c r="L286" s="148" t="s">
        <v>996</v>
      </c>
      <c r="M286" s="148">
        <v>24</v>
      </c>
      <c r="N286" s="148" t="s">
        <v>996</v>
      </c>
      <c r="O286" s="148">
        <v>24</v>
      </c>
      <c r="P286" s="148" t="s">
        <v>996</v>
      </c>
      <c r="Q286" s="486">
        <v>30</v>
      </c>
      <c r="R286" s="508">
        <v>2592</v>
      </c>
      <c r="S286" s="509">
        <v>2592</v>
      </c>
      <c r="T286" s="509">
        <v>2592</v>
      </c>
      <c r="U286" s="509">
        <v>2592</v>
      </c>
      <c r="V286" s="508">
        <v>2592</v>
      </c>
      <c r="W286" s="509">
        <v>2592</v>
      </c>
      <c r="X286" s="509">
        <v>2592</v>
      </c>
      <c r="Y286" s="509">
        <v>2592</v>
      </c>
      <c r="Z286" s="510">
        <v>1</v>
      </c>
      <c r="AA286" s="510">
        <v>1</v>
      </c>
      <c r="AB286" s="510">
        <v>1</v>
      </c>
      <c r="AC286" s="510">
        <v>1</v>
      </c>
    </row>
    <row r="287" spans="1:29" s="155" customFormat="1" ht="16.5">
      <c r="A287" s="488"/>
      <c r="B287" s="487" t="s">
        <v>1702</v>
      </c>
      <c r="C287" s="537"/>
      <c r="D287" s="537"/>
      <c r="E287" s="537"/>
      <c r="F287" s="537"/>
      <c r="G287" s="480"/>
      <c r="H287" s="480"/>
      <c r="I287" s="480"/>
      <c r="J287" s="480"/>
      <c r="K287" s="480"/>
      <c r="L287" s="480"/>
      <c r="M287" s="480"/>
      <c r="N287" s="480"/>
      <c r="O287" s="480"/>
      <c r="P287" s="480"/>
      <c r="Q287" s="483"/>
      <c r="R287" s="508"/>
      <c r="S287" s="509"/>
      <c r="T287" s="509"/>
      <c r="U287" s="509"/>
      <c r="V287" s="508"/>
      <c r="W287" s="509"/>
      <c r="X287" s="509"/>
      <c r="Y287" s="509"/>
      <c r="Z287" s="510"/>
      <c r="AA287" s="510"/>
      <c r="AB287" s="510"/>
      <c r="AC287" s="510"/>
    </row>
    <row r="288" spans="1:29" s="155" customFormat="1" ht="16.5">
      <c r="A288" s="92">
        <v>1</v>
      </c>
      <c r="B288" s="143" t="s">
        <v>1703</v>
      </c>
      <c r="C288" s="133">
        <v>2</v>
      </c>
      <c r="D288" s="127">
        <v>2</v>
      </c>
      <c r="E288" s="127">
        <v>2</v>
      </c>
      <c r="F288" s="127">
        <v>2</v>
      </c>
      <c r="G288" s="148"/>
      <c r="H288" s="148"/>
      <c r="I288" s="148" t="s">
        <v>896</v>
      </c>
      <c r="J288" s="148" t="s">
        <v>1704</v>
      </c>
      <c r="K288" s="148" t="s">
        <v>896</v>
      </c>
      <c r="L288" s="148" t="s">
        <v>1704</v>
      </c>
      <c r="M288" s="148" t="s">
        <v>896</v>
      </c>
      <c r="N288" s="148" t="s">
        <v>1704</v>
      </c>
      <c r="O288" s="148" t="s">
        <v>896</v>
      </c>
      <c r="P288" s="148" t="s">
        <v>1704</v>
      </c>
      <c r="Q288" s="486">
        <v>30</v>
      </c>
      <c r="R288" s="508"/>
      <c r="S288" s="509"/>
      <c r="T288" s="509"/>
      <c r="U288" s="509"/>
      <c r="V288" s="508"/>
      <c r="W288" s="509"/>
      <c r="X288" s="509"/>
      <c r="Y288" s="509"/>
      <c r="Z288" s="510"/>
      <c r="AA288" s="510"/>
      <c r="AB288" s="510"/>
      <c r="AC288" s="510"/>
    </row>
    <row r="289" spans="1:29" s="485" customFormat="1">
      <c r="A289" s="477" t="s">
        <v>47</v>
      </c>
      <c r="B289" s="487" t="s">
        <v>397</v>
      </c>
      <c r="C289" s="478"/>
      <c r="D289" s="479"/>
      <c r="E289" s="479"/>
      <c r="F289" s="479"/>
      <c r="G289" s="480"/>
      <c r="H289" s="480"/>
      <c r="I289" s="481"/>
      <c r="J289" s="482"/>
      <c r="K289" s="481"/>
      <c r="L289" s="482"/>
      <c r="M289" s="481"/>
      <c r="N289" s="482"/>
      <c r="O289" s="481"/>
      <c r="P289" s="482"/>
      <c r="Q289" s="483"/>
      <c r="R289" s="546">
        <f>C289*G289*I289*Q289</f>
        <v>0</v>
      </c>
      <c r="S289" s="547">
        <f>D289*G289*K289*Q289</f>
        <v>0</v>
      </c>
      <c r="T289" s="547">
        <f>E289*G289*M289*Q289</f>
        <v>0</v>
      </c>
      <c r="U289" s="547">
        <f>F289*G289*O289*Q289</f>
        <v>0</v>
      </c>
      <c r="V289" s="546">
        <f>C289*H289*I289*Q289</f>
        <v>0</v>
      </c>
      <c r="W289" s="547">
        <f>D289*H289*K289*Q289</f>
        <v>0</v>
      </c>
      <c r="X289" s="547">
        <f>E289*H289*M289*Q289</f>
        <v>0</v>
      </c>
      <c r="Y289" s="547">
        <f>F289*H289*O289*Q289</f>
        <v>0</v>
      </c>
      <c r="Z289" s="551" t="e">
        <f t="shared" ref="Z289:AC289" si="171">V289/R289</f>
        <v>#DIV/0!</v>
      </c>
      <c r="AA289" s="551" t="e">
        <f t="shared" si="171"/>
        <v>#DIV/0!</v>
      </c>
      <c r="AB289" s="551" t="e">
        <f t="shared" si="171"/>
        <v>#DIV/0!</v>
      </c>
      <c r="AC289" s="551" t="e">
        <f t="shared" si="171"/>
        <v>#DIV/0!</v>
      </c>
    </row>
    <row r="290" spans="1:29" s="485" customFormat="1">
      <c r="A290" s="477"/>
      <c r="B290" s="487" t="s">
        <v>745</v>
      </c>
      <c r="C290" s="478"/>
      <c r="D290" s="479"/>
      <c r="E290" s="479"/>
      <c r="F290" s="479"/>
      <c r="G290" s="480"/>
      <c r="H290" s="480"/>
      <c r="I290" s="481"/>
      <c r="J290" s="482"/>
      <c r="K290" s="481"/>
      <c r="L290" s="482"/>
      <c r="M290" s="481"/>
      <c r="N290" s="482"/>
      <c r="O290" s="481"/>
      <c r="P290" s="482"/>
      <c r="Q290" s="483"/>
      <c r="R290" s="550"/>
      <c r="S290" s="552"/>
      <c r="T290" s="552"/>
      <c r="U290" s="552"/>
      <c r="V290" s="550"/>
      <c r="W290" s="552"/>
      <c r="X290" s="552"/>
      <c r="Y290" s="552"/>
      <c r="Z290" s="551"/>
      <c r="AA290" s="551"/>
      <c r="AB290" s="551"/>
      <c r="AC290" s="551"/>
    </row>
    <row r="291" spans="1:29" s="96" customFormat="1">
      <c r="A291" s="92">
        <v>1</v>
      </c>
      <c r="B291" s="143" t="s">
        <v>469</v>
      </c>
      <c r="C291" s="130">
        <v>1</v>
      </c>
      <c r="D291" s="130">
        <v>1</v>
      </c>
      <c r="E291" s="130">
        <v>1</v>
      </c>
      <c r="F291" s="130">
        <v>1</v>
      </c>
      <c r="G291" s="148">
        <v>1.8</v>
      </c>
      <c r="H291" s="148">
        <v>1.8</v>
      </c>
      <c r="I291" s="148">
        <v>24</v>
      </c>
      <c r="J291" s="148" t="s">
        <v>996</v>
      </c>
      <c r="K291" s="148">
        <f t="shared" ref="K291:P307" si="172">I291</f>
        <v>24</v>
      </c>
      <c r="L291" s="148" t="str">
        <f t="shared" si="172"/>
        <v>24/24</v>
      </c>
      <c r="M291" s="148">
        <f t="shared" si="172"/>
        <v>24</v>
      </c>
      <c r="N291" s="148" t="str">
        <f t="shared" si="172"/>
        <v>24/24</v>
      </c>
      <c r="O291" s="148">
        <f t="shared" si="172"/>
        <v>24</v>
      </c>
      <c r="P291" s="148" t="str">
        <f t="shared" si="172"/>
        <v>24/24</v>
      </c>
      <c r="Q291" s="486">
        <v>30</v>
      </c>
      <c r="R291" s="546">
        <f t="shared" ref="R291:R298" si="173">C291*G291*I291*Q291</f>
        <v>1296</v>
      </c>
      <c r="S291" s="547">
        <f t="shared" ref="S291:S298" si="174">D291*G291*K291*Q291</f>
        <v>1296</v>
      </c>
      <c r="T291" s="547">
        <f t="shared" ref="T291:T298" si="175">E291*G291*M291*Q291</f>
        <v>1296</v>
      </c>
      <c r="U291" s="547">
        <f t="shared" ref="U291:U298" si="176">F291*G291*O291*Q291</f>
        <v>1296</v>
      </c>
      <c r="V291" s="546">
        <f>C291*H291*I291*Q291</f>
        <v>1296</v>
      </c>
      <c r="W291" s="547">
        <f>D291*H291*K291*Q291</f>
        <v>1296</v>
      </c>
      <c r="X291" s="547">
        <f>E291*H291*M291*Q291</f>
        <v>1296</v>
      </c>
      <c r="Y291" s="547">
        <f>F291*H291*O291*Q291</f>
        <v>1296</v>
      </c>
      <c r="Z291" s="554">
        <f>V291/R291</f>
        <v>1</v>
      </c>
      <c r="AA291" s="554">
        <f>W291/S291</f>
        <v>1</v>
      </c>
      <c r="AB291" s="554">
        <f>X291/T291</f>
        <v>1</v>
      </c>
      <c r="AC291" s="554">
        <f>Y291/U291</f>
        <v>1</v>
      </c>
    </row>
    <row r="292" spans="1:29" s="96" customFormat="1">
      <c r="A292" s="92">
        <v>2</v>
      </c>
      <c r="B292" s="143" t="s">
        <v>746</v>
      </c>
      <c r="C292" s="130">
        <v>1</v>
      </c>
      <c r="D292" s="130">
        <v>1</v>
      </c>
      <c r="E292" s="130">
        <v>1</v>
      </c>
      <c r="F292" s="130">
        <v>1</v>
      </c>
      <c r="G292" s="148">
        <v>1.8</v>
      </c>
      <c r="H292" s="148">
        <v>1.8</v>
      </c>
      <c r="I292" s="148">
        <v>24</v>
      </c>
      <c r="J292" s="148" t="s">
        <v>996</v>
      </c>
      <c r="K292" s="148">
        <f t="shared" si="172"/>
        <v>24</v>
      </c>
      <c r="L292" s="148" t="str">
        <f t="shared" si="172"/>
        <v>24/24</v>
      </c>
      <c r="M292" s="148">
        <f t="shared" si="172"/>
        <v>24</v>
      </c>
      <c r="N292" s="148" t="str">
        <f t="shared" si="172"/>
        <v>24/24</v>
      </c>
      <c r="O292" s="148">
        <f t="shared" si="172"/>
        <v>24</v>
      </c>
      <c r="P292" s="148" t="str">
        <f t="shared" si="172"/>
        <v>24/24</v>
      </c>
      <c r="Q292" s="486">
        <v>30</v>
      </c>
      <c r="R292" s="546">
        <f t="shared" si="173"/>
        <v>1296</v>
      </c>
      <c r="S292" s="547">
        <f t="shared" si="174"/>
        <v>1296</v>
      </c>
      <c r="T292" s="547">
        <f t="shared" si="175"/>
        <v>1296</v>
      </c>
      <c r="U292" s="547">
        <f t="shared" si="176"/>
        <v>1296</v>
      </c>
      <c r="V292" s="546"/>
      <c r="W292" s="547"/>
      <c r="X292" s="547"/>
      <c r="Y292" s="547"/>
      <c r="Z292" s="554"/>
      <c r="AA292" s="554"/>
      <c r="AB292" s="554"/>
      <c r="AC292" s="554"/>
    </row>
    <row r="293" spans="1:29" s="96" customFormat="1">
      <c r="A293" s="92">
        <v>3</v>
      </c>
      <c r="B293" s="143" t="s">
        <v>475</v>
      </c>
      <c r="C293" s="130">
        <v>3</v>
      </c>
      <c r="D293" s="130">
        <v>3</v>
      </c>
      <c r="E293" s="130">
        <v>3</v>
      </c>
      <c r="F293" s="130">
        <v>3</v>
      </c>
      <c r="G293" s="148">
        <v>0.3</v>
      </c>
      <c r="H293" s="148">
        <v>0.3</v>
      </c>
      <c r="I293" s="148">
        <v>24</v>
      </c>
      <c r="J293" s="148" t="s">
        <v>996</v>
      </c>
      <c r="K293" s="148">
        <f t="shared" si="172"/>
        <v>24</v>
      </c>
      <c r="L293" s="148" t="str">
        <f t="shared" si="172"/>
        <v>24/24</v>
      </c>
      <c r="M293" s="148">
        <f t="shared" si="172"/>
        <v>24</v>
      </c>
      <c r="N293" s="148" t="str">
        <f t="shared" si="172"/>
        <v>24/24</v>
      </c>
      <c r="O293" s="148">
        <f t="shared" si="172"/>
        <v>24</v>
      </c>
      <c r="P293" s="148" t="str">
        <f t="shared" si="172"/>
        <v>24/24</v>
      </c>
      <c r="Q293" s="486">
        <v>30</v>
      </c>
      <c r="R293" s="546">
        <f t="shared" si="173"/>
        <v>647.99999999999989</v>
      </c>
      <c r="S293" s="547">
        <f t="shared" si="174"/>
        <v>647.99999999999989</v>
      </c>
      <c r="T293" s="547">
        <f t="shared" si="175"/>
        <v>647.99999999999989</v>
      </c>
      <c r="U293" s="547">
        <f t="shared" si="176"/>
        <v>647.99999999999989</v>
      </c>
      <c r="V293" s="546">
        <f t="shared" ref="V293:V298" si="177">C293*H293*I293*Q293</f>
        <v>647.99999999999989</v>
      </c>
      <c r="W293" s="547">
        <f t="shared" ref="W293:W298" si="178">D293*H293*K293*Q293</f>
        <v>647.99999999999989</v>
      </c>
      <c r="X293" s="547">
        <f t="shared" ref="X293:X298" si="179">E293*H293*M293*Q293</f>
        <v>647.99999999999989</v>
      </c>
      <c r="Y293" s="547">
        <f t="shared" ref="Y293:Y298" si="180">F293*H293*O293*Q293</f>
        <v>647.99999999999989</v>
      </c>
      <c r="Z293" s="554">
        <f t="shared" ref="Z293:AC298" si="181">V293/R293</f>
        <v>1</v>
      </c>
      <c r="AA293" s="554">
        <f t="shared" si="181"/>
        <v>1</v>
      </c>
      <c r="AB293" s="554">
        <f t="shared" si="181"/>
        <v>1</v>
      </c>
      <c r="AC293" s="554">
        <f t="shared" si="181"/>
        <v>1</v>
      </c>
    </row>
    <row r="294" spans="1:29" s="96" customFormat="1">
      <c r="A294" s="92">
        <v>4</v>
      </c>
      <c r="B294" s="143" t="s">
        <v>1775</v>
      </c>
      <c r="C294" s="130">
        <v>1</v>
      </c>
      <c r="D294" s="130">
        <v>1</v>
      </c>
      <c r="E294" s="130">
        <v>1</v>
      </c>
      <c r="F294" s="130">
        <v>1</v>
      </c>
      <c r="G294" s="148">
        <v>0.21</v>
      </c>
      <c r="H294" s="148">
        <v>0.21</v>
      </c>
      <c r="I294" s="148">
        <v>24</v>
      </c>
      <c r="J294" s="148" t="s">
        <v>996</v>
      </c>
      <c r="K294" s="148">
        <f t="shared" si="172"/>
        <v>24</v>
      </c>
      <c r="L294" s="148" t="str">
        <f t="shared" si="172"/>
        <v>24/24</v>
      </c>
      <c r="M294" s="148">
        <f t="shared" si="172"/>
        <v>24</v>
      </c>
      <c r="N294" s="148" t="str">
        <f t="shared" si="172"/>
        <v>24/24</v>
      </c>
      <c r="O294" s="148">
        <f t="shared" si="172"/>
        <v>24</v>
      </c>
      <c r="P294" s="148" t="str">
        <f t="shared" si="172"/>
        <v>24/24</v>
      </c>
      <c r="Q294" s="486">
        <v>30</v>
      </c>
      <c r="R294" s="546">
        <f t="shared" si="173"/>
        <v>151.19999999999999</v>
      </c>
      <c r="S294" s="547">
        <f t="shared" si="174"/>
        <v>151.19999999999999</v>
      </c>
      <c r="T294" s="547">
        <f t="shared" si="175"/>
        <v>151.19999999999999</v>
      </c>
      <c r="U294" s="547">
        <f t="shared" si="176"/>
        <v>151.19999999999999</v>
      </c>
      <c r="V294" s="546">
        <f t="shared" si="177"/>
        <v>151.19999999999999</v>
      </c>
      <c r="W294" s="547">
        <f t="shared" si="178"/>
        <v>151.19999999999999</v>
      </c>
      <c r="X294" s="547">
        <f t="shared" si="179"/>
        <v>151.19999999999999</v>
      </c>
      <c r="Y294" s="547">
        <f t="shared" si="180"/>
        <v>151.19999999999999</v>
      </c>
      <c r="Z294" s="554">
        <f t="shared" si="181"/>
        <v>1</v>
      </c>
      <c r="AA294" s="554">
        <f t="shared" si="181"/>
        <v>1</v>
      </c>
      <c r="AB294" s="554">
        <f t="shared" si="181"/>
        <v>1</v>
      </c>
      <c r="AC294" s="554">
        <f t="shared" si="181"/>
        <v>1</v>
      </c>
    </row>
    <row r="295" spans="1:29" s="96" customFormat="1">
      <c r="A295" s="92">
        <v>5</v>
      </c>
      <c r="B295" s="143" t="s">
        <v>471</v>
      </c>
      <c r="C295" s="130">
        <v>1</v>
      </c>
      <c r="D295" s="130">
        <v>1</v>
      </c>
      <c r="E295" s="130">
        <v>1</v>
      </c>
      <c r="F295" s="130">
        <v>1</v>
      </c>
      <c r="G295" s="148">
        <v>15</v>
      </c>
      <c r="H295" s="148">
        <v>15</v>
      </c>
      <c r="I295" s="148">
        <v>6</v>
      </c>
      <c r="J295" s="148" t="s">
        <v>1776</v>
      </c>
      <c r="K295" s="148">
        <f t="shared" si="172"/>
        <v>6</v>
      </c>
      <c r="L295" s="148" t="str">
        <f t="shared" si="172"/>
        <v>7h30-17h30</v>
      </c>
      <c r="M295" s="148">
        <f t="shared" si="172"/>
        <v>6</v>
      </c>
      <c r="N295" s="148" t="str">
        <f t="shared" si="172"/>
        <v>7h30-17h30</v>
      </c>
      <c r="O295" s="148">
        <f t="shared" si="172"/>
        <v>6</v>
      </c>
      <c r="P295" s="148" t="str">
        <f t="shared" si="172"/>
        <v>7h30-17h30</v>
      </c>
      <c r="Q295" s="486">
        <v>30</v>
      </c>
      <c r="R295" s="546">
        <f t="shared" si="173"/>
        <v>2700</v>
      </c>
      <c r="S295" s="547">
        <f t="shared" si="174"/>
        <v>2700</v>
      </c>
      <c r="T295" s="547">
        <f t="shared" si="175"/>
        <v>2700</v>
      </c>
      <c r="U295" s="547">
        <f t="shared" si="176"/>
        <v>2700</v>
      </c>
      <c r="V295" s="546">
        <f t="shared" si="177"/>
        <v>2700</v>
      </c>
      <c r="W295" s="547">
        <f t="shared" si="178"/>
        <v>2700</v>
      </c>
      <c r="X295" s="547">
        <f t="shared" si="179"/>
        <v>2700</v>
      </c>
      <c r="Y295" s="547">
        <f t="shared" si="180"/>
        <v>2700</v>
      </c>
      <c r="Z295" s="554">
        <f t="shared" si="181"/>
        <v>1</v>
      </c>
      <c r="AA295" s="554">
        <f t="shared" si="181"/>
        <v>1</v>
      </c>
      <c r="AB295" s="554">
        <f t="shared" si="181"/>
        <v>1</v>
      </c>
      <c r="AC295" s="554">
        <f t="shared" si="181"/>
        <v>1</v>
      </c>
    </row>
    <row r="296" spans="1:29" s="96" customFormat="1">
      <c r="A296" s="92">
        <v>6</v>
      </c>
      <c r="B296" s="143" t="s">
        <v>477</v>
      </c>
      <c r="C296" s="130">
        <v>1</v>
      </c>
      <c r="D296" s="130">
        <v>1</v>
      </c>
      <c r="E296" s="130">
        <v>1</v>
      </c>
      <c r="F296" s="130">
        <v>1</v>
      </c>
      <c r="G296" s="148">
        <v>1.3</v>
      </c>
      <c r="H296" s="148">
        <v>1.3</v>
      </c>
      <c r="I296" s="148">
        <v>6</v>
      </c>
      <c r="J296" s="148" t="s">
        <v>1776</v>
      </c>
      <c r="K296" s="148">
        <f t="shared" si="172"/>
        <v>6</v>
      </c>
      <c r="L296" s="148" t="str">
        <f t="shared" si="172"/>
        <v>7h30-17h30</v>
      </c>
      <c r="M296" s="148">
        <f t="shared" si="172"/>
        <v>6</v>
      </c>
      <c r="N296" s="148" t="str">
        <f t="shared" si="172"/>
        <v>7h30-17h30</v>
      </c>
      <c r="O296" s="148">
        <f t="shared" si="172"/>
        <v>6</v>
      </c>
      <c r="P296" s="148" t="str">
        <f t="shared" si="172"/>
        <v>7h30-17h30</v>
      </c>
      <c r="Q296" s="486">
        <v>30</v>
      </c>
      <c r="R296" s="546">
        <f t="shared" si="173"/>
        <v>234.00000000000003</v>
      </c>
      <c r="S296" s="547">
        <f t="shared" si="174"/>
        <v>234.00000000000003</v>
      </c>
      <c r="T296" s="547">
        <f t="shared" si="175"/>
        <v>234.00000000000003</v>
      </c>
      <c r="U296" s="547">
        <f t="shared" si="176"/>
        <v>234.00000000000003</v>
      </c>
      <c r="V296" s="546">
        <f t="shared" si="177"/>
        <v>234.00000000000003</v>
      </c>
      <c r="W296" s="547">
        <f t="shared" si="178"/>
        <v>234.00000000000003</v>
      </c>
      <c r="X296" s="547">
        <f t="shared" si="179"/>
        <v>234.00000000000003</v>
      </c>
      <c r="Y296" s="547">
        <f t="shared" si="180"/>
        <v>234.00000000000003</v>
      </c>
      <c r="Z296" s="554">
        <f t="shared" si="181"/>
        <v>1</v>
      </c>
      <c r="AA296" s="554">
        <f t="shared" si="181"/>
        <v>1</v>
      </c>
      <c r="AB296" s="554">
        <f t="shared" si="181"/>
        <v>1</v>
      </c>
      <c r="AC296" s="554">
        <f t="shared" si="181"/>
        <v>1</v>
      </c>
    </row>
    <row r="297" spans="1:29" s="96" customFormat="1">
      <c r="A297" s="92">
        <v>7</v>
      </c>
      <c r="B297" s="143" t="s">
        <v>463</v>
      </c>
      <c r="C297" s="133">
        <v>1</v>
      </c>
      <c r="D297" s="127">
        <v>1</v>
      </c>
      <c r="E297" s="127">
        <v>1</v>
      </c>
      <c r="F297" s="127">
        <v>1</v>
      </c>
      <c r="G297" s="148">
        <v>1.3</v>
      </c>
      <c r="H297" s="148">
        <v>1.3</v>
      </c>
      <c r="I297" s="148">
        <v>6</v>
      </c>
      <c r="J297" s="148" t="s">
        <v>1776</v>
      </c>
      <c r="K297" s="148">
        <f t="shared" si="172"/>
        <v>6</v>
      </c>
      <c r="L297" s="148" t="str">
        <f t="shared" si="172"/>
        <v>7h30-17h30</v>
      </c>
      <c r="M297" s="148">
        <f t="shared" si="172"/>
        <v>6</v>
      </c>
      <c r="N297" s="148" t="str">
        <f t="shared" si="172"/>
        <v>7h30-17h30</v>
      </c>
      <c r="O297" s="148">
        <f t="shared" si="172"/>
        <v>6</v>
      </c>
      <c r="P297" s="148" t="str">
        <f t="shared" si="172"/>
        <v>7h30-17h30</v>
      </c>
      <c r="Q297" s="486">
        <v>30</v>
      </c>
      <c r="R297" s="546">
        <f t="shared" si="173"/>
        <v>234.00000000000003</v>
      </c>
      <c r="S297" s="547">
        <f t="shared" si="174"/>
        <v>234.00000000000003</v>
      </c>
      <c r="T297" s="547">
        <f t="shared" si="175"/>
        <v>234.00000000000003</v>
      </c>
      <c r="U297" s="547">
        <f t="shared" si="176"/>
        <v>234.00000000000003</v>
      </c>
      <c r="V297" s="546">
        <f t="shared" si="177"/>
        <v>234.00000000000003</v>
      </c>
      <c r="W297" s="547">
        <f t="shared" si="178"/>
        <v>234.00000000000003</v>
      </c>
      <c r="X297" s="547">
        <f t="shared" si="179"/>
        <v>234.00000000000003</v>
      </c>
      <c r="Y297" s="547">
        <f t="shared" si="180"/>
        <v>234.00000000000003</v>
      </c>
      <c r="Z297" s="548">
        <f t="shared" si="181"/>
        <v>1</v>
      </c>
      <c r="AA297" s="548">
        <f t="shared" si="181"/>
        <v>1</v>
      </c>
      <c r="AB297" s="548">
        <f t="shared" si="181"/>
        <v>1</v>
      </c>
      <c r="AC297" s="548">
        <f t="shared" si="181"/>
        <v>1</v>
      </c>
    </row>
    <row r="298" spans="1:29" s="96" customFormat="1">
      <c r="A298" s="92">
        <v>8</v>
      </c>
      <c r="B298" s="143" t="s">
        <v>445</v>
      </c>
      <c r="C298" s="130">
        <v>1</v>
      </c>
      <c r="D298" s="130">
        <v>1</v>
      </c>
      <c r="E298" s="130">
        <v>1</v>
      </c>
      <c r="F298" s="130">
        <v>1</v>
      </c>
      <c r="G298" s="148">
        <v>0.28999999999999998</v>
      </c>
      <c r="H298" s="148">
        <v>0.28999999999999998</v>
      </c>
      <c r="I298" s="148">
        <v>4</v>
      </c>
      <c r="J298" s="148" t="s">
        <v>1123</v>
      </c>
      <c r="K298" s="148">
        <f t="shared" si="172"/>
        <v>4</v>
      </c>
      <c r="L298" s="148" t="str">
        <f t="shared" si="172"/>
        <v>10h-15h</v>
      </c>
      <c r="M298" s="148">
        <f t="shared" si="172"/>
        <v>4</v>
      </c>
      <c r="N298" s="148" t="str">
        <f t="shared" si="172"/>
        <v>10h-15h</v>
      </c>
      <c r="O298" s="148">
        <f t="shared" si="172"/>
        <v>4</v>
      </c>
      <c r="P298" s="148" t="str">
        <f t="shared" si="172"/>
        <v>10h-15h</v>
      </c>
      <c r="Q298" s="486">
        <v>30</v>
      </c>
      <c r="R298" s="546">
        <f t="shared" si="173"/>
        <v>34.799999999999997</v>
      </c>
      <c r="S298" s="547">
        <f t="shared" si="174"/>
        <v>34.799999999999997</v>
      </c>
      <c r="T298" s="547">
        <f t="shared" si="175"/>
        <v>34.799999999999997</v>
      </c>
      <c r="U298" s="547">
        <f t="shared" si="176"/>
        <v>34.799999999999997</v>
      </c>
      <c r="V298" s="546">
        <f t="shared" si="177"/>
        <v>34.799999999999997</v>
      </c>
      <c r="W298" s="547">
        <f t="shared" si="178"/>
        <v>34.799999999999997</v>
      </c>
      <c r="X298" s="547">
        <f t="shared" si="179"/>
        <v>34.799999999999997</v>
      </c>
      <c r="Y298" s="547">
        <f t="shared" si="180"/>
        <v>34.799999999999997</v>
      </c>
      <c r="Z298" s="554">
        <f t="shared" si="181"/>
        <v>1</v>
      </c>
      <c r="AA298" s="554">
        <f t="shared" si="181"/>
        <v>1</v>
      </c>
      <c r="AB298" s="554">
        <f t="shared" si="181"/>
        <v>1</v>
      </c>
      <c r="AC298" s="554">
        <f t="shared" si="181"/>
        <v>1</v>
      </c>
    </row>
    <row r="299" spans="1:29" s="485" customFormat="1">
      <c r="A299" s="488"/>
      <c r="B299" s="487" t="s">
        <v>747</v>
      </c>
      <c r="C299" s="537"/>
      <c r="D299" s="537"/>
      <c r="E299" s="537"/>
      <c r="F299" s="537"/>
      <c r="G299" s="480"/>
      <c r="H299" s="480"/>
      <c r="I299" s="480"/>
      <c r="J299" s="480"/>
      <c r="K299" s="480"/>
      <c r="L299" s="480"/>
      <c r="M299" s="480"/>
      <c r="N299" s="480"/>
      <c r="O299" s="480"/>
      <c r="P299" s="480"/>
      <c r="Q299" s="483"/>
      <c r="R299" s="550"/>
      <c r="S299" s="552"/>
      <c r="T299" s="552"/>
      <c r="U299" s="552"/>
      <c r="V299" s="550"/>
      <c r="W299" s="552"/>
      <c r="X299" s="552"/>
      <c r="Y299" s="552"/>
      <c r="Z299" s="551"/>
      <c r="AA299" s="551"/>
      <c r="AB299" s="551"/>
      <c r="AC299" s="551"/>
    </row>
    <row r="300" spans="1:29" s="96" customFormat="1">
      <c r="A300" s="92">
        <v>1</v>
      </c>
      <c r="B300" s="153" t="s">
        <v>396</v>
      </c>
      <c r="C300" s="154">
        <v>1</v>
      </c>
      <c r="D300" s="154">
        <v>1</v>
      </c>
      <c r="E300" s="154">
        <v>1</v>
      </c>
      <c r="F300" s="154">
        <v>1</v>
      </c>
      <c r="G300" s="148">
        <v>10</v>
      </c>
      <c r="H300" s="148">
        <v>10</v>
      </c>
      <c r="I300" s="148">
        <v>24</v>
      </c>
      <c r="J300" s="148" t="s">
        <v>996</v>
      </c>
      <c r="K300" s="148">
        <f t="shared" si="172"/>
        <v>24</v>
      </c>
      <c r="L300" s="148" t="str">
        <f t="shared" si="172"/>
        <v>24/24</v>
      </c>
      <c r="M300" s="148">
        <f t="shared" si="172"/>
        <v>24</v>
      </c>
      <c r="N300" s="148" t="str">
        <f t="shared" si="172"/>
        <v>24/24</v>
      </c>
      <c r="O300" s="148">
        <f t="shared" si="172"/>
        <v>24</v>
      </c>
      <c r="P300" s="148" t="str">
        <f t="shared" si="172"/>
        <v>24/24</v>
      </c>
      <c r="Q300" s="486">
        <v>30</v>
      </c>
      <c r="R300" s="546">
        <f t="shared" ref="R300:R318" si="182">C300*G300*I300*Q300</f>
        <v>7200</v>
      </c>
      <c r="S300" s="547">
        <f>D300*G300*K300*Q300</f>
        <v>7200</v>
      </c>
      <c r="T300" s="547">
        <f>E300*G300*M300*Q300</f>
        <v>7200</v>
      </c>
      <c r="U300" s="547">
        <f>F300*G300*O300*Q300</f>
        <v>7200</v>
      </c>
      <c r="V300" s="546">
        <f>C300*H300*I300*Q300</f>
        <v>7200</v>
      </c>
      <c r="W300" s="547">
        <f>D300*H300*K300*Q300</f>
        <v>7200</v>
      </c>
      <c r="X300" s="547">
        <f>E300*H300*M300*Q300</f>
        <v>7200</v>
      </c>
      <c r="Y300" s="547">
        <f>F300*H300*O300*Q300</f>
        <v>7200</v>
      </c>
      <c r="Z300" s="554">
        <f t="shared" ref="Z300:AC305" si="183">V300/R300</f>
        <v>1</v>
      </c>
      <c r="AA300" s="554">
        <f t="shared" si="183"/>
        <v>1</v>
      </c>
      <c r="AB300" s="554">
        <f t="shared" si="183"/>
        <v>1</v>
      </c>
      <c r="AC300" s="554">
        <f t="shared" si="183"/>
        <v>1</v>
      </c>
    </row>
    <row r="301" spans="1:29" s="96" customFormat="1">
      <c r="A301" s="92">
        <v>2</v>
      </c>
      <c r="B301" s="143" t="s">
        <v>716</v>
      </c>
      <c r="C301" s="14">
        <v>1</v>
      </c>
      <c r="D301" s="14">
        <v>1</v>
      </c>
      <c r="E301" s="14">
        <v>1</v>
      </c>
      <c r="F301" s="14">
        <v>1</v>
      </c>
      <c r="G301" s="148">
        <v>0.21</v>
      </c>
      <c r="H301" s="148">
        <v>0.21</v>
      </c>
      <c r="I301" s="148">
        <v>24</v>
      </c>
      <c r="J301" s="148" t="s">
        <v>996</v>
      </c>
      <c r="K301" s="148">
        <f t="shared" si="172"/>
        <v>24</v>
      </c>
      <c r="L301" s="148" t="str">
        <f t="shared" si="172"/>
        <v>24/24</v>
      </c>
      <c r="M301" s="148">
        <f t="shared" si="172"/>
        <v>24</v>
      </c>
      <c r="N301" s="148" t="str">
        <f t="shared" si="172"/>
        <v>24/24</v>
      </c>
      <c r="O301" s="148">
        <f t="shared" si="172"/>
        <v>24</v>
      </c>
      <c r="P301" s="148" t="str">
        <f t="shared" si="172"/>
        <v>24/24</v>
      </c>
      <c r="Q301" s="486">
        <v>30</v>
      </c>
      <c r="R301" s="546">
        <f t="shared" si="182"/>
        <v>151.19999999999999</v>
      </c>
      <c r="S301" s="547">
        <f>D301*G301*K301*Q301</f>
        <v>151.19999999999999</v>
      </c>
      <c r="T301" s="547">
        <f>E301*G301*M301*Q301</f>
        <v>151.19999999999999</v>
      </c>
      <c r="U301" s="547">
        <f>F301*G301*O301*Q301</f>
        <v>151.19999999999999</v>
      </c>
      <c r="V301" s="546">
        <f>C301*H301*I301*Q301</f>
        <v>151.19999999999999</v>
      </c>
      <c r="W301" s="547">
        <f>D301*H301*K301*Q301</f>
        <v>151.19999999999999</v>
      </c>
      <c r="X301" s="547">
        <f>E301*H301*M301*Q301</f>
        <v>151.19999999999999</v>
      </c>
      <c r="Y301" s="547">
        <f>F301*H301*O301*Q301</f>
        <v>151.19999999999999</v>
      </c>
      <c r="Z301" s="554">
        <f t="shared" si="183"/>
        <v>1</v>
      </c>
      <c r="AA301" s="554">
        <f t="shared" si="183"/>
        <v>1</v>
      </c>
      <c r="AB301" s="554">
        <f t="shared" si="183"/>
        <v>1</v>
      </c>
      <c r="AC301" s="554">
        <f t="shared" si="183"/>
        <v>1</v>
      </c>
    </row>
    <row r="302" spans="1:29" s="96" customFormat="1">
      <c r="A302" s="92">
        <v>3</v>
      </c>
      <c r="B302" s="143" t="s">
        <v>469</v>
      </c>
      <c r="C302" s="130">
        <v>1</v>
      </c>
      <c r="D302" s="130">
        <v>1</v>
      </c>
      <c r="E302" s="130">
        <v>1</v>
      </c>
      <c r="F302" s="130">
        <v>1</v>
      </c>
      <c r="G302" s="148">
        <v>1.8</v>
      </c>
      <c r="H302" s="148">
        <v>1.8</v>
      </c>
      <c r="I302" s="148">
        <v>24</v>
      </c>
      <c r="J302" s="148" t="s">
        <v>996</v>
      </c>
      <c r="K302" s="148">
        <f t="shared" si="172"/>
        <v>24</v>
      </c>
      <c r="L302" s="148" t="str">
        <f t="shared" si="172"/>
        <v>24/24</v>
      </c>
      <c r="M302" s="148">
        <f t="shared" si="172"/>
        <v>24</v>
      </c>
      <c r="N302" s="148" t="str">
        <f t="shared" si="172"/>
        <v>24/24</v>
      </c>
      <c r="O302" s="148">
        <f t="shared" si="172"/>
        <v>24</v>
      </c>
      <c r="P302" s="148" t="str">
        <f t="shared" si="172"/>
        <v>24/24</v>
      </c>
      <c r="Q302" s="486">
        <v>30</v>
      </c>
      <c r="R302" s="546">
        <f t="shared" si="182"/>
        <v>1296</v>
      </c>
      <c r="S302" s="547">
        <f>D302*G302*K302*Q302</f>
        <v>1296</v>
      </c>
      <c r="T302" s="547">
        <f>E302*G302*M302*Q302</f>
        <v>1296</v>
      </c>
      <c r="U302" s="547">
        <f>F302*G302*O302*Q302</f>
        <v>1296</v>
      </c>
      <c r="V302" s="546">
        <f>C302*H302*I302*Q302</f>
        <v>1296</v>
      </c>
      <c r="W302" s="547">
        <f>D302*H302*K302*Q302</f>
        <v>1296</v>
      </c>
      <c r="X302" s="547">
        <f>E302*H302*M302*Q302</f>
        <v>1296</v>
      </c>
      <c r="Y302" s="547">
        <f>F302*H302*O302*Q302</f>
        <v>1296</v>
      </c>
      <c r="Z302" s="554">
        <f t="shared" si="183"/>
        <v>1</v>
      </c>
      <c r="AA302" s="554">
        <f t="shared" si="183"/>
        <v>1</v>
      </c>
      <c r="AB302" s="554">
        <f t="shared" si="183"/>
        <v>1</v>
      </c>
      <c r="AC302" s="554">
        <f t="shared" si="183"/>
        <v>1</v>
      </c>
    </row>
    <row r="303" spans="1:29" s="96" customFormat="1">
      <c r="A303" s="92">
        <v>4</v>
      </c>
      <c r="B303" s="143" t="s">
        <v>445</v>
      </c>
      <c r="C303" s="130">
        <v>1</v>
      </c>
      <c r="D303" s="130">
        <v>1</v>
      </c>
      <c r="E303" s="130">
        <v>1</v>
      </c>
      <c r="F303" s="130">
        <v>1</v>
      </c>
      <c r="G303" s="148">
        <v>0.28999999999999998</v>
      </c>
      <c r="H303" s="148">
        <v>0.28999999999999998</v>
      </c>
      <c r="I303" s="148">
        <v>4</v>
      </c>
      <c r="J303" s="148" t="s">
        <v>1123</v>
      </c>
      <c r="K303" s="148">
        <f t="shared" si="172"/>
        <v>4</v>
      </c>
      <c r="L303" s="148" t="str">
        <f t="shared" si="172"/>
        <v>10h-15h</v>
      </c>
      <c r="M303" s="148">
        <f t="shared" si="172"/>
        <v>4</v>
      </c>
      <c r="N303" s="148" t="str">
        <f t="shared" si="172"/>
        <v>10h-15h</v>
      </c>
      <c r="O303" s="148">
        <f t="shared" si="172"/>
        <v>4</v>
      </c>
      <c r="P303" s="148" t="str">
        <f t="shared" si="172"/>
        <v>10h-15h</v>
      </c>
      <c r="Q303" s="486">
        <v>30</v>
      </c>
      <c r="R303" s="546">
        <f t="shared" si="182"/>
        <v>34.799999999999997</v>
      </c>
      <c r="S303" s="547">
        <f>D303*G303*K303*Q303</f>
        <v>34.799999999999997</v>
      </c>
      <c r="T303" s="547">
        <f>E303*G303*M303*Q303</f>
        <v>34.799999999999997</v>
      </c>
      <c r="U303" s="547">
        <f>F303*G303*O303*Q303</f>
        <v>34.799999999999997</v>
      </c>
      <c r="V303" s="546">
        <f>C303*H303*I303*Q303</f>
        <v>34.799999999999997</v>
      </c>
      <c r="W303" s="547">
        <f>D303*H303*K303*Q303</f>
        <v>34.799999999999997</v>
      </c>
      <c r="X303" s="547">
        <f>E303*H303*M303*Q303</f>
        <v>34.799999999999997</v>
      </c>
      <c r="Y303" s="547">
        <f>F303*H303*O303*Q303</f>
        <v>34.799999999999997</v>
      </c>
      <c r="Z303" s="554">
        <f t="shared" si="183"/>
        <v>1</v>
      </c>
      <c r="AA303" s="554">
        <f t="shared" si="183"/>
        <v>1</v>
      </c>
      <c r="AB303" s="554">
        <f t="shared" si="183"/>
        <v>1</v>
      </c>
      <c r="AC303" s="554">
        <f t="shared" si="183"/>
        <v>1</v>
      </c>
    </row>
    <row r="304" spans="1:29" s="96" customFormat="1">
      <c r="A304" s="92">
        <v>5</v>
      </c>
      <c r="B304" s="143" t="s">
        <v>460</v>
      </c>
      <c r="C304" s="133">
        <v>1</v>
      </c>
      <c r="D304" s="133">
        <v>1</v>
      </c>
      <c r="E304" s="133">
        <v>1</v>
      </c>
      <c r="F304" s="133">
        <v>1</v>
      </c>
      <c r="G304" s="148">
        <v>15</v>
      </c>
      <c r="H304" s="148">
        <v>15</v>
      </c>
      <c r="I304" s="148">
        <v>6</v>
      </c>
      <c r="J304" s="148" t="s">
        <v>1777</v>
      </c>
      <c r="K304" s="148">
        <f t="shared" si="172"/>
        <v>6</v>
      </c>
      <c r="L304" s="148" t="str">
        <f t="shared" si="172"/>
        <v>7h45-16h30</v>
      </c>
      <c r="M304" s="148">
        <f t="shared" si="172"/>
        <v>6</v>
      </c>
      <c r="N304" s="148" t="str">
        <f t="shared" si="172"/>
        <v>7h45-16h30</v>
      </c>
      <c r="O304" s="148">
        <f t="shared" si="172"/>
        <v>6</v>
      </c>
      <c r="P304" s="148" t="str">
        <f t="shared" si="172"/>
        <v>7h45-16h30</v>
      </c>
      <c r="Q304" s="486">
        <v>30</v>
      </c>
      <c r="R304" s="546">
        <f t="shared" si="182"/>
        <v>2700</v>
      </c>
      <c r="S304" s="547">
        <f>D304*G304*K304*Q304</f>
        <v>2700</v>
      </c>
      <c r="T304" s="547">
        <f>E304*G304*M304*Q304</f>
        <v>2700</v>
      </c>
      <c r="U304" s="547">
        <f>F304*G304*O304*Q304</f>
        <v>2700</v>
      </c>
      <c r="V304" s="546">
        <f>C304*H304*I304*Q304</f>
        <v>2700</v>
      </c>
      <c r="W304" s="547">
        <f>D304*H304*K304*Q304</f>
        <v>2700</v>
      </c>
      <c r="X304" s="547">
        <f>E304*H304*M304*Q304</f>
        <v>2700</v>
      </c>
      <c r="Y304" s="547">
        <f>F304*H304*O304*Q304</f>
        <v>2700</v>
      </c>
      <c r="Z304" s="548">
        <f t="shared" si="183"/>
        <v>1</v>
      </c>
      <c r="AA304" s="548">
        <f t="shared" si="183"/>
        <v>1</v>
      </c>
      <c r="AB304" s="548">
        <f t="shared" si="183"/>
        <v>1</v>
      </c>
      <c r="AC304" s="548">
        <f t="shared" si="183"/>
        <v>1</v>
      </c>
    </row>
    <row r="305" spans="1:29" s="96" customFormat="1">
      <c r="A305" s="92">
        <v>6</v>
      </c>
      <c r="B305" s="143" t="s">
        <v>475</v>
      </c>
      <c r="C305" s="130">
        <v>1</v>
      </c>
      <c r="D305" s="130">
        <v>1</v>
      </c>
      <c r="E305" s="130">
        <v>1</v>
      </c>
      <c r="F305" s="130">
        <v>1</v>
      </c>
      <c r="G305" s="148">
        <v>0.3</v>
      </c>
      <c r="H305" s="148">
        <v>0.3</v>
      </c>
      <c r="I305" s="148">
        <v>24</v>
      </c>
      <c r="J305" s="148" t="s">
        <v>996</v>
      </c>
      <c r="K305" s="148">
        <f t="shared" si="172"/>
        <v>24</v>
      </c>
      <c r="L305" s="148" t="str">
        <f t="shared" si="172"/>
        <v>24/24</v>
      </c>
      <c r="M305" s="148">
        <f t="shared" si="172"/>
        <v>24</v>
      </c>
      <c r="N305" s="148" t="str">
        <f t="shared" si="172"/>
        <v>24/24</v>
      </c>
      <c r="O305" s="148">
        <f t="shared" si="172"/>
        <v>24</v>
      </c>
      <c r="P305" s="148" t="str">
        <f t="shared" si="172"/>
        <v>24/24</v>
      </c>
      <c r="Q305" s="486">
        <v>30</v>
      </c>
      <c r="R305" s="546">
        <f t="shared" si="182"/>
        <v>215.99999999999997</v>
      </c>
      <c r="S305" s="547">
        <f t="shared" ref="S305" si="184">D305*G305*K305*Q305</f>
        <v>215.99999999999997</v>
      </c>
      <c r="T305" s="547">
        <f t="shared" ref="T305" si="185">E305*G305*M305*Q305</f>
        <v>215.99999999999997</v>
      </c>
      <c r="U305" s="547">
        <f t="shared" ref="U305" si="186">F305*G305*O305*Q305</f>
        <v>215.99999999999997</v>
      </c>
      <c r="V305" s="546">
        <f t="shared" ref="V305" si="187">C305*H305*I305*Q305</f>
        <v>215.99999999999997</v>
      </c>
      <c r="W305" s="547">
        <f t="shared" ref="W305" si="188">D305*H305*K305*Q305</f>
        <v>215.99999999999997</v>
      </c>
      <c r="X305" s="547">
        <f t="shared" ref="X305" si="189">E305*H305*M305*Q305</f>
        <v>215.99999999999997</v>
      </c>
      <c r="Y305" s="547">
        <f t="shared" ref="Y305" si="190">F305*H305*O305*Q305</f>
        <v>215.99999999999997</v>
      </c>
      <c r="Z305" s="554">
        <f t="shared" si="183"/>
        <v>1</v>
      </c>
      <c r="AA305" s="554">
        <f t="shared" si="183"/>
        <v>1</v>
      </c>
      <c r="AB305" s="554">
        <f t="shared" si="183"/>
        <v>1</v>
      </c>
      <c r="AC305" s="554">
        <f t="shared" si="183"/>
        <v>1</v>
      </c>
    </row>
    <row r="306" spans="1:29" s="485" customFormat="1">
      <c r="A306" s="488"/>
      <c r="B306" s="487" t="s">
        <v>748</v>
      </c>
      <c r="C306" s="537"/>
      <c r="D306" s="537"/>
      <c r="E306" s="537"/>
      <c r="F306" s="537"/>
      <c r="G306" s="480"/>
      <c r="H306" s="480"/>
      <c r="I306" s="480"/>
      <c r="J306" s="480"/>
      <c r="K306" s="480"/>
      <c r="L306" s="480"/>
      <c r="M306" s="480"/>
      <c r="N306" s="480"/>
      <c r="O306" s="480"/>
      <c r="P306" s="480"/>
      <c r="Q306" s="483"/>
      <c r="R306" s="550">
        <f t="shared" si="182"/>
        <v>0</v>
      </c>
      <c r="S306" s="552"/>
      <c r="T306" s="552"/>
      <c r="U306" s="552"/>
      <c r="V306" s="550"/>
      <c r="W306" s="552"/>
      <c r="X306" s="552"/>
      <c r="Y306" s="552"/>
      <c r="Z306" s="551"/>
      <c r="AA306" s="551"/>
      <c r="AB306" s="551"/>
      <c r="AC306" s="551"/>
    </row>
    <row r="307" spans="1:29" s="96" customFormat="1">
      <c r="A307" s="92">
        <v>1</v>
      </c>
      <c r="B307" s="143" t="s">
        <v>1775</v>
      </c>
      <c r="C307" s="130">
        <v>2</v>
      </c>
      <c r="D307" s="130">
        <v>2</v>
      </c>
      <c r="E307" s="130">
        <v>2</v>
      </c>
      <c r="F307" s="130">
        <v>2</v>
      </c>
      <c r="G307" s="148">
        <v>0.21</v>
      </c>
      <c r="H307" s="148">
        <v>0.21</v>
      </c>
      <c r="I307" s="148">
        <v>24</v>
      </c>
      <c r="J307" s="148" t="s">
        <v>996</v>
      </c>
      <c r="K307" s="148">
        <f t="shared" si="172"/>
        <v>24</v>
      </c>
      <c r="L307" s="148" t="str">
        <f t="shared" si="172"/>
        <v>24/24</v>
      </c>
      <c r="M307" s="148">
        <f t="shared" si="172"/>
        <v>24</v>
      </c>
      <c r="N307" s="148" t="str">
        <f t="shared" si="172"/>
        <v>24/24</v>
      </c>
      <c r="O307" s="148">
        <f t="shared" si="172"/>
        <v>24</v>
      </c>
      <c r="P307" s="148" t="str">
        <f t="shared" si="172"/>
        <v>24/24</v>
      </c>
      <c r="Q307" s="486">
        <v>30</v>
      </c>
      <c r="R307" s="546">
        <f t="shared" si="182"/>
        <v>302.39999999999998</v>
      </c>
      <c r="S307" s="547">
        <f>D307*G307*K307*Q307</f>
        <v>302.39999999999998</v>
      </c>
      <c r="T307" s="547">
        <f>E307*G307*M307*Q307</f>
        <v>302.39999999999998</v>
      </c>
      <c r="U307" s="547">
        <f>F307*G307*O307*Q307</f>
        <v>302.39999999999998</v>
      </c>
      <c r="V307" s="546">
        <f t="shared" ref="V307:V312" si="191">C307*H307*I307*Q307</f>
        <v>302.39999999999998</v>
      </c>
      <c r="W307" s="547">
        <f>D307*H307*K307*Q307</f>
        <v>302.39999999999998</v>
      </c>
      <c r="X307" s="547">
        <f>E307*H307*M307*Q307</f>
        <v>302.39999999999998</v>
      </c>
      <c r="Y307" s="547">
        <f>F307*H307*O307*Q307</f>
        <v>302.39999999999998</v>
      </c>
      <c r="Z307" s="554">
        <f t="shared" ref="Z307:AC311" si="192">V307/R307</f>
        <v>1</v>
      </c>
      <c r="AA307" s="554">
        <f t="shared" si="192"/>
        <v>1</v>
      </c>
      <c r="AB307" s="554">
        <f t="shared" si="192"/>
        <v>1</v>
      </c>
      <c r="AC307" s="554">
        <f t="shared" si="192"/>
        <v>1</v>
      </c>
    </row>
    <row r="308" spans="1:29" s="96" customFormat="1">
      <c r="A308" s="92">
        <v>2</v>
      </c>
      <c r="B308" s="143" t="s">
        <v>469</v>
      </c>
      <c r="C308" s="130">
        <v>1</v>
      </c>
      <c r="D308" s="130">
        <v>1</v>
      </c>
      <c r="E308" s="130">
        <v>1</v>
      </c>
      <c r="F308" s="130">
        <v>1</v>
      </c>
      <c r="G308" s="148">
        <v>1.8</v>
      </c>
      <c r="H308" s="148">
        <v>1.8</v>
      </c>
      <c r="I308" s="148">
        <v>24</v>
      </c>
      <c r="J308" s="148" t="s">
        <v>996</v>
      </c>
      <c r="K308" s="148">
        <f t="shared" ref="K308:P325" si="193">I308</f>
        <v>24</v>
      </c>
      <c r="L308" s="148" t="str">
        <f t="shared" si="193"/>
        <v>24/24</v>
      </c>
      <c r="M308" s="148">
        <f t="shared" si="193"/>
        <v>24</v>
      </c>
      <c r="N308" s="148" t="str">
        <f t="shared" si="193"/>
        <v>24/24</v>
      </c>
      <c r="O308" s="148">
        <f t="shared" si="193"/>
        <v>24</v>
      </c>
      <c r="P308" s="148" t="str">
        <f t="shared" si="193"/>
        <v>24/24</v>
      </c>
      <c r="Q308" s="486">
        <v>30</v>
      </c>
      <c r="R308" s="546">
        <f t="shared" si="182"/>
        <v>1296</v>
      </c>
      <c r="S308" s="547">
        <f>D308*G308*K308*Q308</f>
        <v>1296</v>
      </c>
      <c r="T308" s="547">
        <f>E308*G308*M308*Q308</f>
        <v>1296</v>
      </c>
      <c r="U308" s="547">
        <f>F308*G308*O308*Q308</f>
        <v>1296</v>
      </c>
      <c r="V308" s="546">
        <f t="shared" si="191"/>
        <v>1296</v>
      </c>
      <c r="W308" s="547">
        <f>D308*H308*K308*Q308</f>
        <v>1296</v>
      </c>
      <c r="X308" s="547">
        <f>E308*H308*M308*Q308</f>
        <v>1296</v>
      </c>
      <c r="Y308" s="547">
        <f>F308*H308*O308*Q308</f>
        <v>1296</v>
      </c>
      <c r="Z308" s="554">
        <f t="shared" si="192"/>
        <v>1</v>
      </c>
      <c r="AA308" s="554">
        <f t="shared" si="192"/>
        <v>1</v>
      </c>
      <c r="AB308" s="554">
        <f t="shared" si="192"/>
        <v>1</v>
      </c>
      <c r="AC308" s="554">
        <f t="shared" si="192"/>
        <v>1</v>
      </c>
    </row>
    <row r="309" spans="1:29" s="96" customFormat="1">
      <c r="A309" s="92">
        <v>3</v>
      </c>
      <c r="B309" s="143" t="s">
        <v>475</v>
      </c>
      <c r="C309" s="130">
        <v>1</v>
      </c>
      <c r="D309" s="130">
        <v>1</v>
      </c>
      <c r="E309" s="130">
        <v>1</v>
      </c>
      <c r="F309" s="130">
        <v>1</v>
      </c>
      <c r="G309" s="148">
        <v>0.3</v>
      </c>
      <c r="H309" s="148">
        <v>0.3</v>
      </c>
      <c r="I309" s="148">
        <v>24</v>
      </c>
      <c r="J309" s="148" t="s">
        <v>996</v>
      </c>
      <c r="K309" s="148">
        <f t="shared" si="193"/>
        <v>24</v>
      </c>
      <c r="L309" s="148" t="str">
        <f t="shared" si="193"/>
        <v>24/24</v>
      </c>
      <c r="M309" s="148">
        <f t="shared" si="193"/>
        <v>24</v>
      </c>
      <c r="N309" s="148" t="str">
        <f t="shared" si="193"/>
        <v>24/24</v>
      </c>
      <c r="O309" s="148">
        <f t="shared" si="193"/>
        <v>24</v>
      </c>
      <c r="P309" s="148" t="str">
        <f t="shared" si="193"/>
        <v>24/24</v>
      </c>
      <c r="Q309" s="486">
        <v>30</v>
      </c>
      <c r="R309" s="546">
        <f t="shared" si="182"/>
        <v>215.99999999999997</v>
      </c>
      <c r="S309" s="547">
        <f>D309*G309*K309*Q309</f>
        <v>215.99999999999997</v>
      </c>
      <c r="T309" s="547">
        <f>E309*G309*M309*Q309</f>
        <v>215.99999999999997</v>
      </c>
      <c r="U309" s="547">
        <f>F309*G309*O309*Q309</f>
        <v>215.99999999999997</v>
      </c>
      <c r="V309" s="546">
        <f t="shared" si="191"/>
        <v>215.99999999999997</v>
      </c>
      <c r="W309" s="547">
        <f>D309*H309*K309*Q309</f>
        <v>215.99999999999997</v>
      </c>
      <c r="X309" s="547">
        <f>E309*H309*M309*Q309</f>
        <v>215.99999999999997</v>
      </c>
      <c r="Y309" s="547">
        <f>F309*H309*O309*Q309</f>
        <v>215.99999999999997</v>
      </c>
      <c r="Z309" s="554">
        <f t="shared" si="192"/>
        <v>1</v>
      </c>
      <c r="AA309" s="554">
        <f t="shared" si="192"/>
        <v>1</v>
      </c>
      <c r="AB309" s="554">
        <f t="shared" si="192"/>
        <v>1</v>
      </c>
      <c r="AC309" s="554">
        <f t="shared" si="192"/>
        <v>1</v>
      </c>
    </row>
    <row r="310" spans="1:29" s="96" customFormat="1">
      <c r="A310" s="92">
        <v>4</v>
      </c>
      <c r="B310" s="143" t="s">
        <v>471</v>
      </c>
      <c r="C310" s="130">
        <v>1</v>
      </c>
      <c r="D310" s="130">
        <v>1</v>
      </c>
      <c r="E310" s="130">
        <v>1</v>
      </c>
      <c r="F310" s="130">
        <v>1</v>
      </c>
      <c r="G310" s="148">
        <v>15</v>
      </c>
      <c r="H310" s="148">
        <v>15</v>
      </c>
      <c r="I310" s="148">
        <v>6</v>
      </c>
      <c r="J310" s="148" t="s">
        <v>1777</v>
      </c>
      <c r="K310" s="148">
        <f t="shared" si="193"/>
        <v>6</v>
      </c>
      <c r="L310" s="148" t="str">
        <f t="shared" si="193"/>
        <v>7h45-16h30</v>
      </c>
      <c r="M310" s="148">
        <f t="shared" si="193"/>
        <v>6</v>
      </c>
      <c r="N310" s="148" t="str">
        <f t="shared" si="193"/>
        <v>7h45-16h30</v>
      </c>
      <c r="O310" s="148">
        <f t="shared" si="193"/>
        <v>6</v>
      </c>
      <c r="P310" s="148" t="str">
        <f t="shared" si="193"/>
        <v>7h45-16h30</v>
      </c>
      <c r="Q310" s="486">
        <v>30</v>
      </c>
      <c r="R310" s="546">
        <f t="shared" si="182"/>
        <v>2700</v>
      </c>
      <c r="S310" s="547">
        <f>D310*G310*K310*Q310</f>
        <v>2700</v>
      </c>
      <c r="T310" s="547">
        <f>E310*G310*M310*Q310</f>
        <v>2700</v>
      </c>
      <c r="U310" s="547">
        <f>F310*G310*O310*Q310</f>
        <v>2700</v>
      </c>
      <c r="V310" s="546">
        <f t="shared" si="191"/>
        <v>2700</v>
      </c>
      <c r="W310" s="547">
        <f>D310*H310*K310*Q310</f>
        <v>2700</v>
      </c>
      <c r="X310" s="547">
        <f>E310*H310*M310*Q310</f>
        <v>2700</v>
      </c>
      <c r="Y310" s="547">
        <f>F310*H310*O310*Q310</f>
        <v>2700</v>
      </c>
      <c r="Z310" s="554">
        <f t="shared" si="192"/>
        <v>1</v>
      </c>
      <c r="AA310" s="554">
        <f t="shared" si="192"/>
        <v>1</v>
      </c>
      <c r="AB310" s="554">
        <f t="shared" si="192"/>
        <v>1</v>
      </c>
      <c r="AC310" s="554">
        <f t="shared" si="192"/>
        <v>1</v>
      </c>
    </row>
    <row r="311" spans="1:29" s="96" customFormat="1">
      <c r="A311" s="92">
        <v>5</v>
      </c>
      <c r="B311" s="143" t="s">
        <v>477</v>
      </c>
      <c r="C311" s="130">
        <v>1</v>
      </c>
      <c r="D311" s="130">
        <v>1</v>
      </c>
      <c r="E311" s="130">
        <v>1</v>
      </c>
      <c r="F311" s="130">
        <v>1</v>
      </c>
      <c r="G311" s="148">
        <v>1.3</v>
      </c>
      <c r="H311" s="148">
        <v>1.3</v>
      </c>
      <c r="I311" s="148">
        <v>6</v>
      </c>
      <c r="J311" s="148" t="s">
        <v>1777</v>
      </c>
      <c r="K311" s="148">
        <f t="shared" si="193"/>
        <v>6</v>
      </c>
      <c r="L311" s="148" t="str">
        <f t="shared" si="193"/>
        <v>7h45-16h30</v>
      </c>
      <c r="M311" s="148">
        <f t="shared" si="193"/>
        <v>6</v>
      </c>
      <c r="N311" s="148" t="str">
        <f t="shared" si="193"/>
        <v>7h45-16h30</v>
      </c>
      <c r="O311" s="148">
        <f t="shared" si="193"/>
        <v>6</v>
      </c>
      <c r="P311" s="148" t="str">
        <f t="shared" si="193"/>
        <v>7h45-16h30</v>
      </c>
      <c r="Q311" s="486">
        <v>30</v>
      </c>
      <c r="R311" s="546">
        <f t="shared" si="182"/>
        <v>234.00000000000003</v>
      </c>
      <c r="S311" s="547">
        <f>D311*G311*K311*Q311</f>
        <v>234.00000000000003</v>
      </c>
      <c r="T311" s="547">
        <f>E311*G311*M311*Q311</f>
        <v>234.00000000000003</v>
      </c>
      <c r="U311" s="547">
        <f>F311*G311*O311*Q311</f>
        <v>234.00000000000003</v>
      </c>
      <c r="V311" s="546">
        <f t="shared" si="191"/>
        <v>234.00000000000003</v>
      </c>
      <c r="W311" s="547">
        <f>D311*H311*K311*Q311</f>
        <v>234.00000000000003</v>
      </c>
      <c r="X311" s="547">
        <f>E311*H311*M311*Q311</f>
        <v>234.00000000000003</v>
      </c>
      <c r="Y311" s="547">
        <f>F311*H311*O311*Q311</f>
        <v>234.00000000000003</v>
      </c>
      <c r="Z311" s="554">
        <f t="shared" si="192"/>
        <v>1</v>
      </c>
      <c r="AA311" s="554">
        <f t="shared" si="192"/>
        <v>1</v>
      </c>
      <c r="AB311" s="554">
        <f t="shared" si="192"/>
        <v>1</v>
      </c>
      <c r="AC311" s="554">
        <f t="shared" si="192"/>
        <v>1</v>
      </c>
    </row>
    <row r="312" spans="1:29" s="96" customFormat="1" ht="16.5">
      <c r="A312" s="92">
        <v>6</v>
      </c>
      <c r="B312" s="153" t="s">
        <v>396</v>
      </c>
      <c r="C312" s="130">
        <v>2</v>
      </c>
      <c r="D312" s="130">
        <v>2</v>
      </c>
      <c r="E312" s="130">
        <v>2</v>
      </c>
      <c r="F312" s="130">
        <v>2</v>
      </c>
      <c r="G312" s="148">
        <v>5</v>
      </c>
      <c r="H312" s="148">
        <v>5</v>
      </c>
      <c r="I312" s="529">
        <v>8</v>
      </c>
      <c r="J312" s="529" t="s">
        <v>1778</v>
      </c>
      <c r="K312" s="529">
        <v>8</v>
      </c>
      <c r="L312" s="529" t="s">
        <v>1778</v>
      </c>
      <c r="M312" s="529">
        <v>8</v>
      </c>
      <c r="N312" s="529" t="s">
        <v>1778</v>
      </c>
      <c r="O312" s="529">
        <v>8</v>
      </c>
      <c r="P312" s="529" t="s">
        <v>1778</v>
      </c>
      <c r="Q312" s="540">
        <v>30</v>
      </c>
      <c r="R312" s="546">
        <f t="shared" si="182"/>
        <v>2400</v>
      </c>
      <c r="S312" s="547"/>
      <c r="T312" s="547"/>
      <c r="U312" s="547"/>
      <c r="V312" s="546">
        <f t="shared" si="191"/>
        <v>2400</v>
      </c>
      <c r="W312" s="547"/>
      <c r="X312" s="547"/>
      <c r="Y312" s="547"/>
      <c r="Z312" s="554">
        <f>V312/R312</f>
        <v>1</v>
      </c>
      <c r="AA312" s="554"/>
      <c r="AB312" s="554"/>
      <c r="AC312" s="554"/>
    </row>
    <row r="313" spans="1:29" s="485" customFormat="1">
      <c r="A313" s="488"/>
      <c r="B313" s="553" t="s">
        <v>749</v>
      </c>
      <c r="C313" s="478"/>
      <c r="D313" s="478"/>
      <c r="E313" s="478"/>
      <c r="F313" s="478"/>
      <c r="G313" s="480"/>
      <c r="H313" s="480"/>
      <c r="I313" s="480"/>
      <c r="J313" s="480"/>
      <c r="K313" s="480"/>
      <c r="L313" s="480"/>
      <c r="M313" s="480"/>
      <c r="N313" s="480"/>
      <c r="O313" s="480"/>
      <c r="P313" s="480"/>
      <c r="Q313" s="483"/>
      <c r="R313" s="550">
        <f t="shared" si="182"/>
        <v>0</v>
      </c>
      <c r="S313" s="552"/>
      <c r="T313" s="552"/>
      <c r="U313" s="552"/>
      <c r="V313" s="550"/>
      <c r="W313" s="552"/>
      <c r="X313" s="552"/>
      <c r="Y313" s="552"/>
      <c r="Z313" s="555"/>
      <c r="AA313" s="555"/>
      <c r="AB313" s="555"/>
      <c r="AC313" s="555"/>
    </row>
    <row r="314" spans="1:29" s="96" customFormat="1">
      <c r="A314" s="92">
        <v>1</v>
      </c>
      <c r="B314" s="143" t="s">
        <v>1775</v>
      </c>
      <c r="C314" s="130">
        <v>1</v>
      </c>
      <c r="D314" s="130">
        <v>1</v>
      </c>
      <c r="E314" s="130">
        <v>1</v>
      </c>
      <c r="F314" s="130">
        <v>1</v>
      </c>
      <c r="G314" s="148">
        <v>0.21</v>
      </c>
      <c r="H314" s="148">
        <v>0.21</v>
      </c>
      <c r="I314" s="148">
        <v>24</v>
      </c>
      <c r="J314" s="148" t="s">
        <v>996</v>
      </c>
      <c r="K314" s="148">
        <f t="shared" ref="K314:P315" si="194">I314</f>
        <v>24</v>
      </c>
      <c r="L314" s="148" t="str">
        <f t="shared" si="194"/>
        <v>24/24</v>
      </c>
      <c r="M314" s="148">
        <f t="shared" si="194"/>
        <v>24</v>
      </c>
      <c r="N314" s="148" t="str">
        <f t="shared" si="194"/>
        <v>24/24</v>
      </c>
      <c r="O314" s="148">
        <f t="shared" si="194"/>
        <v>24</v>
      </c>
      <c r="P314" s="148" t="str">
        <f t="shared" si="194"/>
        <v>24/24</v>
      </c>
      <c r="Q314" s="486">
        <v>30</v>
      </c>
      <c r="R314" s="546">
        <f t="shared" si="182"/>
        <v>151.19999999999999</v>
      </c>
      <c r="S314" s="547">
        <f>D314*G314*K314*Q314</f>
        <v>151.19999999999999</v>
      </c>
      <c r="T314" s="547">
        <f>E314*G314*M314*Q314</f>
        <v>151.19999999999999</v>
      </c>
      <c r="U314" s="547">
        <f>F314*G314*O314*Q314</f>
        <v>151.19999999999999</v>
      </c>
      <c r="V314" s="546">
        <f>C314*H314*I314*Q314</f>
        <v>151.19999999999999</v>
      </c>
      <c r="W314" s="547">
        <f>D314*H314*K314*Q314</f>
        <v>151.19999999999999</v>
      </c>
      <c r="X314" s="547">
        <f>E314*H314*M314*Q314</f>
        <v>151.19999999999999</v>
      </c>
      <c r="Y314" s="547">
        <f>F314*H314*O314*Q314</f>
        <v>151.19999999999999</v>
      </c>
      <c r="Z314" s="554">
        <f t="shared" ref="Z314:AC315" si="195">V314/R314</f>
        <v>1</v>
      </c>
      <c r="AA314" s="554">
        <f t="shared" si="195"/>
        <v>1</v>
      </c>
      <c r="AB314" s="554">
        <f t="shared" si="195"/>
        <v>1</v>
      </c>
      <c r="AC314" s="554">
        <f t="shared" si="195"/>
        <v>1</v>
      </c>
    </row>
    <row r="315" spans="1:29" s="96" customFormat="1">
      <c r="A315" s="92">
        <v>2</v>
      </c>
      <c r="B315" s="143" t="s">
        <v>469</v>
      </c>
      <c r="C315" s="130">
        <v>1</v>
      </c>
      <c r="D315" s="130">
        <v>1</v>
      </c>
      <c r="E315" s="130">
        <v>1</v>
      </c>
      <c r="F315" s="130">
        <v>1</v>
      </c>
      <c r="G315" s="148">
        <v>1.8</v>
      </c>
      <c r="H315" s="148">
        <v>1.8</v>
      </c>
      <c r="I315" s="148">
        <v>24</v>
      </c>
      <c r="J315" s="148" t="s">
        <v>996</v>
      </c>
      <c r="K315" s="148">
        <f t="shared" si="194"/>
        <v>24</v>
      </c>
      <c r="L315" s="148" t="str">
        <f t="shared" si="194"/>
        <v>24/24</v>
      </c>
      <c r="M315" s="148">
        <f t="shared" si="194"/>
        <v>24</v>
      </c>
      <c r="N315" s="148" t="str">
        <f t="shared" si="194"/>
        <v>24/24</v>
      </c>
      <c r="O315" s="148">
        <f t="shared" si="194"/>
        <v>24</v>
      </c>
      <c r="P315" s="148" t="str">
        <f t="shared" si="194"/>
        <v>24/24</v>
      </c>
      <c r="Q315" s="486">
        <v>30</v>
      </c>
      <c r="R315" s="546">
        <f t="shared" si="182"/>
        <v>1296</v>
      </c>
      <c r="S315" s="547">
        <f>D315*G315*K315*Q315</f>
        <v>1296</v>
      </c>
      <c r="T315" s="547">
        <f>E315*G315*M315*Q315</f>
        <v>1296</v>
      </c>
      <c r="U315" s="547">
        <f>F315*G315*O315*Q315</f>
        <v>1296</v>
      </c>
      <c r="V315" s="546">
        <f>C315*H315*I315*Q315</f>
        <v>1296</v>
      </c>
      <c r="W315" s="547">
        <f>D315*H315*K315*Q315</f>
        <v>1296</v>
      </c>
      <c r="X315" s="547">
        <f>E315*H315*M315*Q315</f>
        <v>1296</v>
      </c>
      <c r="Y315" s="547">
        <f>F315*H315*O315*Q315</f>
        <v>1296</v>
      </c>
      <c r="Z315" s="554">
        <f t="shared" si="195"/>
        <v>1</v>
      </c>
      <c r="AA315" s="554">
        <f t="shared" si="195"/>
        <v>1</v>
      </c>
      <c r="AB315" s="554">
        <f t="shared" si="195"/>
        <v>1</v>
      </c>
      <c r="AC315" s="554">
        <f t="shared" si="195"/>
        <v>1</v>
      </c>
    </row>
    <row r="316" spans="1:29" s="485" customFormat="1">
      <c r="A316" s="488"/>
      <c r="B316" s="553" t="s">
        <v>750</v>
      </c>
      <c r="C316" s="537"/>
      <c r="D316" s="537"/>
      <c r="E316" s="537"/>
      <c r="F316" s="537"/>
      <c r="G316" s="480"/>
      <c r="H316" s="480"/>
      <c r="I316" s="480"/>
      <c r="J316" s="480"/>
      <c r="K316" s="480"/>
      <c r="L316" s="480"/>
      <c r="M316" s="480"/>
      <c r="N316" s="480"/>
      <c r="O316" s="480"/>
      <c r="P316" s="480"/>
      <c r="Q316" s="483"/>
      <c r="R316" s="550">
        <f t="shared" si="182"/>
        <v>0</v>
      </c>
      <c r="S316" s="552"/>
      <c r="T316" s="552"/>
      <c r="U316" s="552"/>
      <c r="V316" s="550"/>
      <c r="W316" s="552"/>
      <c r="X316" s="552"/>
      <c r="Y316" s="552"/>
      <c r="Z316" s="551"/>
      <c r="AA316" s="551"/>
      <c r="AB316" s="551"/>
      <c r="AC316" s="551"/>
    </row>
    <row r="317" spans="1:29" s="96" customFormat="1">
      <c r="A317" s="92">
        <v>1</v>
      </c>
      <c r="B317" s="143" t="s">
        <v>1775</v>
      </c>
      <c r="C317" s="130">
        <v>1</v>
      </c>
      <c r="D317" s="130">
        <v>1</v>
      </c>
      <c r="E317" s="130">
        <v>1</v>
      </c>
      <c r="F317" s="130">
        <v>1</v>
      </c>
      <c r="G317" s="148">
        <v>0.21</v>
      </c>
      <c r="H317" s="148">
        <v>0.21</v>
      </c>
      <c r="I317" s="148">
        <v>24</v>
      </c>
      <c r="J317" s="148" t="s">
        <v>996</v>
      </c>
      <c r="K317" s="148">
        <f t="shared" ref="K317:P318" si="196">I317</f>
        <v>24</v>
      </c>
      <c r="L317" s="148" t="str">
        <f t="shared" si="196"/>
        <v>24/24</v>
      </c>
      <c r="M317" s="148">
        <f t="shared" si="196"/>
        <v>24</v>
      </c>
      <c r="N317" s="148" t="str">
        <f t="shared" si="196"/>
        <v>24/24</v>
      </c>
      <c r="O317" s="148">
        <f t="shared" si="196"/>
        <v>24</v>
      </c>
      <c r="P317" s="148" t="str">
        <f t="shared" si="196"/>
        <v>24/24</v>
      </c>
      <c r="Q317" s="486">
        <v>30</v>
      </c>
      <c r="R317" s="546">
        <f t="shared" si="182"/>
        <v>151.19999999999999</v>
      </c>
      <c r="S317" s="547">
        <f>D317*G317*K317*Q317</f>
        <v>151.19999999999999</v>
      </c>
      <c r="T317" s="547">
        <f>E317*G317*M317*Q317</f>
        <v>151.19999999999999</v>
      </c>
      <c r="U317" s="547">
        <f>F317*G317*O317*Q317</f>
        <v>151.19999999999999</v>
      </c>
      <c r="V317" s="546">
        <f>C317*H317*I317*Q317</f>
        <v>151.19999999999999</v>
      </c>
      <c r="W317" s="547">
        <f>D317*H317*K317*Q317</f>
        <v>151.19999999999999</v>
      </c>
      <c r="X317" s="547">
        <f>E317*H317*M317*Q317</f>
        <v>151.19999999999999</v>
      </c>
      <c r="Y317" s="547">
        <f>F317*H317*O317*Q317</f>
        <v>151.19999999999999</v>
      </c>
      <c r="Z317" s="554">
        <f t="shared" ref="Z317:AC318" si="197">V317/R317</f>
        <v>1</v>
      </c>
      <c r="AA317" s="554">
        <f t="shared" si="197"/>
        <v>1</v>
      </c>
      <c r="AB317" s="554">
        <f t="shared" si="197"/>
        <v>1</v>
      </c>
      <c r="AC317" s="554">
        <f t="shared" si="197"/>
        <v>1</v>
      </c>
    </row>
    <row r="318" spans="1:29" s="96" customFormat="1">
      <c r="A318" s="92">
        <v>2</v>
      </c>
      <c r="B318" s="143" t="s">
        <v>469</v>
      </c>
      <c r="C318" s="130">
        <v>1</v>
      </c>
      <c r="D318" s="130">
        <v>1</v>
      </c>
      <c r="E318" s="130">
        <v>1</v>
      </c>
      <c r="F318" s="130">
        <v>1</v>
      </c>
      <c r="G318" s="148">
        <v>1.8</v>
      </c>
      <c r="H318" s="148">
        <v>1.8</v>
      </c>
      <c r="I318" s="148">
        <v>24</v>
      </c>
      <c r="J318" s="148" t="s">
        <v>996</v>
      </c>
      <c r="K318" s="148">
        <f t="shared" si="196"/>
        <v>24</v>
      </c>
      <c r="L318" s="148" t="str">
        <f t="shared" si="196"/>
        <v>24/24</v>
      </c>
      <c r="M318" s="148">
        <f t="shared" si="196"/>
        <v>24</v>
      </c>
      <c r="N318" s="148" t="str">
        <f t="shared" si="196"/>
        <v>24/24</v>
      </c>
      <c r="O318" s="148">
        <f t="shared" si="196"/>
        <v>24</v>
      </c>
      <c r="P318" s="148" t="str">
        <f t="shared" si="196"/>
        <v>24/24</v>
      </c>
      <c r="Q318" s="486">
        <v>30</v>
      </c>
      <c r="R318" s="546">
        <f t="shared" si="182"/>
        <v>1296</v>
      </c>
      <c r="S318" s="547">
        <f>D318*G318*K318*Q318</f>
        <v>1296</v>
      </c>
      <c r="T318" s="547">
        <f>E318*G318*M318*Q318</f>
        <v>1296</v>
      </c>
      <c r="U318" s="547">
        <f>F318*G318*O318*Q318</f>
        <v>1296</v>
      </c>
      <c r="V318" s="546">
        <f>C318*H318*I318*Q318</f>
        <v>1296</v>
      </c>
      <c r="W318" s="547">
        <f>D318*H318*K318*Q318</f>
        <v>1296</v>
      </c>
      <c r="X318" s="547">
        <f>E318*H318*M318*Q318</f>
        <v>1296</v>
      </c>
      <c r="Y318" s="547">
        <f>F318*H318*O318*Q318</f>
        <v>1296</v>
      </c>
      <c r="Z318" s="554">
        <f t="shared" si="197"/>
        <v>1</v>
      </c>
      <c r="AA318" s="554">
        <f t="shared" si="197"/>
        <v>1</v>
      </c>
      <c r="AB318" s="554">
        <f t="shared" si="197"/>
        <v>1</v>
      </c>
      <c r="AC318" s="554">
        <f t="shared" si="197"/>
        <v>1</v>
      </c>
    </row>
    <row r="319" spans="1:29" s="485" customFormat="1">
      <c r="A319" s="488"/>
      <c r="B319" s="553" t="s">
        <v>751</v>
      </c>
      <c r="C319" s="537"/>
      <c r="D319" s="537"/>
      <c r="E319" s="537"/>
      <c r="F319" s="537"/>
      <c r="G319" s="480"/>
      <c r="H319" s="480"/>
      <c r="I319" s="480"/>
      <c r="J319" s="480"/>
      <c r="K319" s="480"/>
      <c r="L319" s="480"/>
      <c r="M319" s="480"/>
      <c r="N319" s="480"/>
      <c r="O319" s="480"/>
      <c r="P319" s="480"/>
      <c r="Q319" s="483"/>
      <c r="R319" s="550"/>
      <c r="S319" s="552"/>
      <c r="T319" s="552"/>
      <c r="U319" s="552"/>
      <c r="V319" s="550"/>
      <c r="W319" s="552"/>
      <c r="X319" s="552"/>
      <c r="Y319" s="552"/>
      <c r="Z319" s="551"/>
      <c r="AA319" s="551"/>
      <c r="AB319" s="551"/>
      <c r="AC319" s="551"/>
    </row>
    <row r="320" spans="1:29" s="96" customFormat="1">
      <c r="A320" s="92">
        <v>1</v>
      </c>
      <c r="B320" s="143" t="s">
        <v>469</v>
      </c>
      <c r="C320" s="130">
        <v>2</v>
      </c>
      <c r="D320" s="130">
        <v>2</v>
      </c>
      <c r="E320" s="130">
        <v>2</v>
      </c>
      <c r="F320" s="130">
        <v>2</v>
      </c>
      <c r="G320" s="148">
        <v>1.8</v>
      </c>
      <c r="H320" s="148">
        <v>1.8</v>
      </c>
      <c r="I320" s="148">
        <v>24</v>
      </c>
      <c r="J320" s="148" t="s">
        <v>996</v>
      </c>
      <c r="K320" s="148">
        <f t="shared" si="193"/>
        <v>24</v>
      </c>
      <c r="L320" s="148" t="str">
        <f t="shared" si="193"/>
        <v>24/24</v>
      </c>
      <c r="M320" s="148">
        <f t="shared" si="193"/>
        <v>24</v>
      </c>
      <c r="N320" s="148" t="str">
        <f t="shared" si="193"/>
        <v>24/24</v>
      </c>
      <c r="O320" s="148">
        <f t="shared" si="193"/>
        <v>24</v>
      </c>
      <c r="P320" s="148" t="str">
        <f t="shared" si="193"/>
        <v>24/24</v>
      </c>
      <c r="Q320" s="486">
        <v>30</v>
      </c>
      <c r="R320" s="546">
        <f>C320*G320*I320*Q320</f>
        <v>2592</v>
      </c>
      <c r="S320" s="547">
        <f>D320*G320*K320*Q320</f>
        <v>2592</v>
      </c>
      <c r="T320" s="547">
        <f>E320*G320*M320*Q320</f>
        <v>2592</v>
      </c>
      <c r="U320" s="547">
        <f>F320*G320*O320*Q320</f>
        <v>2592</v>
      </c>
      <c r="V320" s="546">
        <f>C320*H320*I320*Q320</f>
        <v>2592</v>
      </c>
      <c r="W320" s="547">
        <f>D320*H320*K320*Q320</f>
        <v>2592</v>
      </c>
      <c r="X320" s="547">
        <f>E320*H320*M320*Q320</f>
        <v>2592</v>
      </c>
      <c r="Y320" s="547">
        <f>F320*H320*O320*Q320</f>
        <v>2592</v>
      </c>
      <c r="Z320" s="554">
        <f t="shared" ref="Z320:AC324" si="198">V320/R320</f>
        <v>1</v>
      </c>
      <c r="AA320" s="554">
        <f t="shared" si="198"/>
        <v>1</v>
      </c>
      <c r="AB320" s="554">
        <f t="shared" si="198"/>
        <v>1</v>
      </c>
      <c r="AC320" s="554">
        <f t="shared" si="198"/>
        <v>1</v>
      </c>
    </row>
    <row r="321" spans="1:29" s="96" customFormat="1">
      <c r="A321" s="92">
        <v>2</v>
      </c>
      <c r="B321" s="143" t="s">
        <v>475</v>
      </c>
      <c r="C321" s="130">
        <v>3</v>
      </c>
      <c r="D321" s="130">
        <v>3</v>
      </c>
      <c r="E321" s="130">
        <v>3</v>
      </c>
      <c r="F321" s="130">
        <v>3</v>
      </c>
      <c r="G321" s="148">
        <v>0.3</v>
      </c>
      <c r="H321" s="148">
        <v>0.3</v>
      </c>
      <c r="I321" s="148">
        <v>24</v>
      </c>
      <c r="J321" s="148" t="s">
        <v>996</v>
      </c>
      <c r="K321" s="148">
        <f t="shared" si="193"/>
        <v>24</v>
      </c>
      <c r="L321" s="148" t="str">
        <f t="shared" si="193"/>
        <v>24/24</v>
      </c>
      <c r="M321" s="148">
        <f t="shared" si="193"/>
        <v>24</v>
      </c>
      <c r="N321" s="148" t="str">
        <f t="shared" si="193"/>
        <v>24/24</v>
      </c>
      <c r="O321" s="148">
        <f t="shared" si="193"/>
        <v>24</v>
      </c>
      <c r="P321" s="148" t="str">
        <f t="shared" si="193"/>
        <v>24/24</v>
      </c>
      <c r="Q321" s="486">
        <v>30</v>
      </c>
      <c r="R321" s="546">
        <f>C321*G321*I321*Q321</f>
        <v>647.99999999999989</v>
      </c>
      <c r="S321" s="547">
        <f>D321*G321*K321*Q321</f>
        <v>647.99999999999989</v>
      </c>
      <c r="T321" s="547">
        <f>E321*G321*M321*Q321</f>
        <v>647.99999999999989</v>
      </c>
      <c r="U321" s="547">
        <f>F321*G321*O321*Q321</f>
        <v>647.99999999999989</v>
      </c>
      <c r="V321" s="546">
        <f>C321*H321*I321*Q321</f>
        <v>647.99999999999989</v>
      </c>
      <c r="W321" s="547">
        <f>D321*H321*K321*Q321</f>
        <v>647.99999999999989</v>
      </c>
      <c r="X321" s="547">
        <f>E321*H321*M321*Q321</f>
        <v>647.99999999999989</v>
      </c>
      <c r="Y321" s="547">
        <f>F321*H321*O321*Q321</f>
        <v>647.99999999999989</v>
      </c>
      <c r="Z321" s="554">
        <f t="shared" si="198"/>
        <v>1</v>
      </c>
      <c r="AA321" s="554">
        <f t="shared" si="198"/>
        <v>1</v>
      </c>
      <c r="AB321" s="554">
        <f t="shared" si="198"/>
        <v>1</v>
      </c>
      <c r="AC321" s="554">
        <f t="shared" si="198"/>
        <v>1</v>
      </c>
    </row>
    <row r="322" spans="1:29" s="96" customFormat="1">
      <c r="A322" s="92">
        <v>3</v>
      </c>
      <c r="B322" s="143" t="s">
        <v>1775</v>
      </c>
      <c r="C322" s="130">
        <v>1</v>
      </c>
      <c r="D322" s="130">
        <v>1</v>
      </c>
      <c r="E322" s="130">
        <v>1</v>
      </c>
      <c r="F322" s="130">
        <v>1</v>
      </c>
      <c r="G322" s="148">
        <v>0.21</v>
      </c>
      <c r="H322" s="148">
        <v>0.21</v>
      </c>
      <c r="I322" s="148">
        <v>24</v>
      </c>
      <c r="J322" s="148" t="s">
        <v>996</v>
      </c>
      <c r="K322" s="148">
        <f t="shared" si="193"/>
        <v>24</v>
      </c>
      <c r="L322" s="148" t="str">
        <f t="shared" si="193"/>
        <v>24/24</v>
      </c>
      <c r="M322" s="148">
        <f t="shared" si="193"/>
        <v>24</v>
      </c>
      <c r="N322" s="148" t="str">
        <f t="shared" si="193"/>
        <v>24/24</v>
      </c>
      <c r="O322" s="148">
        <f t="shared" si="193"/>
        <v>24</v>
      </c>
      <c r="P322" s="148" t="str">
        <f t="shared" si="193"/>
        <v>24/24</v>
      </c>
      <c r="Q322" s="486">
        <v>30</v>
      </c>
      <c r="R322" s="546">
        <f>C322*G322*I322*Q322</f>
        <v>151.19999999999999</v>
      </c>
      <c r="S322" s="547">
        <f>D322*G322*K322*Q322</f>
        <v>151.19999999999999</v>
      </c>
      <c r="T322" s="547">
        <f>E322*G322*M322*Q322</f>
        <v>151.19999999999999</v>
      </c>
      <c r="U322" s="547">
        <f>F322*G322*O322*Q322</f>
        <v>151.19999999999999</v>
      </c>
      <c r="V322" s="546">
        <f>C322*H322*I322*Q322</f>
        <v>151.19999999999999</v>
      </c>
      <c r="W322" s="547">
        <f>D322*H322*K322*Q322</f>
        <v>151.19999999999999</v>
      </c>
      <c r="X322" s="547">
        <f>E322*H322*M322*Q322</f>
        <v>151.19999999999999</v>
      </c>
      <c r="Y322" s="547">
        <f>F322*H322*O322*Q322</f>
        <v>151.19999999999999</v>
      </c>
      <c r="Z322" s="554">
        <f t="shared" si="198"/>
        <v>1</v>
      </c>
      <c r="AA322" s="554">
        <f t="shared" si="198"/>
        <v>1</v>
      </c>
      <c r="AB322" s="554">
        <f t="shared" si="198"/>
        <v>1</v>
      </c>
      <c r="AC322" s="554">
        <f t="shared" si="198"/>
        <v>1</v>
      </c>
    </row>
    <row r="323" spans="1:29" s="96" customFormat="1">
      <c r="A323" s="92">
        <v>4</v>
      </c>
      <c r="B323" s="143" t="s">
        <v>445</v>
      </c>
      <c r="C323" s="130">
        <v>1</v>
      </c>
      <c r="D323" s="130">
        <v>1</v>
      </c>
      <c r="E323" s="130">
        <v>1</v>
      </c>
      <c r="F323" s="130">
        <v>1</v>
      </c>
      <c r="G323" s="148">
        <v>0.28999999999999998</v>
      </c>
      <c r="H323" s="148">
        <v>0.28999999999999998</v>
      </c>
      <c r="I323" s="148">
        <v>4</v>
      </c>
      <c r="J323" s="148" t="s">
        <v>1126</v>
      </c>
      <c r="K323" s="148">
        <f t="shared" si="193"/>
        <v>4</v>
      </c>
      <c r="L323" s="148" t="str">
        <f t="shared" si="193"/>
        <v>10h-14h</v>
      </c>
      <c r="M323" s="148">
        <f t="shared" si="193"/>
        <v>4</v>
      </c>
      <c r="N323" s="148" t="str">
        <f t="shared" si="193"/>
        <v>10h-14h</v>
      </c>
      <c r="O323" s="148">
        <f t="shared" si="193"/>
        <v>4</v>
      </c>
      <c r="P323" s="148" t="str">
        <f t="shared" si="193"/>
        <v>10h-14h</v>
      </c>
      <c r="Q323" s="486">
        <v>30</v>
      </c>
      <c r="R323" s="546">
        <f>C323*G323*I323*Q323</f>
        <v>34.799999999999997</v>
      </c>
      <c r="S323" s="547">
        <f>D323*G323*K323*Q323</f>
        <v>34.799999999999997</v>
      </c>
      <c r="T323" s="547">
        <f>E323*G323*M323*Q323</f>
        <v>34.799999999999997</v>
      </c>
      <c r="U323" s="547">
        <f>F323*G323*O323*Q323</f>
        <v>34.799999999999997</v>
      </c>
      <c r="V323" s="546">
        <f>C323*H323*I323*Q323</f>
        <v>34.799999999999997</v>
      </c>
      <c r="W323" s="547">
        <f>D323*H323*K323*Q323</f>
        <v>34.799999999999997</v>
      </c>
      <c r="X323" s="547">
        <f>E323*H323*M323*Q323</f>
        <v>34.799999999999997</v>
      </c>
      <c r="Y323" s="547">
        <f>F323*H323*O323*Q323</f>
        <v>34.799999999999997</v>
      </c>
      <c r="Z323" s="554">
        <f t="shared" si="198"/>
        <v>1</v>
      </c>
      <c r="AA323" s="554">
        <f t="shared" si="198"/>
        <v>1</v>
      </c>
      <c r="AB323" s="554">
        <f t="shared" si="198"/>
        <v>1</v>
      </c>
      <c r="AC323" s="554">
        <f t="shared" si="198"/>
        <v>1</v>
      </c>
    </row>
    <row r="324" spans="1:29" s="96" customFormat="1">
      <c r="A324" s="92">
        <v>5</v>
      </c>
      <c r="B324" s="143" t="s">
        <v>562</v>
      </c>
      <c r="C324" s="130">
        <v>1</v>
      </c>
      <c r="D324" s="130">
        <v>1</v>
      </c>
      <c r="E324" s="130">
        <v>1</v>
      </c>
      <c r="F324" s="130">
        <v>1</v>
      </c>
      <c r="G324" s="148">
        <v>0.15</v>
      </c>
      <c r="H324" s="148">
        <v>0.15</v>
      </c>
      <c r="I324" s="148">
        <v>4</v>
      </c>
      <c r="J324" s="148" t="s">
        <v>1126</v>
      </c>
      <c r="K324" s="148">
        <f t="shared" si="193"/>
        <v>4</v>
      </c>
      <c r="L324" s="148" t="str">
        <f t="shared" si="193"/>
        <v>10h-14h</v>
      </c>
      <c r="M324" s="148">
        <f t="shared" si="193"/>
        <v>4</v>
      </c>
      <c r="N324" s="148" t="str">
        <f t="shared" si="193"/>
        <v>10h-14h</v>
      </c>
      <c r="O324" s="148">
        <f t="shared" si="193"/>
        <v>4</v>
      </c>
      <c r="P324" s="148" t="str">
        <f t="shared" si="193"/>
        <v>10h-14h</v>
      </c>
      <c r="Q324" s="486">
        <v>30</v>
      </c>
      <c r="R324" s="546">
        <f>C324*G324*I324*Q324</f>
        <v>18</v>
      </c>
      <c r="S324" s="547">
        <f>D324*G324*K324*Q324</f>
        <v>18</v>
      </c>
      <c r="T324" s="547">
        <f>E324*G324*M324*Q324</f>
        <v>18</v>
      </c>
      <c r="U324" s="547">
        <f>F324*G324*O324*Q324</f>
        <v>18</v>
      </c>
      <c r="V324" s="546">
        <f>C324*H324*I324*Q324</f>
        <v>18</v>
      </c>
      <c r="W324" s="547">
        <f>D324*H324*K324*Q324</f>
        <v>18</v>
      </c>
      <c r="X324" s="547">
        <f>E324*H324*M324*Q324</f>
        <v>18</v>
      </c>
      <c r="Y324" s="547">
        <f>F324*H324*O324*Q324</f>
        <v>18</v>
      </c>
      <c r="Z324" s="554">
        <f t="shared" si="198"/>
        <v>1</v>
      </c>
      <c r="AA324" s="554">
        <f t="shared" si="198"/>
        <v>1</v>
      </c>
      <c r="AB324" s="554">
        <f t="shared" si="198"/>
        <v>1</v>
      </c>
      <c r="AC324" s="554">
        <f t="shared" si="198"/>
        <v>1</v>
      </c>
    </row>
    <row r="325" spans="1:29" s="96" customFormat="1">
      <c r="A325" s="92">
        <v>6</v>
      </c>
      <c r="B325" s="143" t="s">
        <v>752</v>
      </c>
      <c r="C325" s="133">
        <v>5</v>
      </c>
      <c r="D325" s="127">
        <v>5</v>
      </c>
      <c r="E325" s="127">
        <v>5</v>
      </c>
      <c r="F325" s="127">
        <v>5</v>
      </c>
      <c r="G325" s="148">
        <v>1</v>
      </c>
      <c r="H325" s="148">
        <v>1</v>
      </c>
      <c r="I325" s="148">
        <v>24</v>
      </c>
      <c r="J325" s="148" t="s">
        <v>996</v>
      </c>
      <c r="K325" s="148">
        <f t="shared" si="193"/>
        <v>24</v>
      </c>
      <c r="L325" s="148" t="str">
        <f t="shared" si="193"/>
        <v>24/24</v>
      </c>
      <c r="M325" s="148">
        <f t="shared" si="193"/>
        <v>24</v>
      </c>
      <c r="N325" s="148" t="str">
        <f t="shared" si="193"/>
        <v>24/24</v>
      </c>
      <c r="O325" s="148">
        <f t="shared" si="193"/>
        <v>24</v>
      </c>
      <c r="P325" s="148" t="str">
        <f t="shared" si="193"/>
        <v>24/24</v>
      </c>
      <c r="Q325" s="486"/>
      <c r="R325" s="546"/>
      <c r="S325" s="547"/>
      <c r="T325" s="547"/>
      <c r="U325" s="547"/>
      <c r="V325" s="546"/>
      <c r="W325" s="547"/>
      <c r="X325" s="547"/>
      <c r="Y325" s="547"/>
      <c r="Z325" s="548"/>
      <c r="AA325" s="548"/>
      <c r="AB325" s="548"/>
      <c r="AC325" s="548"/>
    </row>
    <row r="326" spans="1:29" s="485" customFormat="1">
      <c r="A326" s="488"/>
      <c r="B326" s="553" t="s">
        <v>1779</v>
      </c>
      <c r="C326" s="537"/>
      <c r="D326" s="537"/>
      <c r="E326" s="537"/>
      <c r="F326" s="537"/>
      <c r="G326" s="480"/>
      <c r="H326" s="480"/>
      <c r="I326" s="480"/>
      <c r="J326" s="480"/>
      <c r="K326" s="480"/>
      <c r="L326" s="480"/>
      <c r="M326" s="480"/>
      <c r="N326" s="480"/>
      <c r="O326" s="480"/>
      <c r="P326" s="480"/>
      <c r="Q326" s="483"/>
      <c r="R326" s="550"/>
      <c r="S326" s="552"/>
      <c r="T326" s="552"/>
      <c r="U326" s="552"/>
      <c r="V326" s="550"/>
      <c r="W326" s="552"/>
      <c r="X326" s="552"/>
      <c r="Y326" s="552"/>
      <c r="Z326" s="551"/>
      <c r="AA326" s="551"/>
      <c r="AB326" s="551"/>
      <c r="AC326" s="551"/>
    </row>
    <row r="327" spans="1:29" s="96" customFormat="1">
      <c r="A327" s="92">
        <v>1</v>
      </c>
      <c r="B327" s="143" t="s">
        <v>469</v>
      </c>
      <c r="C327" s="130">
        <v>2</v>
      </c>
      <c r="D327" s="130">
        <v>2</v>
      </c>
      <c r="E327" s="130">
        <v>2</v>
      </c>
      <c r="F327" s="130">
        <v>2</v>
      </c>
      <c r="G327" s="148">
        <v>1.8</v>
      </c>
      <c r="H327" s="148">
        <v>1.8</v>
      </c>
      <c r="I327" s="148">
        <v>24</v>
      </c>
      <c r="J327" s="148" t="s">
        <v>996</v>
      </c>
      <c r="K327" s="148">
        <f t="shared" ref="K327:P331" si="199">I327</f>
        <v>24</v>
      </c>
      <c r="L327" s="148" t="str">
        <f t="shared" si="199"/>
        <v>24/24</v>
      </c>
      <c r="M327" s="148">
        <f t="shared" si="199"/>
        <v>24</v>
      </c>
      <c r="N327" s="148" t="str">
        <f t="shared" si="199"/>
        <v>24/24</v>
      </c>
      <c r="O327" s="148">
        <f t="shared" si="199"/>
        <v>24</v>
      </c>
      <c r="P327" s="148" t="str">
        <f t="shared" si="199"/>
        <v>24/24</v>
      </c>
      <c r="Q327" s="486">
        <v>30</v>
      </c>
      <c r="R327" s="546">
        <f>C327*G327*I327*Q327</f>
        <v>2592</v>
      </c>
      <c r="S327" s="547">
        <f>D327*G327*K327*Q327</f>
        <v>2592</v>
      </c>
      <c r="T327" s="547">
        <f>E327*G327*M327*Q327</f>
        <v>2592</v>
      </c>
      <c r="U327" s="547">
        <f>F327*G327*O327*Q327</f>
        <v>2592</v>
      </c>
      <c r="V327" s="546">
        <f>C327*H327*I327*Q327</f>
        <v>2592</v>
      </c>
      <c r="W327" s="547">
        <f>D327*H327*K327*Q327</f>
        <v>2592</v>
      </c>
      <c r="X327" s="547">
        <f>E327*H327*M327*Q327</f>
        <v>2592</v>
      </c>
      <c r="Y327" s="547">
        <f>F327*H327*O327*Q327</f>
        <v>2592</v>
      </c>
      <c r="Z327" s="554">
        <f t="shared" ref="Z327:AC333" si="200">V327/R327</f>
        <v>1</v>
      </c>
      <c r="AA327" s="554">
        <f t="shared" si="200"/>
        <v>1</v>
      </c>
      <c r="AB327" s="554">
        <f t="shared" si="200"/>
        <v>1</v>
      </c>
      <c r="AC327" s="554">
        <f t="shared" si="200"/>
        <v>1</v>
      </c>
    </row>
    <row r="328" spans="1:29" s="96" customFormat="1">
      <c r="A328" s="92">
        <v>2</v>
      </c>
      <c r="B328" s="143" t="s">
        <v>475</v>
      </c>
      <c r="C328" s="130">
        <v>2</v>
      </c>
      <c r="D328" s="130">
        <v>2</v>
      </c>
      <c r="E328" s="130">
        <v>2</v>
      </c>
      <c r="F328" s="130">
        <v>2</v>
      </c>
      <c r="G328" s="148">
        <v>0.3</v>
      </c>
      <c r="H328" s="148">
        <v>0.3</v>
      </c>
      <c r="I328" s="148">
        <v>24</v>
      </c>
      <c r="J328" s="148" t="s">
        <v>996</v>
      </c>
      <c r="K328" s="148">
        <f t="shared" si="199"/>
        <v>24</v>
      </c>
      <c r="L328" s="148" t="str">
        <f t="shared" si="199"/>
        <v>24/24</v>
      </c>
      <c r="M328" s="148">
        <f t="shared" si="199"/>
        <v>24</v>
      </c>
      <c r="N328" s="148" t="str">
        <f t="shared" si="199"/>
        <v>24/24</v>
      </c>
      <c r="O328" s="148">
        <f t="shared" si="199"/>
        <v>24</v>
      </c>
      <c r="P328" s="148" t="str">
        <f t="shared" si="199"/>
        <v>24/24</v>
      </c>
      <c r="Q328" s="486">
        <v>30</v>
      </c>
      <c r="R328" s="546">
        <f>C328*G328*I328*Q328</f>
        <v>431.99999999999994</v>
      </c>
      <c r="S328" s="547">
        <f>D328*G328*K328*Q328</f>
        <v>431.99999999999994</v>
      </c>
      <c r="T328" s="547">
        <f>E328*G328*M328*Q328</f>
        <v>431.99999999999994</v>
      </c>
      <c r="U328" s="547">
        <f>F328*G328*O328*Q328</f>
        <v>431.99999999999994</v>
      </c>
      <c r="V328" s="546">
        <f>C328*H328*I328*Q328</f>
        <v>431.99999999999994</v>
      </c>
      <c r="W328" s="547">
        <f>D328*H328*K328*Q328</f>
        <v>431.99999999999994</v>
      </c>
      <c r="X328" s="547">
        <f>E328*H328*M328*Q328</f>
        <v>431.99999999999994</v>
      </c>
      <c r="Y328" s="547">
        <f>F328*H328*O328*Q328</f>
        <v>431.99999999999994</v>
      </c>
      <c r="Z328" s="554">
        <f t="shared" si="200"/>
        <v>1</v>
      </c>
      <c r="AA328" s="554">
        <f t="shared" si="200"/>
        <v>1</v>
      </c>
      <c r="AB328" s="554">
        <f t="shared" si="200"/>
        <v>1</v>
      </c>
      <c r="AC328" s="554">
        <f t="shared" si="200"/>
        <v>1</v>
      </c>
    </row>
    <row r="329" spans="1:29" s="96" customFormat="1">
      <c r="A329" s="92">
        <v>3</v>
      </c>
      <c r="B329" s="143" t="s">
        <v>1775</v>
      </c>
      <c r="C329" s="130">
        <v>3</v>
      </c>
      <c r="D329" s="130">
        <v>3</v>
      </c>
      <c r="E329" s="130">
        <v>3</v>
      </c>
      <c r="F329" s="130">
        <v>3</v>
      </c>
      <c r="G329" s="148">
        <v>0.21</v>
      </c>
      <c r="H329" s="148">
        <v>0.21</v>
      </c>
      <c r="I329" s="148">
        <v>24</v>
      </c>
      <c r="J329" s="148" t="s">
        <v>996</v>
      </c>
      <c r="K329" s="148">
        <f t="shared" si="199"/>
        <v>24</v>
      </c>
      <c r="L329" s="148" t="str">
        <f t="shared" si="199"/>
        <v>24/24</v>
      </c>
      <c r="M329" s="148">
        <f t="shared" si="199"/>
        <v>24</v>
      </c>
      <c r="N329" s="148" t="str">
        <f t="shared" si="199"/>
        <v>24/24</v>
      </c>
      <c r="O329" s="148">
        <f t="shared" si="199"/>
        <v>24</v>
      </c>
      <c r="P329" s="148" t="str">
        <f t="shared" si="199"/>
        <v>24/24</v>
      </c>
      <c r="Q329" s="486">
        <v>30</v>
      </c>
      <c r="R329" s="546">
        <f>C329*G329*I329*Q329</f>
        <v>453.6</v>
      </c>
      <c r="S329" s="547">
        <f>D329*G329*K329*Q329</f>
        <v>453.6</v>
      </c>
      <c r="T329" s="547">
        <f>E329*G329*M329*Q329</f>
        <v>453.6</v>
      </c>
      <c r="U329" s="547">
        <f>F329*G329*O329*Q329</f>
        <v>453.6</v>
      </c>
      <c r="V329" s="546">
        <f>C329*H329*I329*Q329</f>
        <v>453.6</v>
      </c>
      <c r="W329" s="547">
        <f>D329*H329*K329*Q329</f>
        <v>453.6</v>
      </c>
      <c r="X329" s="547">
        <f>E329*H329*M329*Q329</f>
        <v>453.6</v>
      </c>
      <c r="Y329" s="547">
        <f>F329*H329*O329*Q329</f>
        <v>453.6</v>
      </c>
      <c r="Z329" s="554">
        <f t="shared" si="200"/>
        <v>1</v>
      </c>
      <c r="AA329" s="554">
        <f t="shared" si="200"/>
        <v>1</v>
      </c>
      <c r="AB329" s="554">
        <f t="shared" si="200"/>
        <v>1</v>
      </c>
      <c r="AC329" s="554">
        <f t="shared" si="200"/>
        <v>1</v>
      </c>
    </row>
    <row r="330" spans="1:29" s="96" customFormat="1">
      <c r="A330" s="92">
        <v>4</v>
      </c>
      <c r="B330" s="143" t="s">
        <v>445</v>
      </c>
      <c r="C330" s="130">
        <v>1</v>
      </c>
      <c r="D330" s="130">
        <v>1</v>
      </c>
      <c r="E330" s="130">
        <v>1</v>
      </c>
      <c r="F330" s="130">
        <v>1</v>
      </c>
      <c r="G330" s="148">
        <v>0.28999999999999998</v>
      </c>
      <c r="H330" s="148">
        <v>0.28999999999999998</v>
      </c>
      <c r="I330" s="148">
        <v>4</v>
      </c>
      <c r="J330" s="148" t="s">
        <v>1126</v>
      </c>
      <c r="K330" s="148">
        <f t="shared" si="199"/>
        <v>4</v>
      </c>
      <c r="L330" s="148" t="str">
        <f t="shared" si="199"/>
        <v>10h-14h</v>
      </c>
      <c r="M330" s="148">
        <f t="shared" si="199"/>
        <v>4</v>
      </c>
      <c r="N330" s="148" t="str">
        <f t="shared" si="199"/>
        <v>10h-14h</v>
      </c>
      <c r="O330" s="148">
        <f t="shared" si="199"/>
        <v>4</v>
      </c>
      <c r="P330" s="148" t="str">
        <f t="shared" si="199"/>
        <v>10h-14h</v>
      </c>
      <c r="Q330" s="486">
        <v>30</v>
      </c>
      <c r="R330" s="546">
        <f>C330*G330*I330*Q330</f>
        <v>34.799999999999997</v>
      </c>
      <c r="S330" s="547">
        <f>D330*G330*K330*Q330</f>
        <v>34.799999999999997</v>
      </c>
      <c r="T330" s="547">
        <f>E330*G330*M330*Q330</f>
        <v>34.799999999999997</v>
      </c>
      <c r="U330" s="547">
        <f>F330*G330*O330*Q330</f>
        <v>34.799999999999997</v>
      </c>
      <c r="V330" s="546">
        <f>C330*H330*I330*Q330</f>
        <v>34.799999999999997</v>
      </c>
      <c r="W330" s="547">
        <f>D330*H330*K330*Q330</f>
        <v>34.799999999999997</v>
      </c>
      <c r="X330" s="547">
        <f>E330*H330*M330*Q330</f>
        <v>34.799999999999997</v>
      </c>
      <c r="Y330" s="547">
        <f>F330*H330*O330*Q330</f>
        <v>34.799999999999997</v>
      </c>
      <c r="Z330" s="554">
        <f t="shared" si="200"/>
        <v>1</v>
      </c>
      <c r="AA330" s="554">
        <f t="shared" si="200"/>
        <v>1</v>
      </c>
      <c r="AB330" s="554">
        <f t="shared" si="200"/>
        <v>1</v>
      </c>
      <c r="AC330" s="554">
        <f t="shared" si="200"/>
        <v>1</v>
      </c>
    </row>
    <row r="331" spans="1:29" s="96" customFormat="1">
      <c r="A331" s="92">
        <v>5</v>
      </c>
      <c r="B331" s="143" t="s">
        <v>562</v>
      </c>
      <c r="C331" s="130">
        <v>1</v>
      </c>
      <c r="D331" s="130">
        <v>1</v>
      </c>
      <c r="E331" s="130">
        <v>1</v>
      </c>
      <c r="F331" s="130">
        <v>1</v>
      </c>
      <c r="G331" s="148">
        <v>0.15</v>
      </c>
      <c r="H331" s="148">
        <v>0.15</v>
      </c>
      <c r="I331" s="148">
        <v>4</v>
      </c>
      <c r="J331" s="148" t="s">
        <v>1126</v>
      </c>
      <c r="K331" s="148">
        <f t="shared" si="199"/>
        <v>4</v>
      </c>
      <c r="L331" s="148" t="str">
        <f t="shared" si="199"/>
        <v>10h-14h</v>
      </c>
      <c r="M331" s="148">
        <f t="shared" si="199"/>
        <v>4</v>
      </c>
      <c r="N331" s="148" t="str">
        <f t="shared" si="199"/>
        <v>10h-14h</v>
      </c>
      <c r="O331" s="148">
        <f t="shared" si="199"/>
        <v>4</v>
      </c>
      <c r="P331" s="148" t="str">
        <f t="shared" si="199"/>
        <v>10h-14h</v>
      </c>
      <c r="Q331" s="486">
        <v>30</v>
      </c>
      <c r="R331" s="546">
        <f>C331*G331*I331*Q331</f>
        <v>18</v>
      </c>
      <c r="S331" s="547">
        <f>D331*G331*K331*Q331</f>
        <v>18</v>
      </c>
      <c r="T331" s="547">
        <f>E331*G331*M331*Q331</f>
        <v>18</v>
      </c>
      <c r="U331" s="547">
        <f>F331*G331*O331*Q331</f>
        <v>18</v>
      </c>
      <c r="V331" s="546">
        <f>C331*H331*I331*Q331</f>
        <v>18</v>
      </c>
      <c r="W331" s="547">
        <f>D331*H331*K331*Q331</f>
        <v>18</v>
      </c>
      <c r="X331" s="547">
        <f>E331*H331*M331*Q331</f>
        <v>18</v>
      </c>
      <c r="Y331" s="547">
        <f>F331*H331*O331*Q331</f>
        <v>18</v>
      </c>
      <c r="Z331" s="554">
        <f t="shared" si="200"/>
        <v>1</v>
      </c>
      <c r="AA331" s="554">
        <f t="shared" si="200"/>
        <v>1</v>
      </c>
      <c r="AB331" s="554">
        <f t="shared" si="200"/>
        <v>1</v>
      </c>
      <c r="AC331" s="554">
        <f t="shared" si="200"/>
        <v>1</v>
      </c>
    </row>
    <row r="332" spans="1:29" s="96" customFormat="1">
      <c r="A332" s="92">
        <v>6</v>
      </c>
      <c r="B332" s="143" t="s">
        <v>1658</v>
      </c>
      <c r="C332" s="133">
        <v>2</v>
      </c>
      <c r="D332" s="127">
        <v>2</v>
      </c>
      <c r="E332" s="127">
        <v>2</v>
      </c>
      <c r="F332" s="127">
        <v>2</v>
      </c>
      <c r="G332" s="148">
        <v>6</v>
      </c>
      <c r="H332" s="148">
        <v>6</v>
      </c>
      <c r="I332" s="148">
        <v>6</v>
      </c>
      <c r="J332" s="148" t="s">
        <v>1620</v>
      </c>
      <c r="K332" s="148">
        <v>6</v>
      </c>
      <c r="L332" s="148" t="s">
        <v>1620</v>
      </c>
      <c r="M332" s="148">
        <v>6</v>
      </c>
      <c r="N332" s="148" t="s">
        <v>1620</v>
      </c>
      <c r="O332" s="148">
        <v>6</v>
      </c>
      <c r="P332" s="148" t="s">
        <v>1620</v>
      </c>
      <c r="Q332" s="486">
        <v>30</v>
      </c>
      <c r="R332" s="546">
        <f t="shared" ref="R332" si="201">C332*G332*I332*Q332</f>
        <v>2160</v>
      </c>
      <c r="S332" s="547">
        <f t="shared" ref="S332" si="202">D332*G332*K332*Q332</f>
        <v>2160</v>
      </c>
      <c r="T332" s="547">
        <f t="shared" ref="T332" si="203">E332*G332*M332*Q332</f>
        <v>2160</v>
      </c>
      <c r="U332" s="547">
        <f t="shared" ref="U332" si="204">F332*G332*O332*Q332</f>
        <v>2160</v>
      </c>
      <c r="V332" s="546">
        <f t="shared" ref="V332" si="205">C332*H332*I332*Q332</f>
        <v>2160</v>
      </c>
      <c r="W332" s="547">
        <f t="shared" ref="W332" si="206">D332*H332*K332*Q332</f>
        <v>2160</v>
      </c>
      <c r="X332" s="547">
        <f t="shared" ref="X332" si="207">E332*H332*M332*Q332</f>
        <v>2160</v>
      </c>
      <c r="Y332" s="547">
        <f t="shared" ref="Y332" si="208">F332*H332*O332*Q332</f>
        <v>2160</v>
      </c>
      <c r="Z332" s="548">
        <f t="shared" si="200"/>
        <v>1</v>
      </c>
      <c r="AA332" s="548">
        <f t="shared" si="200"/>
        <v>1</v>
      </c>
      <c r="AB332" s="548">
        <f t="shared" si="200"/>
        <v>1</v>
      </c>
      <c r="AC332" s="548">
        <f t="shared" si="200"/>
        <v>1</v>
      </c>
    </row>
    <row r="333" spans="1:29" s="96" customFormat="1">
      <c r="A333" s="92">
        <v>7</v>
      </c>
      <c r="B333" s="143" t="s">
        <v>1780</v>
      </c>
      <c r="C333" s="130">
        <v>2</v>
      </c>
      <c r="D333" s="130">
        <v>2</v>
      </c>
      <c r="E333" s="130">
        <v>2</v>
      </c>
      <c r="F333" s="130">
        <v>2</v>
      </c>
      <c r="G333" s="148">
        <v>0.21</v>
      </c>
      <c r="H333" s="148">
        <v>0.21</v>
      </c>
      <c r="I333" s="148">
        <v>24</v>
      </c>
      <c r="J333" s="148" t="s">
        <v>996</v>
      </c>
      <c r="K333" s="148">
        <f t="shared" ref="K333:P333" si="209">I333</f>
        <v>24</v>
      </c>
      <c r="L333" s="148" t="str">
        <f t="shared" si="209"/>
        <v>24/24</v>
      </c>
      <c r="M333" s="148">
        <f t="shared" si="209"/>
        <v>24</v>
      </c>
      <c r="N333" s="148" t="str">
        <f t="shared" si="209"/>
        <v>24/24</v>
      </c>
      <c r="O333" s="148">
        <f t="shared" si="209"/>
        <v>24</v>
      </c>
      <c r="P333" s="148" t="str">
        <f t="shared" si="209"/>
        <v>24/24</v>
      </c>
      <c r="Q333" s="486">
        <v>30</v>
      </c>
      <c r="R333" s="546">
        <f>C333*G333*I333*Q333</f>
        <v>302.39999999999998</v>
      </c>
      <c r="S333" s="547">
        <f>D333*G333*K333*Q333</f>
        <v>302.39999999999998</v>
      </c>
      <c r="T333" s="547">
        <f>E333*G333*M333*Q333</f>
        <v>302.39999999999998</v>
      </c>
      <c r="U333" s="547">
        <f>F333*G333*O333*Q333</f>
        <v>302.39999999999998</v>
      </c>
      <c r="V333" s="546">
        <f>C333*H333*I333*Q333</f>
        <v>302.39999999999998</v>
      </c>
      <c r="W333" s="547">
        <f>D333*H333*K333*Q333</f>
        <v>302.39999999999998</v>
      </c>
      <c r="X333" s="547">
        <f>E333*H333*M333*Q333</f>
        <v>302.39999999999998</v>
      </c>
      <c r="Y333" s="547">
        <f>F333*H333*O333*Q333</f>
        <v>302.39999999999998</v>
      </c>
      <c r="Z333" s="554">
        <f t="shared" si="200"/>
        <v>1</v>
      </c>
      <c r="AA333" s="554">
        <f t="shared" si="200"/>
        <v>1</v>
      </c>
      <c r="AB333" s="554">
        <f t="shared" si="200"/>
        <v>1</v>
      </c>
      <c r="AC333" s="554">
        <f t="shared" si="200"/>
        <v>1</v>
      </c>
    </row>
    <row r="334" spans="1:29" s="571" customFormat="1">
      <c r="A334" s="475">
        <v>8</v>
      </c>
      <c r="B334" s="506" t="s">
        <v>1781</v>
      </c>
      <c r="C334" s="505">
        <v>2</v>
      </c>
      <c r="D334" s="505">
        <v>2</v>
      </c>
      <c r="E334" s="505">
        <v>2</v>
      </c>
      <c r="F334" s="505">
        <v>2</v>
      </c>
      <c r="G334" s="472">
        <v>15</v>
      </c>
      <c r="H334" s="472">
        <v>15</v>
      </c>
      <c r="I334" s="472">
        <v>6</v>
      </c>
      <c r="J334" s="472" t="s">
        <v>1776</v>
      </c>
      <c r="K334" s="472">
        <f t="shared" ref="K334:K335" si="210">I334</f>
        <v>6</v>
      </c>
      <c r="L334" s="472" t="str">
        <f t="shared" ref="L334:L335" si="211">J334</f>
        <v>7h30-17h30</v>
      </c>
      <c r="M334" s="472">
        <f t="shared" ref="M334:M335" si="212">K334</f>
        <v>6</v>
      </c>
      <c r="N334" s="472" t="str">
        <f t="shared" ref="N334:N335" si="213">L334</f>
        <v>7h30-17h30</v>
      </c>
      <c r="O334" s="472">
        <f t="shared" ref="O334:O335" si="214">M334</f>
        <v>6</v>
      </c>
      <c r="P334" s="472" t="str">
        <f t="shared" ref="P334:P335" si="215">N334</f>
        <v>7h30-17h30</v>
      </c>
      <c r="Q334" s="474">
        <v>30</v>
      </c>
      <c r="R334" s="568"/>
      <c r="S334" s="569"/>
      <c r="T334" s="569"/>
      <c r="U334" s="569"/>
      <c r="V334" s="568"/>
      <c r="W334" s="569"/>
      <c r="X334" s="569"/>
      <c r="Y334" s="569"/>
      <c r="Z334" s="570"/>
      <c r="AA334" s="570"/>
      <c r="AB334" s="570"/>
      <c r="AC334" s="570"/>
    </row>
    <row r="335" spans="1:29" s="571" customFormat="1">
      <c r="A335" s="475">
        <v>9</v>
      </c>
      <c r="B335" s="506" t="s">
        <v>1782</v>
      </c>
      <c r="C335" s="505">
        <v>1</v>
      </c>
      <c r="D335" s="505">
        <v>1</v>
      </c>
      <c r="E335" s="505">
        <v>1</v>
      </c>
      <c r="F335" s="505">
        <v>1</v>
      </c>
      <c r="G335" s="472">
        <v>15</v>
      </c>
      <c r="H335" s="472">
        <v>15</v>
      </c>
      <c r="I335" s="472">
        <v>6</v>
      </c>
      <c r="J335" s="472" t="s">
        <v>1776</v>
      </c>
      <c r="K335" s="472">
        <f t="shared" si="210"/>
        <v>6</v>
      </c>
      <c r="L335" s="472" t="str">
        <f t="shared" si="211"/>
        <v>7h30-17h30</v>
      </c>
      <c r="M335" s="472">
        <f t="shared" si="212"/>
        <v>6</v>
      </c>
      <c r="N335" s="472" t="str">
        <f t="shared" si="213"/>
        <v>7h30-17h30</v>
      </c>
      <c r="O335" s="472">
        <f t="shared" si="214"/>
        <v>6</v>
      </c>
      <c r="P335" s="472" t="str">
        <f t="shared" si="215"/>
        <v>7h30-17h30</v>
      </c>
      <c r="Q335" s="474">
        <v>30</v>
      </c>
      <c r="R335" s="568"/>
      <c r="S335" s="569"/>
      <c r="T335" s="569"/>
      <c r="U335" s="569"/>
      <c r="V335" s="568"/>
      <c r="W335" s="569"/>
      <c r="X335" s="569"/>
      <c r="Y335" s="569"/>
      <c r="Z335" s="570"/>
      <c r="AA335" s="570"/>
      <c r="AB335" s="570"/>
      <c r="AC335" s="570"/>
    </row>
    <row r="336" spans="1:29" s="571" customFormat="1">
      <c r="A336" s="475">
        <v>10</v>
      </c>
      <c r="B336" s="476" t="s">
        <v>1783</v>
      </c>
      <c r="C336" s="572">
        <v>1</v>
      </c>
      <c r="D336" s="573">
        <v>1</v>
      </c>
      <c r="E336" s="573">
        <v>1</v>
      </c>
      <c r="F336" s="573">
        <v>1</v>
      </c>
      <c r="G336" s="472">
        <v>6</v>
      </c>
      <c r="H336" s="472">
        <v>6</v>
      </c>
      <c r="I336" s="472">
        <v>6</v>
      </c>
      <c r="J336" s="472" t="s">
        <v>1657</v>
      </c>
      <c r="K336" s="472">
        <v>6</v>
      </c>
      <c r="L336" s="472" t="s">
        <v>1657</v>
      </c>
      <c r="M336" s="472">
        <v>6</v>
      </c>
      <c r="N336" s="472" t="s">
        <v>1657</v>
      </c>
      <c r="O336" s="472">
        <v>6</v>
      </c>
      <c r="P336" s="472" t="s">
        <v>1657</v>
      </c>
      <c r="Q336" s="474">
        <v>30</v>
      </c>
      <c r="R336" s="574">
        <f t="shared" ref="R336" si="216">C336*G336*I336*Q336</f>
        <v>1080</v>
      </c>
      <c r="S336" s="575">
        <f t="shared" ref="S336" si="217">D336*G336*K336*Q336</f>
        <v>1080</v>
      </c>
      <c r="T336" s="575">
        <f t="shared" ref="T336" si="218">E336*G336*M336*Q336</f>
        <v>1080</v>
      </c>
      <c r="U336" s="575">
        <f t="shared" ref="U336" si="219">F336*G336*O336*Q336</f>
        <v>1080</v>
      </c>
      <c r="V336" s="574">
        <f t="shared" ref="V336" si="220">C336*H336*I336*Q336</f>
        <v>1080</v>
      </c>
      <c r="W336" s="575">
        <f t="shared" ref="W336" si="221">D336*H336*K336*Q336</f>
        <v>1080</v>
      </c>
      <c r="X336" s="575">
        <f t="shared" ref="X336" si="222">E336*H336*M336*Q336</f>
        <v>1080</v>
      </c>
      <c r="Y336" s="575">
        <f t="shared" ref="Y336" si="223">F336*H336*O336*Q336</f>
        <v>1080</v>
      </c>
      <c r="Z336" s="576">
        <f t="shared" ref="Z336" si="224">V336/R336</f>
        <v>1</v>
      </c>
      <c r="AA336" s="576">
        <f t="shared" ref="AA336" si="225">W336/S336</f>
        <v>1</v>
      </c>
      <c r="AB336" s="576">
        <f t="shared" ref="AB336" si="226">X336/T336</f>
        <v>1</v>
      </c>
      <c r="AC336" s="576">
        <f t="shared" ref="AC336" si="227">Y336/U336</f>
        <v>1</v>
      </c>
    </row>
    <row r="337" spans="1:16378" s="444" customFormat="1">
      <c r="A337" s="276" t="s">
        <v>409</v>
      </c>
      <c r="B337" s="433" t="s">
        <v>753</v>
      </c>
      <c r="C337" s="92"/>
      <c r="D337" s="435"/>
      <c r="E337" s="435"/>
      <c r="F337" s="92"/>
      <c r="G337" s="126"/>
      <c r="H337" s="126"/>
      <c r="I337" s="144"/>
      <c r="J337" s="144"/>
      <c r="K337" s="144"/>
      <c r="L337" s="144"/>
      <c r="M337" s="144"/>
      <c r="N337" s="144"/>
      <c r="O337" s="144"/>
      <c r="P337" s="144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</row>
    <row r="338" spans="1:16378" s="444" customFormat="1">
      <c r="A338" s="276"/>
      <c r="B338" s="433" t="s">
        <v>754</v>
      </c>
      <c r="C338" s="92"/>
      <c r="D338" s="435"/>
      <c r="E338" s="435"/>
      <c r="F338" s="92"/>
      <c r="G338" s="126"/>
      <c r="H338" s="126"/>
      <c r="I338" s="144"/>
      <c r="J338" s="144"/>
      <c r="K338" s="144"/>
      <c r="L338" s="144"/>
      <c r="M338" s="144"/>
      <c r="N338" s="144"/>
      <c r="O338" s="144"/>
      <c r="P338" s="144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</row>
    <row r="339" spans="1:16378" s="444" customFormat="1">
      <c r="A339" s="92">
        <v>1</v>
      </c>
      <c r="B339" s="143" t="s">
        <v>755</v>
      </c>
      <c r="C339" s="92">
        <v>10</v>
      </c>
      <c r="D339" s="92">
        <v>10</v>
      </c>
      <c r="E339" s="92">
        <v>10</v>
      </c>
      <c r="F339" s="92">
        <v>10</v>
      </c>
      <c r="G339" s="207">
        <v>0.32</v>
      </c>
      <c r="H339" s="207">
        <v>0.32</v>
      </c>
      <c r="I339" s="208">
        <v>0</v>
      </c>
      <c r="J339" s="208">
        <v>0</v>
      </c>
      <c r="K339" s="208">
        <v>24</v>
      </c>
      <c r="L339" s="208" t="s">
        <v>996</v>
      </c>
      <c r="M339" s="208">
        <v>24</v>
      </c>
      <c r="N339" s="208" t="s">
        <v>996</v>
      </c>
      <c r="O339" s="208">
        <v>24</v>
      </c>
      <c r="P339" s="208" t="s">
        <v>996</v>
      </c>
      <c r="Q339" s="209">
        <v>0</v>
      </c>
      <c r="R339" s="210">
        <f t="shared" ref="R339:R346" si="228">C339*G339*I339*Q339</f>
        <v>0</v>
      </c>
      <c r="S339" s="211">
        <f t="shared" ref="S339:S346" si="229">D339*G339*K339*Q339</f>
        <v>0</v>
      </c>
      <c r="T339" s="211">
        <f t="shared" ref="T339:T346" si="230">E339*G339*M339*Q339</f>
        <v>0</v>
      </c>
      <c r="U339" s="211">
        <f t="shared" ref="U339:U346" si="231">F339*G339*O339*Q339</f>
        <v>0</v>
      </c>
      <c r="V339" s="210">
        <f t="shared" ref="V339:V346" si="232">C339*H339*I339*Q339</f>
        <v>0</v>
      </c>
      <c r="W339" s="211">
        <f t="shared" ref="W339:W346" si="233">D339*H339*K339*Q339</f>
        <v>0</v>
      </c>
      <c r="X339" s="211">
        <f t="shared" ref="X339:X346" si="234">E339*H339*M339*Q339</f>
        <v>0</v>
      </c>
      <c r="Y339" s="211">
        <f t="shared" ref="Y339:Y346" si="235">F339*H339*O339*Q339</f>
        <v>0</v>
      </c>
      <c r="Z339" s="158" t="e">
        <f t="shared" ref="Z339:AC346" si="236">V339/R339</f>
        <v>#DIV/0!</v>
      </c>
      <c r="AA339" s="158" t="e">
        <f t="shared" si="236"/>
        <v>#DIV/0!</v>
      </c>
      <c r="AB339" s="158" t="e">
        <f t="shared" si="236"/>
        <v>#DIV/0!</v>
      </c>
      <c r="AC339" s="158" t="e">
        <f t="shared" si="236"/>
        <v>#DIV/0!</v>
      </c>
    </row>
    <row r="340" spans="1:16378" s="444" customFormat="1">
      <c r="A340" s="92">
        <v>2</v>
      </c>
      <c r="B340" s="143" t="s">
        <v>756</v>
      </c>
      <c r="C340" s="92">
        <v>1</v>
      </c>
      <c r="D340" s="92">
        <v>1</v>
      </c>
      <c r="E340" s="92">
        <v>1</v>
      </c>
      <c r="F340" s="92">
        <v>1</v>
      </c>
      <c r="G340" s="126">
        <v>3</v>
      </c>
      <c r="H340" s="126">
        <v>3</v>
      </c>
      <c r="I340" s="144">
        <v>0</v>
      </c>
      <c r="J340" s="144">
        <v>0</v>
      </c>
      <c r="K340" s="208">
        <v>24</v>
      </c>
      <c r="L340" s="208" t="s">
        <v>996</v>
      </c>
      <c r="M340" s="208">
        <v>24</v>
      </c>
      <c r="N340" s="208" t="s">
        <v>996</v>
      </c>
      <c r="O340" s="208">
        <v>24</v>
      </c>
      <c r="P340" s="208" t="s">
        <v>996</v>
      </c>
      <c r="Q340" s="206">
        <v>0</v>
      </c>
      <c r="R340" s="156">
        <f t="shared" si="228"/>
        <v>0</v>
      </c>
      <c r="S340" s="157">
        <f t="shared" si="229"/>
        <v>0</v>
      </c>
      <c r="T340" s="157">
        <f t="shared" si="230"/>
        <v>0</v>
      </c>
      <c r="U340" s="157">
        <f t="shared" si="231"/>
        <v>0</v>
      </c>
      <c r="V340" s="156">
        <f t="shared" si="232"/>
        <v>0</v>
      </c>
      <c r="W340" s="157">
        <f t="shared" si="233"/>
        <v>0</v>
      </c>
      <c r="X340" s="157">
        <f t="shared" si="234"/>
        <v>0</v>
      </c>
      <c r="Y340" s="157">
        <f t="shared" si="235"/>
        <v>0</v>
      </c>
      <c r="Z340" s="158" t="e">
        <f t="shared" si="236"/>
        <v>#DIV/0!</v>
      </c>
      <c r="AA340" s="158" t="e">
        <f t="shared" si="236"/>
        <v>#DIV/0!</v>
      </c>
      <c r="AB340" s="158" t="e">
        <f t="shared" si="236"/>
        <v>#DIV/0!</v>
      </c>
      <c r="AC340" s="158" t="e">
        <f t="shared" si="236"/>
        <v>#DIV/0!</v>
      </c>
    </row>
    <row r="341" spans="1:16378" s="444" customFormat="1">
      <c r="A341" s="92">
        <v>3</v>
      </c>
      <c r="B341" s="143" t="s">
        <v>757</v>
      </c>
      <c r="C341" s="92">
        <v>4</v>
      </c>
      <c r="D341" s="92">
        <v>4</v>
      </c>
      <c r="E341" s="92">
        <v>4</v>
      </c>
      <c r="F341" s="92">
        <v>4</v>
      </c>
      <c r="G341" s="126">
        <v>0.35</v>
      </c>
      <c r="H341" s="126">
        <v>0.35</v>
      </c>
      <c r="I341" s="144">
        <v>0</v>
      </c>
      <c r="J341" s="144">
        <v>0</v>
      </c>
      <c r="K341" s="144">
        <v>0</v>
      </c>
      <c r="L341" s="144">
        <v>0</v>
      </c>
      <c r="M341" s="144">
        <v>0</v>
      </c>
      <c r="N341" s="144">
        <v>0</v>
      </c>
      <c r="O341" s="144">
        <v>0</v>
      </c>
      <c r="P341" s="144">
        <v>0</v>
      </c>
      <c r="Q341" s="206">
        <v>0</v>
      </c>
      <c r="R341" s="156">
        <f t="shared" si="228"/>
        <v>0</v>
      </c>
      <c r="S341" s="157">
        <f t="shared" si="229"/>
        <v>0</v>
      </c>
      <c r="T341" s="157">
        <f t="shared" si="230"/>
        <v>0</v>
      </c>
      <c r="U341" s="157">
        <f t="shared" si="231"/>
        <v>0</v>
      </c>
      <c r="V341" s="156">
        <f t="shared" si="232"/>
        <v>0</v>
      </c>
      <c r="W341" s="157">
        <f t="shared" si="233"/>
        <v>0</v>
      </c>
      <c r="X341" s="157">
        <f t="shared" si="234"/>
        <v>0</v>
      </c>
      <c r="Y341" s="157">
        <f t="shared" si="235"/>
        <v>0</v>
      </c>
      <c r="Z341" s="158" t="e">
        <f t="shared" si="236"/>
        <v>#DIV/0!</v>
      </c>
      <c r="AA341" s="158" t="e">
        <f t="shared" si="236"/>
        <v>#DIV/0!</v>
      </c>
      <c r="AB341" s="158" t="e">
        <f t="shared" si="236"/>
        <v>#DIV/0!</v>
      </c>
      <c r="AC341" s="158" t="e">
        <f t="shared" si="236"/>
        <v>#DIV/0!</v>
      </c>
    </row>
    <row r="342" spans="1:16378" s="444" customFormat="1">
      <c r="A342" s="92">
        <v>4</v>
      </c>
      <c r="B342" s="143" t="s">
        <v>758</v>
      </c>
      <c r="C342" s="92">
        <v>1</v>
      </c>
      <c r="D342" s="92">
        <v>1</v>
      </c>
      <c r="E342" s="92">
        <v>1</v>
      </c>
      <c r="F342" s="92">
        <v>1</v>
      </c>
      <c r="G342" s="126">
        <v>0.4</v>
      </c>
      <c r="H342" s="126">
        <v>0.4</v>
      </c>
      <c r="I342" s="144">
        <v>0</v>
      </c>
      <c r="J342" s="144">
        <v>0</v>
      </c>
      <c r="K342" s="148">
        <v>6</v>
      </c>
      <c r="L342" s="148" t="s">
        <v>1127</v>
      </c>
      <c r="M342" s="148">
        <v>6</v>
      </c>
      <c r="N342" s="148" t="s">
        <v>1127</v>
      </c>
      <c r="O342" s="148">
        <v>6</v>
      </c>
      <c r="P342" s="148" t="s">
        <v>1127</v>
      </c>
      <c r="Q342" s="206">
        <v>0</v>
      </c>
      <c r="R342" s="156">
        <f t="shared" si="228"/>
        <v>0</v>
      </c>
      <c r="S342" s="157">
        <f t="shared" si="229"/>
        <v>0</v>
      </c>
      <c r="T342" s="157">
        <f t="shared" si="230"/>
        <v>0</v>
      </c>
      <c r="U342" s="157">
        <f t="shared" si="231"/>
        <v>0</v>
      </c>
      <c r="V342" s="156">
        <f t="shared" si="232"/>
        <v>0</v>
      </c>
      <c r="W342" s="157">
        <f t="shared" si="233"/>
        <v>0</v>
      </c>
      <c r="X342" s="157">
        <f t="shared" si="234"/>
        <v>0</v>
      </c>
      <c r="Y342" s="157">
        <f t="shared" si="235"/>
        <v>0</v>
      </c>
      <c r="Z342" s="158" t="e">
        <f t="shared" si="236"/>
        <v>#DIV/0!</v>
      </c>
      <c r="AA342" s="158" t="e">
        <f t="shared" si="236"/>
        <v>#DIV/0!</v>
      </c>
      <c r="AB342" s="158" t="e">
        <f t="shared" si="236"/>
        <v>#DIV/0!</v>
      </c>
      <c r="AC342" s="158" t="e">
        <f t="shared" si="236"/>
        <v>#DIV/0!</v>
      </c>
    </row>
    <row r="343" spans="1:16378" s="444" customFormat="1">
      <c r="A343" s="92">
        <v>5</v>
      </c>
      <c r="B343" s="143" t="s">
        <v>759</v>
      </c>
      <c r="C343" s="92">
        <v>5</v>
      </c>
      <c r="D343" s="92">
        <v>5</v>
      </c>
      <c r="E343" s="92">
        <v>5</v>
      </c>
      <c r="F343" s="92">
        <v>5</v>
      </c>
      <c r="G343" s="126">
        <v>1.3</v>
      </c>
      <c r="H343" s="126">
        <v>1.3</v>
      </c>
      <c r="I343" s="144">
        <v>0</v>
      </c>
      <c r="J343" s="144">
        <v>0</v>
      </c>
      <c r="K343" s="148">
        <v>6</v>
      </c>
      <c r="L343" s="148" t="s">
        <v>1127</v>
      </c>
      <c r="M343" s="148">
        <v>6</v>
      </c>
      <c r="N343" s="148" t="s">
        <v>1127</v>
      </c>
      <c r="O343" s="148">
        <v>6</v>
      </c>
      <c r="P343" s="148" t="s">
        <v>1127</v>
      </c>
      <c r="Q343" s="206">
        <v>0</v>
      </c>
      <c r="R343" s="156">
        <f t="shared" si="228"/>
        <v>0</v>
      </c>
      <c r="S343" s="157">
        <f t="shared" si="229"/>
        <v>0</v>
      </c>
      <c r="T343" s="157">
        <f t="shared" si="230"/>
        <v>0</v>
      </c>
      <c r="U343" s="157">
        <f t="shared" si="231"/>
        <v>0</v>
      </c>
      <c r="V343" s="156">
        <f t="shared" si="232"/>
        <v>0</v>
      </c>
      <c r="W343" s="157">
        <f t="shared" si="233"/>
        <v>0</v>
      </c>
      <c r="X343" s="157">
        <f t="shared" si="234"/>
        <v>0</v>
      </c>
      <c r="Y343" s="157">
        <f t="shared" si="235"/>
        <v>0</v>
      </c>
      <c r="Z343" s="158" t="e">
        <f t="shared" si="236"/>
        <v>#DIV/0!</v>
      </c>
      <c r="AA343" s="158" t="e">
        <f t="shared" si="236"/>
        <v>#DIV/0!</v>
      </c>
      <c r="AB343" s="158" t="e">
        <f t="shared" si="236"/>
        <v>#DIV/0!</v>
      </c>
      <c r="AC343" s="158" t="e">
        <f t="shared" si="236"/>
        <v>#DIV/0!</v>
      </c>
    </row>
    <row r="344" spans="1:16378" s="444" customFormat="1">
      <c r="A344" s="92">
        <v>6</v>
      </c>
      <c r="B344" s="143" t="s">
        <v>423</v>
      </c>
      <c r="C344" s="92">
        <v>2</v>
      </c>
      <c r="D344" s="92">
        <v>2</v>
      </c>
      <c r="E344" s="92">
        <v>2</v>
      </c>
      <c r="F344" s="92">
        <v>2</v>
      </c>
      <c r="G344" s="126">
        <v>1.05</v>
      </c>
      <c r="H344" s="126">
        <v>1.05</v>
      </c>
      <c r="I344" s="144">
        <v>24</v>
      </c>
      <c r="J344" s="144" t="s">
        <v>996</v>
      </c>
      <c r="K344" s="144">
        <v>24</v>
      </c>
      <c r="L344" s="144" t="s">
        <v>996</v>
      </c>
      <c r="M344" s="144">
        <v>24</v>
      </c>
      <c r="N344" s="144" t="s">
        <v>996</v>
      </c>
      <c r="O344" s="144">
        <v>24</v>
      </c>
      <c r="P344" s="144" t="s">
        <v>996</v>
      </c>
      <c r="Q344" s="206">
        <v>30</v>
      </c>
      <c r="R344" s="156">
        <f t="shared" si="228"/>
        <v>1512.0000000000002</v>
      </c>
      <c r="S344" s="157">
        <f t="shared" si="229"/>
        <v>1512.0000000000002</v>
      </c>
      <c r="T344" s="157">
        <f t="shared" si="230"/>
        <v>1512.0000000000002</v>
      </c>
      <c r="U344" s="157">
        <f t="shared" si="231"/>
        <v>1512.0000000000002</v>
      </c>
      <c r="V344" s="156">
        <f t="shared" si="232"/>
        <v>1512.0000000000002</v>
      </c>
      <c r="W344" s="157">
        <f t="shared" si="233"/>
        <v>1512.0000000000002</v>
      </c>
      <c r="X344" s="157">
        <f t="shared" si="234"/>
        <v>1512.0000000000002</v>
      </c>
      <c r="Y344" s="157">
        <f t="shared" si="235"/>
        <v>1512.0000000000002</v>
      </c>
      <c r="Z344" s="158">
        <f t="shared" si="236"/>
        <v>1</v>
      </c>
      <c r="AA344" s="158">
        <f t="shared" si="236"/>
        <v>1</v>
      </c>
      <c r="AB344" s="158">
        <f t="shared" si="236"/>
        <v>1</v>
      </c>
      <c r="AC344" s="158">
        <f t="shared" si="236"/>
        <v>1</v>
      </c>
    </row>
    <row r="345" spans="1:16378" s="444" customFormat="1">
      <c r="A345" s="92">
        <v>7</v>
      </c>
      <c r="B345" s="143" t="s">
        <v>760</v>
      </c>
      <c r="C345" s="92">
        <v>1</v>
      </c>
      <c r="D345" s="92">
        <v>1</v>
      </c>
      <c r="E345" s="92">
        <v>1</v>
      </c>
      <c r="F345" s="92">
        <v>1</v>
      </c>
      <c r="G345" s="126">
        <v>8.1</v>
      </c>
      <c r="H345" s="126">
        <v>8.1</v>
      </c>
      <c r="I345" s="144">
        <v>0</v>
      </c>
      <c r="J345" s="144">
        <v>0</v>
      </c>
      <c r="K345" s="144">
        <v>6</v>
      </c>
      <c r="L345" s="144" t="s">
        <v>1127</v>
      </c>
      <c r="M345" s="144">
        <v>6</v>
      </c>
      <c r="N345" s="144" t="s">
        <v>1127</v>
      </c>
      <c r="O345" s="144">
        <v>6</v>
      </c>
      <c r="P345" s="144" t="s">
        <v>1127</v>
      </c>
      <c r="Q345" s="206">
        <v>0</v>
      </c>
      <c r="R345" s="156">
        <f t="shared" si="228"/>
        <v>0</v>
      </c>
      <c r="S345" s="157">
        <f t="shared" si="229"/>
        <v>0</v>
      </c>
      <c r="T345" s="157">
        <f t="shared" si="230"/>
        <v>0</v>
      </c>
      <c r="U345" s="157">
        <f t="shared" si="231"/>
        <v>0</v>
      </c>
      <c r="V345" s="156">
        <f t="shared" si="232"/>
        <v>0</v>
      </c>
      <c r="W345" s="157">
        <f t="shared" si="233"/>
        <v>0</v>
      </c>
      <c r="X345" s="157">
        <f t="shared" si="234"/>
        <v>0</v>
      </c>
      <c r="Y345" s="157">
        <f t="shared" si="235"/>
        <v>0</v>
      </c>
      <c r="Z345" s="158" t="e">
        <f t="shared" si="236"/>
        <v>#DIV/0!</v>
      </c>
      <c r="AA345" s="158" t="e">
        <f t="shared" si="236"/>
        <v>#DIV/0!</v>
      </c>
      <c r="AB345" s="158" t="e">
        <f t="shared" si="236"/>
        <v>#DIV/0!</v>
      </c>
      <c r="AC345" s="158" t="e">
        <f t="shared" si="236"/>
        <v>#DIV/0!</v>
      </c>
    </row>
    <row r="346" spans="1:16378" s="444" customFormat="1">
      <c r="A346" s="92">
        <v>8</v>
      </c>
      <c r="B346" s="143" t="s">
        <v>761</v>
      </c>
      <c r="C346" s="92">
        <v>2</v>
      </c>
      <c r="D346" s="92">
        <v>2</v>
      </c>
      <c r="E346" s="92">
        <v>2</v>
      </c>
      <c r="F346" s="92">
        <v>2</v>
      </c>
      <c r="G346" s="126">
        <v>0.35</v>
      </c>
      <c r="H346" s="126">
        <v>0.35</v>
      </c>
      <c r="I346" s="144">
        <v>0</v>
      </c>
      <c r="J346" s="144">
        <v>0</v>
      </c>
      <c r="K346" s="144">
        <v>0</v>
      </c>
      <c r="L346" s="144">
        <v>0</v>
      </c>
      <c r="M346" s="144">
        <v>0</v>
      </c>
      <c r="N346" s="144">
        <v>0</v>
      </c>
      <c r="O346" s="144">
        <v>0</v>
      </c>
      <c r="P346" s="144">
        <v>0</v>
      </c>
      <c r="Q346" s="206">
        <v>0</v>
      </c>
      <c r="R346" s="156">
        <f t="shared" si="228"/>
        <v>0</v>
      </c>
      <c r="S346" s="157">
        <f t="shared" si="229"/>
        <v>0</v>
      </c>
      <c r="T346" s="157">
        <f t="shared" si="230"/>
        <v>0</v>
      </c>
      <c r="U346" s="157">
        <f t="shared" si="231"/>
        <v>0</v>
      </c>
      <c r="V346" s="156">
        <f t="shared" si="232"/>
        <v>0</v>
      </c>
      <c r="W346" s="157">
        <f t="shared" si="233"/>
        <v>0</v>
      </c>
      <c r="X346" s="157">
        <f t="shared" si="234"/>
        <v>0</v>
      </c>
      <c r="Y346" s="157">
        <f t="shared" si="235"/>
        <v>0</v>
      </c>
      <c r="Z346" s="158" t="e">
        <f t="shared" si="236"/>
        <v>#DIV/0!</v>
      </c>
      <c r="AA346" s="158" t="e">
        <f t="shared" si="236"/>
        <v>#DIV/0!</v>
      </c>
      <c r="AB346" s="158" t="e">
        <f t="shared" si="236"/>
        <v>#DIV/0!</v>
      </c>
      <c r="AC346" s="158" t="e">
        <f t="shared" si="236"/>
        <v>#DIV/0!</v>
      </c>
    </row>
    <row r="347" spans="1:16378" s="444" customFormat="1">
      <c r="A347" s="92">
        <v>6</v>
      </c>
      <c r="B347" s="143" t="s">
        <v>1127</v>
      </c>
      <c r="C347" s="92" t="s">
        <v>1127</v>
      </c>
      <c r="D347" s="92">
        <v>6</v>
      </c>
      <c r="E347" s="92" t="s">
        <v>1127</v>
      </c>
      <c r="F347" s="92">
        <v>6</v>
      </c>
      <c r="G347" s="126" t="s">
        <v>1127</v>
      </c>
      <c r="H347" s="126">
        <v>6</v>
      </c>
      <c r="I347" s="144" t="s">
        <v>1127</v>
      </c>
      <c r="J347" s="144">
        <v>6</v>
      </c>
      <c r="K347" s="144" t="s">
        <v>1127</v>
      </c>
      <c r="L347" s="144">
        <v>6</v>
      </c>
      <c r="M347" s="144" t="s">
        <v>1127</v>
      </c>
      <c r="N347" s="144">
        <v>6</v>
      </c>
      <c r="O347" s="144" t="s">
        <v>1127</v>
      </c>
      <c r="P347" s="144">
        <v>6</v>
      </c>
      <c r="Q347" s="206" t="s">
        <v>1127</v>
      </c>
      <c r="R347" s="156" t="s">
        <v>1127</v>
      </c>
      <c r="S347" s="157">
        <v>6</v>
      </c>
      <c r="T347" s="157" t="s">
        <v>1127</v>
      </c>
      <c r="U347" s="157">
        <v>6</v>
      </c>
      <c r="V347" s="156">
        <v>6</v>
      </c>
      <c r="W347" s="157" t="s">
        <v>1127</v>
      </c>
      <c r="X347" s="157">
        <v>6</v>
      </c>
      <c r="Y347" s="157" t="s">
        <v>1127</v>
      </c>
      <c r="Z347" s="158" t="s">
        <v>1127</v>
      </c>
      <c r="AA347" s="158">
        <v>6</v>
      </c>
      <c r="AB347" s="158" t="s">
        <v>1127</v>
      </c>
      <c r="AC347" s="158">
        <v>6</v>
      </c>
      <c r="AD347" s="444" t="s">
        <v>1127</v>
      </c>
      <c r="AE347" s="444">
        <v>6</v>
      </c>
      <c r="AF347" s="444" t="s">
        <v>1127</v>
      </c>
      <c r="AG347" s="444">
        <v>6</v>
      </c>
      <c r="AH347" s="444" t="s">
        <v>1127</v>
      </c>
      <c r="AI347" s="444">
        <v>6</v>
      </c>
      <c r="AJ347" s="444" t="s">
        <v>1127</v>
      </c>
      <c r="AK347" s="444">
        <v>6</v>
      </c>
      <c r="AL347" s="444" t="s">
        <v>1127</v>
      </c>
      <c r="AM347" s="444">
        <v>6</v>
      </c>
      <c r="AN347" s="444" t="s">
        <v>1127</v>
      </c>
      <c r="AO347" s="444">
        <v>6</v>
      </c>
      <c r="AP347" s="444" t="s">
        <v>1127</v>
      </c>
      <c r="AQ347" s="444">
        <v>6</v>
      </c>
      <c r="AR347" s="444" t="s">
        <v>1127</v>
      </c>
      <c r="AS347" s="444">
        <v>6</v>
      </c>
      <c r="AT347" s="444" t="s">
        <v>1127</v>
      </c>
      <c r="AU347" s="444">
        <v>6</v>
      </c>
      <c r="AV347" s="444" t="s">
        <v>1127</v>
      </c>
      <c r="AW347" s="444">
        <v>6</v>
      </c>
      <c r="AX347" s="444" t="s">
        <v>1127</v>
      </c>
      <c r="AY347" s="444">
        <v>6</v>
      </c>
      <c r="AZ347" s="444" t="s">
        <v>1127</v>
      </c>
      <c r="BA347" s="444">
        <v>6</v>
      </c>
      <c r="BB347" s="444" t="s">
        <v>1127</v>
      </c>
      <c r="BC347" s="444">
        <v>6</v>
      </c>
      <c r="BD347" s="444" t="s">
        <v>1127</v>
      </c>
      <c r="BE347" s="444">
        <v>6</v>
      </c>
      <c r="BF347" s="444" t="s">
        <v>1127</v>
      </c>
      <c r="BG347" s="444">
        <v>6</v>
      </c>
      <c r="BH347" s="444" t="s">
        <v>1127</v>
      </c>
      <c r="BI347" s="444">
        <v>6</v>
      </c>
      <c r="BJ347" s="444" t="s">
        <v>1127</v>
      </c>
      <c r="BK347" s="444">
        <v>6</v>
      </c>
      <c r="BL347" s="444" t="s">
        <v>1127</v>
      </c>
      <c r="BM347" s="444">
        <v>6</v>
      </c>
      <c r="BN347" s="444" t="s">
        <v>1127</v>
      </c>
      <c r="BO347" s="444">
        <v>6</v>
      </c>
      <c r="BP347" s="444" t="s">
        <v>1127</v>
      </c>
      <c r="BQ347" s="444">
        <v>6</v>
      </c>
      <c r="BR347" s="444" t="s">
        <v>1127</v>
      </c>
      <c r="BS347" s="444">
        <v>6</v>
      </c>
      <c r="BT347" s="444" t="s">
        <v>1127</v>
      </c>
      <c r="BU347" s="444">
        <v>6</v>
      </c>
      <c r="BV347" s="444" t="s">
        <v>1127</v>
      </c>
      <c r="BW347" s="444">
        <v>6</v>
      </c>
      <c r="BX347" s="444" t="s">
        <v>1127</v>
      </c>
      <c r="BY347" s="444">
        <v>6</v>
      </c>
      <c r="BZ347" s="444" t="s">
        <v>1127</v>
      </c>
      <c r="CA347" s="444">
        <v>6</v>
      </c>
      <c r="CB347" s="444" t="s">
        <v>1127</v>
      </c>
      <c r="CC347" s="444">
        <v>6</v>
      </c>
      <c r="CD347" s="444" t="s">
        <v>1127</v>
      </c>
      <c r="CE347" s="444">
        <v>6</v>
      </c>
      <c r="CF347" s="444" t="s">
        <v>1127</v>
      </c>
      <c r="CG347" s="444">
        <v>6</v>
      </c>
      <c r="CH347" s="444" t="s">
        <v>1127</v>
      </c>
      <c r="CI347" s="444">
        <v>6</v>
      </c>
      <c r="CJ347" s="444" t="s">
        <v>1127</v>
      </c>
      <c r="CK347" s="444">
        <v>6</v>
      </c>
      <c r="CL347" s="444" t="s">
        <v>1127</v>
      </c>
      <c r="CM347" s="444">
        <v>6</v>
      </c>
      <c r="CN347" s="444" t="s">
        <v>1127</v>
      </c>
      <c r="CO347" s="444">
        <v>6</v>
      </c>
      <c r="CP347" s="444" t="s">
        <v>1127</v>
      </c>
      <c r="CQ347" s="444">
        <v>6</v>
      </c>
      <c r="CR347" s="444" t="s">
        <v>1127</v>
      </c>
      <c r="CS347" s="444">
        <v>6</v>
      </c>
      <c r="CT347" s="444" t="s">
        <v>1127</v>
      </c>
      <c r="CU347" s="444">
        <v>6</v>
      </c>
      <c r="CV347" s="444" t="s">
        <v>1127</v>
      </c>
      <c r="CW347" s="444">
        <v>6</v>
      </c>
      <c r="CX347" s="444" t="s">
        <v>1127</v>
      </c>
      <c r="CY347" s="444">
        <v>6</v>
      </c>
      <c r="CZ347" s="444" t="s">
        <v>1127</v>
      </c>
      <c r="DA347" s="444">
        <v>6</v>
      </c>
      <c r="DB347" s="444" t="s">
        <v>1127</v>
      </c>
      <c r="DC347" s="444">
        <v>6</v>
      </c>
      <c r="DD347" s="444" t="s">
        <v>1127</v>
      </c>
      <c r="DE347" s="444">
        <v>6</v>
      </c>
      <c r="DF347" s="444" t="s">
        <v>1127</v>
      </c>
      <c r="DG347" s="444">
        <v>6</v>
      </c>
      <c r="DH347" s="444" t="s">
        <v>1127</v>
      </c>
      <c r="DI347" s="444">
        <v>6</v>
      </c>
      <c r="DJ347" s="444" t="s">
        <v>1127</v>
      </c>
      <c r="DK347" s="444">
        <v>6</v>
      </c>
      <c r="DL347" s="444" t="s">
        <v>1127</v>
      </c>
      <c r="DM347" s="444">
        <v>6</v>
      </c>
      <c r="DN347" s="444" t="s">
        <v>1127</v>
      </c>
      <c r="DO347" s="444">
        <v>6</v>
      </c>
      <c r="DP347" s="444" t="s">
        <v>1127</v>
      </c>
      <c r="DQ347" s="444">
        <v>6</v>
      </c>
      <c r="DR347" s="444" t="s">
        <v>1127</v>
      </c>
      <c r="DS347" s="444">
        <v>6</v>
      </c>
      <c r="DT347" s="444" t="s">
        <v>1127</v>
      </c>
      <c r="DU347" s="444">
        <v>6</v>
      </c>
      <c r="DV347" s="444" t="s">
        <v>1127</v>
      </c>
      <c r="DW347" s="444">
        <v>6</v>
      </c>
      <c r="DX347" s="444" t="s">
        <v>1127</v>
      </c>
      <c r="DY347" s="444">
        <v>6</v>
      </c>
      <c r="DZ347" s="444" t="s">
        <v>1127</v>
      </c>
      <c r="EA347" s="444">
        <v>6</v>
      </c>
      <c r="EB347" s="444" t="s">
        <v>1127</v>
      </c>
      <c r="EC347" s="444">
        <v>6</v>
      </c>
      <c r="ED347" s="444" t="s">
        <v>1127</v>
      </c>
      <c r="EE347" s="444">
        <v>6</v>
      </c>
      <c r="EF347" s="444" t="s">
        <v>1127</v>
      </c>
      <c r="EG347" s="444">
        <v>6</v>
      </c>
      <c r="EH347" s="444" t="s">
        <v>1127</v>
      </c>
      <c r="EI347" s="444">
        <v>6</v>
      </c>
      <c r="EJ347" s="444" t="s">
        <v>1127</v>
      </c>
      <c r="EK347" s="444">
        <v>6</v>
      </c>
      <c r="EL347" s="444" t="s">
        <v>1127</v>
      </c>
      <c r="EM347" s="444">
        <v>6</v>
      </c>
      <c r="EN347" s="444" t="s">
        <v>1127</v>
      </c>
      <c r="EO347" s="444">
        <v>6</v>
      </c>
      <c r="EP347" s="444" t="s">
        <v>1127</v>
      </c>
      <c r="EQ347" s="444">
        <v>6</v>
      </c>
      <c r="ER347" s="444" t="s">
        <v>1127</v>
      </c>
      <c r="ES347" s="444">
        <v>6</v>
      </c>
      <c r="ET347" s="444" t="s">
        <v>1127</v>
      </c>
      <c r="EU347" s="444">
        <v>6</v>
      </c>
      <c r="EV347" s="444" t="s">
        <v>1127</v>
      </c>
      <c r="EW347" s="444">
        <v>6</v>
      </c>
      <c r="EX347" s="444" t="s">
        <v>1127</v>
      </c>
      <c r="EY347" s="444">
        <v>6</v>
      </c>
      <c r="EZ347" s="444" t="s">
        <v>1127</v>
      </c>
      <c r="FA347" s="444">
        <v>6</v>
      </c>
      <c r="FB347" s="444" t="s">
        <v>1127</v>
      </c>
      <c r="FC347" s="444">
        <v>6</v>
      </c>
      <c r="FD347" s="444" t="s">
        <v>1127</v>
      </c>
      <c r="FE347" s="444">
        <v>6</v>
      </c>
      <c r="FF347" s="444" t="s">
        <v>1127</v>
      </c>
      <c r="FG347" s="444">
        <v>6</v>
      </c>
      <c r="FH347" s="444" t="s">
        <v>1127</v>
      </c>
      <c r="FI347" s="444">
        <v>6</v>
      </c>
      <c r="FJ347" s="444" t="s">
        <v>1127</v>
      </c>
      <c r="FK347" s="444">
        <v>6</v>
      </c>
      <c r="FL347" s="444" t="s">
        <v>1127</v>
      </c>
      <c r="FM347" s="444">
        <v>6</v>
      </c>
      <c r="FN347" s="444" t="s">
        <v>1127</v>
      </c>
      <c r="FO347" s="444">
        <v>6</v>
      </c>
      <c r="FP347" s="444" t="s">
        <v>1127</v>
      </c>
      <c r="FQ347" s="444">
        <v>6</v>
      </c>
      <c r="FR347" s="444" t="s">
        <v>1127</v>
      </c>
      <c r="FS347" s="444">
        <v>6</v>
      </c>
      <c r="FT347" s="444" t="s">
        <v>1127</v>
      </c>
      <c r="FU347" s="444">
        <v>6</v>
      </c>
      <c r="FV347" s="444" t="s">
        <v>1127</v>
      </c>
      <c r="FW347" s="444">
        <v>6</v>
      </c>
      <c r="FX347" s="444" t="s">
        <v>1127</v>
      </c>
      <c r="FY347" s="444">
        <v>6</v>
      </c>
      <c r="FZ347" s="444" t="s">
        <v>1127</v>
      </c>
      <c r="GA347" s="444">
        <v>6</v>
      </c>
      <c r="GB347" s="444" t="s">
        <v>1127</v>
      </c>
      <c r="GC347" s="444">
        <v>6</v>
      </c>
      <c r="GD347" s="444" t="s">
        <v>1127</v>
      </c>
      <c r="GE347" s="444">
        <v>6</v>
      </c>
      <c r="GF347" s="444" t="s">
        <v>1127</v>
      </c>
      <c r="GG347" s="444">
        <v>6</v>
      </c>
      <c r="GH347" s="444" t="s">
        <v>1127</v>
      </c>
      <c r="GI347" s="444">
        <v>6</v>
      </c>
      <c r="GJ347" s="444" t="s">
        <v>1127</v>
      </c>
      <c r="GK347" s="444">
        <v>6</v>
      </c>
      <c r="GL347" s="444" t="s">
        <v>1127</v>
      </c>
      <c r="GM347" s="444">
        <v>6</v>
      </c>
      <c r="GN347" s="444" t="s">
        <v>1127</v>
      </c>
      <c r="GO347" s="444">
        <v>6</v>
      </c>
      <c r="GP347" s="444" t="s">
        <v>1127</v>
      </c>
      <c r="GQ347" s="444">
        <v>6</v>
      </c>
      <c r="GR347" s="444" t="s">
        <v>1127</v>
      </c>
      <c r="GS347" s="444">
        <v>6</v>
      </c>
      <c r="GT347" s="444" t="s">
        <v>1127</v>
      </c>
      <c r="GU347" s="444">
        <v>6</v>
      </c>
      <c r="GV347" s="444" t="s">
        <v>1127</v>
      </c>
      <c r="GW347" s="444">
        <v>6</v>
      </c>
      <c r="GX347" s="444" t="s">
        <v>1127</v>
      </c>
      <c r="GY347" s="444">
        <v>6</v>
      </c>
      <c r="GZ347" s="444" t="s">
        <v>1127</v>
      </c>
      <c r="HA347" s="444">
        <v>6</v>
      </c>
      <c r="HB347" s="444" t="s">
        <v>1127</v>
      </c>
      <c r="HC347" s="444">
        <v>6</v>
      </c>
      <c r="HD347" s="444" t="s">
        <v>1127</v>
      </c>
      <c r="HE347" s="444">
        <v>6</v>
      </c>
      <c r="HF347" s="444" t="s">
        <v>1127</v>
      </c>
      <c r="HG347" s="444">
        <v>6</v>
      </c>
      <c r="HH347" s="444" t="s">
        <v>1127</v>
      </c>
      <c r="HI347" s="444">
        <v>6</v>
      </c>
      <c r="HJ347" s="444" t="s">
        <v>1127</v>
      </c>
      <c r="HK347" s="444">
        <v>6</v>
      </c>
      <c r="HL347" s="444" t="s">
        <v>1127</v>
      </c>
      <c r="HM347" s="444">
        <v>6</v>
      </c>
      <c r="HN347" s="444" t="s">
        <v>1127</v>
      </c>
      <c r="HO347" s="444">
        <v>6</v>
      </c>
      <c r="HP347" s="444" t="s">
        <v>1127</v>
      </c>
      <c r="HQ347" s="444">
        <v>6</v>
      </c>
      <c r="HR347" s="444" t="s">
        <v>1127</v>
      </c>
      <c r="HS347" s="444">
        <v>6</v>
      </c>
      <c r="HT347" s="444" t="s">
        <v>1127</v>
      </c>
      <c r="HU347" s="444">
        <v>6</v>
      </c>
      <c r="HV347" s="444" t="s">
        <v>1127</v>
      </c>
      <c r="HW347" s="444">
        <v>6</v>
      </c>
      <c r="HX347" s="444" t="s">
        <v>1127</v>
      </c>
      <c r="HY347" s="444">
        <v>6</v>
      </c>
      <c r="HZ347" s="444" t="s">
        <v>1127</v>
      </c>
      <c r="IA347" s="444">
        <v>6</v>
      </c>
      <c r="IB347" s="444" t="s">
        <v>1127</v>
      </c>
      <c r="IC347" s="444">
        <v>6</v>
      </c>
      <c r="ID347" s="444" t="s">
        <v>1127</v>
      </c>
      <c r="IE347" s="444">
        <v>6</v>
      </c>
      <c r="IF347" s="444" t="s">
        <v>1127</v>
      </c>
      <c r="IG347" s="444">
        <v>6</v>
      </c>
      <c r="IH347" s="444" t="s">
        <v>1127</v>
      </c>
      <c r="II347" s="444">
        <v>6</v>
      </c>
      <c r="IJ347" s="444" t="s">
        <v>1127</v>
      </c>
      <c r="IK347" s="444">
        <v>6</v>
      </c>
      <c r="IL347" s="444" t="s">
        <v>1127</v>
      </c>
      <c r="IM347" s="444">
        <v>6</v>
      </c>
      <c r="IN347" s="444" t="s">
        <v>1127</v>
      </c>
      <c r="IO347" s="444">
        <v>6</v>
      </c>
      <c r="IP347" s="444" t="s">
        <v>1127</v>
      </c>
      <c r="IQ347" s="444">
        <v>6</v>
      </c>
      <c r="IR347" s="444" t="s">
        <v>1127</v>
      </c>
      <c r="IS347" s="444">
        <v>6</v>
      </c>
      <c r="IT347" s="444" t="s">
        <v>1127</v>
      </c>
      <c r="IU347" s="444">
        <v>6</v>
      </c>
      <c r="IV347" s="444" t="s">
        <v>1127</v>
      </c>
      <c r="IW347" s="444">
        <v>6</v>
      </c>
      <c r="IX347" s="444" t="s">
        <v>1127</v>
      </c>
      <c r="IY347" s="444">
        <v>6</v>
      </c>
      <c r="IZ347" s="444" t="s">
        <v>1127</v>
      </c>
      <c r="JA347" s="444">
        <v>6</v>
      </c>
      <c r="JB347" s="444" t="s">
        <v>1127</v>
      </c>
      <c r="JC347" s="444">
        <v>6</v>
      </c>
      <c r="JD347" s="444" t="s">
        <v>1127</v>
      </c>
      <c r="JE347" s="444">
        <v>6</v>
      </c>
      <c r="JF347" s="444" t="s">
        <v>1127</v>
      </c>
      <c r="JG347" s="444">
        <v>6</v>
      </c>
      <c r="JH347" s="444" t="s">
        <v>1127</v>
      </c>
      <c r="JI347" s="444">
        <v>6</v>
      </c>
      <c r="JJ347" s="444" t="s">
        <v>1127</v>
      </c>
      <c r="JK347" s="444">
        <v>6</v>
      </c>
      <c r="JL347" s="444" t="s">
        <v>1127</v>
      </c>
      <c r="JM347" s="444">
        <v>6</v>
      </c>
      <c r="JN347" s="444" t="s">
        <v>1127</v>
      </c>
      <c r="JO347" s="444">
        <v>6</v>
      </c>
      <c r="JP347" s="444" t="s">
        <v>1127</v>
      </c>
      <c r="JQ347" s="444">
        <v>6</v>
      </c>
      <c r="JR347" s="444" t="s">
        <v>1127</v>
      </c>
      <c r="JS347" s="444">
        <v>6</v>
      </c>
      <c r="JT347" s="444" t="s">
        <v>1127</v>
      </c>
      <c r="JU347" s="444">
        <v>6</v>
      </c>
      <c r="JV347" s="444" t="s">
        <v>1127</v>
      </c>
      <c r="JW347" s="444">
        <v>6</v>
      </c>
      <c r="JX347" s="444" t="s">
        <v>1127</v>
      </c>
      <c r="JY347" s="444">
        <v>6</v>
      </c>
      <c r="JZ347" s="444" t="s">
        <v>1127</v>
      </c>
      <c r="KA347" s="444">
        <v>6</v>
      </c>
      <c r="KB347" s="444" t="s">
        <v>1127</v>
      </c>
      <c r="KC347" s="444">
        <v>6</v>
      </c>
      <c r="KD347" s="444" t="s">
        <v>1127</v>
      </c>
      <c r="KE347" s="444">
        <v>6</v>
      </c>
      <c r="KF347" s="444" t="s">
        <v>1127</v>
      </c>
      <c r="KG347" s="444">
        <v>6</v>
      </c>
      <c r="KH347" s="444" t="s">
        <v>1127</v>
      </c>
      <c r="KI347" s="444">
        <v>6</v>
      </c>
      <c r="KJ347" s="444" t="s">
        <v>1127</v>
      </c>
      <c r="KK347" s="444">
        <v>6</v>
      </c>
      <c r="KL347" s="444" t="s">
        <v>1127</v>
      </c>
      <c r="KM347" s="444">
        <v>6</v>
      </c>
      <c r="KN347" s="444" t="s">
        <v>1127</v>
      </c>
      <c r="KO347" s="444">
        <v>6</v>
      </c>
      <c r="KP347" s="444" t="s">
        <v>1127</v>
      </c>
      <c r="KQ347" s="444">
        <v>6</v>
      </c>
      <c r="KR347" s="444" t="s">
        <v>1127</v>
      </c>
      <c r="KS347" s="444">
        <v>6</v>
      </c>
      <c r="KT347" s="444" t="s">
        <v>1127</v>
      </c>
      <c r="KU347" s="444">
        <v>6</v>
      </c>
      <c r="KV347" s="444" t="s">
        <v>1127</v>
      </c>
      <c r="KW347" s="444">
        <v>6</v>
      </c>
      <c r="KX347" s="444" t="s">
        <v>1127</v>
      </c>
      <c r="KY347" s="444">
        <v>6</v>
      </c>
      <c r="KZ347" s="444" t="s">
        <v>1127</v>
      </c>
      <c r="LA347" s="444">
        <v>6</v>
      </c>
      <c r="LB347" s="444" t="s">
        <v>1127</v>
      </c>
      <c r="LC347" s="444">
        <v>6</v>
      </c>
      <c r="LD347" s="444" t="s">
        <v>1127</v>
      </c>
      <c r="LE347" s="444">
        <v>6</v>
      </c>
      <c r="LF347" s="444" t="s">
        <v>1127</v>
      </c>
      <c r="LG347" s="444">
        <v>6</v>
      </c>
      <c r="LH347" s="444" t="s">
        <v>1127</v>
      </c>
      <c r="LI347" s="444">
        <v>6</v>
      </c>
      <c r="LJ347" s="444" t="s">
        <v>1127</v>
      </c>
      <c r="LK347" s="444">
        <v>6</v>
      </c>
      <c r="LL347" s="444" t="s">
        <v>1127</v>
      </c>
      <c r="LM347" s="444">
        <v>6</v>
      </c>
      <c r="LN347" s="444" t="s">
        <v>1127</v>
      </c>
      <c r="LO347" s="444">
        <v>6</v>
      </c>
      <c r="LP347" s="444" t="s">
        <v>1127</v>
      </c>
      <c r="LQ347" s="444">
        <v>6</v>
      </c>
      <c r="LR347" s="444" t="s">
        <v>1127</v>
      </c>
      <c r="LS347" s="444">
        <v>6</v>
      </c>
      <c r="LT347" s="444" t="s">
        <v>1127</v>
      </c>
      <c r="LU347" s="444">
        <v>6</v>
      </c>
      <c r="LV347" s="444" t="s">
        <v>1127</v>
      </c>
      <c r="LW347" s="444">
        <v>6</v>
      </c>
      <c r="LX347" s="444" t="s">
        <v>1127</v>
      </c>
      <c r="LY347" s="444">
        <v>6</v>
      </c>
      <c r="LZ347" s="444" t="s">
        <v>1127</v>
      </c>
      <c r="MA347" s="444">
        <v>6</v>
      </c>
      <c r="MB347" s="444" t="s">
        <v>1127</v>
      </c>
      <c r="MC347" s="444">
        <v>6</v>
      </c>
      <c r="MD347" s="444" t="s">
        <v>1127</v>
      </c>
      <c r="ME347" s="444">
        <v>6</v>
      </c>
      <c r="MF347" s="444" t="s">
        <v>1127</v>
      </c>
      <c r="MG347" s="444">
        <v>6</v>
      </c>
      <c r="MH347" s="444" t="s">
        <v>1127</v>
      </c>
      <c r="MI347" s="444">
        <v>6</v>
      </c>
      <c r="MJ347" s="444" t="s">
        <v>1127</v>
      </c>
      <c r="MK347" s="444">
        <v>6</v>
      </c>
      <c r="ML347" s="444" t="s">
        <v>1127</v>
      </c>
      <c r="MM347" s="444">
        <v>6</v>
      </c>
      <c r="MN347" s="444" t="s">
        <v>1127</v>
      </c>
      <c r="MO347" s="444">
        <v>6</v>
      </c>
      <c r="MP347" s="444" t="s">
        <v>1127</v>
      </c>
      <c r="MQ347" s="444">
        <v>6</v>
      </c>
      <c r="MR347" s="444" t="s">
        <v>1127</v>
      </c>
      <c r="MS347" s="444">
        <v>6</v>
      </c>
      <c r="MT347" s="444" t="s">
        <v>1127</v>
      </c>
      <c r="MU347" s="444">
        <v>6</v>
      </c>
      <c r="MV347" s="444" t="s">
        <v>1127</v>
      </c>
      <c r="MW347" s="444">
        <v>6</v>
      </c>
      <c r="MX347" s="444" t="s">
        <v>1127</v>
      </c>
      <c r="MY347" s="444">
        <v>6</v>
      </c>
      <c r="MZ347" s="444" t="s">
        <v>1127</v>
      </c>
      <c r="NA347" s="444">
        <v>6</v>
      </c>
      <c r="NB347" s="444" t="s">
        <v>1127</v>
      </c>
      <c r="NC347" s="444">
        <v>6</v>
      </c>
      <c r="ND347" s="444" t="s">
        <v>1127</v>
      </c>
      <c r="NE347" s="444">
        <v>6</v>
      </c>
      <c r="NF347" s="444" t="s">
        <v>1127</v>
      </c>
      <c r="NG347" s="444">
        <v>6</v>
      </c>
      <c r="NH347" s="444" t="s">
        <v>1127</v>
      </c>
      <c r="NI347" s="444">
        <v>6</v>
      </c>
      <c r="NJ347" s="444" t="s">
        <v>1127</v>
      </c>
      <c r="NK347" s="444">
        <v>6</v>
      </c>
      <c r="NL347" s="444" t="s">
        <v>1127</v>
      </c>
      <c r="NM347" s="444">
        <v>6</v>
      </c>
      <c r="NN347" s="444" t="s">
        <v>1127</v>
      </c>
      <c r="NO347" s="444">
        <v>6</v>
      </c>
      <c r="NP347" s="444" t="s">
        <v>1127</v>
      </c>
      <c r="NQ347" s="444">
        <v>6</v>
      </c>
      <c r="NR347" s="444" t="s">
        <v>1127</v>
      </c>
      <c r="NS347" s="444">
        <v>6</v>
      </c>
      <c r="NT347" s="444" t="s">
        <v>1127</v>
      </c>
      <c r="NU347" s="444">
        <v>6</v>
      </c>
      <c r="NV347" s="444" t="s">
        <v>1127</v>
      </c>
      <c r="NW347" s="444">
        <v>6</v>
      </c>
      <c r="NX347" s="444" t="s">
        <v>1127</v>
      </c>
      <c r="NY347" s="444">
        <v>6</v>
      </c>
      <c r="NZ347" s="444" t="s">
        <v>1127</v>
      </c>
      <c r="OA347" s="444">
        <v>6</v>
      </c>
      <c r="OB347" s="444" t="s">
        <v>1127</v>
      </c>
      <c r="OC347" s="444">
        <v>6</v>
      </c>
      <c r="OD347" s="444" t="s">
        <v>1127</v>
      </c>
      <c r="OE347" s="444">
        <v>6</v>
      </c>
      <c r="OF347" s="444" t="s">
        <v>1127</v>
      </c>
      <c r="OG347" s="444">
        <v>6</v>
      </c>
      <c r="OH347" s="444" t="s">
        <v>1127</v>
      </c>
      <c r="OI347" s="444">
        <v>6</v>
      </c>
      <c r="OJ347" s="444" t="s">
        <v>1127</v>
      </c>
      <c r="OK347" s="444">
        <v>6</v>
      </c>
      <c r="OL347" s="444" t="s">
        <v>1127</v>
      </c>
      <c r="OM347" s="444">
        <v>6</v>
      </c>
      <c r="ON347" s="444" t="s">
        <v>1127</v>
      </c>
      <c r="OO347" s="444">
        <v>6</v>
      </c>
      <c r="OP347" s="444" t="s">
        <v>1127</v>
      </c>
      <c r="OQ347" s="444">
        <v>6</v>
      </c>
      <c r="OR347" s="444" t="s">
        <v>1127</v>
      </c>
      <c r="OS347" s="444">
        <v>6</v>
      </c>
      <c r="OT347" s="444" t="s">
        <v>1127</v>
      </c>
      <c r="OU347" s="444">
        <v>6</v>
      </c>
      <c r="OV347" s="444" t="s">
        <v>1127</v>
      </c>
      <c r="OW347" s="444">
        <v>6</v>
      </c>
      <c r="OX347" s="444" t="s">
        <v>1127</v>
      </c>
      <c r="OY347" s="444">
        <v>6</v>
      </c>
      <c r="OZ347" s="444" t="s">
        <v>1127</v>
      </c>
      <c r="PA347" s="444">
        <v>6</v>
      </c>
      <c r="PB347" s="444" t="s">
        <v>1127</v>
      </c>
      <c r="PC347" s="444">
        <v>6</v>
      </c>
      <c r="PD347" s="444" t="s">
        <v>1127</v>
      </c>
      <c r="PE347" s="444">
        <v>6</v>
      </c>
      <c r="PF347" s="444" t="s">
        <v>1127</v>
      </c>
      <c r="PG347" s="444">
        <v>6</v>
      </c>
      <c r="PH347" s="444" t="s">
        <v>1127</v>
      </c>
      <c r="PI347" s="444">
        <v>6</v>
      </c>
      <c r="PJ347" s="444" t="s">
        <v>1127</v>
      </c>
      <c r="PK347" s="444">
        <v>6</v>
      </c>
      <c r="PL347" s="444" t="s">
        <v>1127</v>
      </c>
      <c r="PM347" s="444">
        <v>6</v>
      </c>
      <c r="PN347" s="444" t="s">
        <v>1127</v>
      </c>
      <c r="PO347" s="444">
        <v>6</v>
      </c>
      <c r="PP347" s="444" t="s">
        <v>1127</v>
      </c>
      <c r="PQ347" s="444">
        <v>6</v>
      </c>
      <c r="PR347" s="444" t="s">
        <v>1127</v>
      </c>
      <c r="PS347" s="444">
        <v>6</v>
      </c>
      <c r="PT347" s="444" t="s">
        <v>1127</v>
      </c>
      <c r="PU347" s="444">
        <v>6</v>
      </c>
      <c r="PV347" s="444" t="s">
        <v>1127</v>
      </c>
      <c r="PW347" s="444">
        <v>6</v>
      </c>
      <c r="PX347" s="444" t="s">
        <v>1127</v>
      </c>
      <c r="PY347" s="444">
        <v>6</v>
      </c>
      <c r="PZ347" s="444" t="s">
        <v>1127</v>
      </c>
      <c r="QA347" s="444">
        <v>6</v>
      </c>
      <c r="QB347" s="444" t="s">
        <v>1127</v>
      </c>
      <c r="QC347" s="444">
        <v>6</v>
      </c>
      <c r="QD347" s="444" t="s">
        <v>1127</v>
      </c>
      <c r="QE347" s="444">
        <v>6</v>
      </c>
      <c r="QF347" s="444" t="s">
        <v>1127</v>
      </c>
      <c r="QG347" s="444">
        <v>6</v>
      </c>
      <c r="QH347" s="444" t="s">
        <v>1127</v>
      </c>
      <c r="QI347" s="444">
        <v>6</v>
      </c>
      <c r="QJ347" s="444" t="s">
        <v>1127</v>
      </c>
      <c r="QK347" s="444">
        <v>6</v>
      </c>
      <c r="QL347" s="444" t="s">
        <v>1127</v>
      </c>
      <c r="QM347" s="444">
        <v>6</v>
      </c>
      <c r="QN347" s="444" t="s">
        <v>1127</v>
      </c>
      <c r="QO347" s="444">
        <v>6</v>
      </c>
      <c r="QP347" s="444" t="s">
        <v>1127</v>
      </c>
      <c r="QQ347" s="444">
        <v>6</v>
      </c>
      <c r="QR347" s="444" t="s">
        <v>1127</v>
      </c>
      <c r="QS347" s="444">
        <v>6</v>
      </c>
      <c r="QT347" s="444" t="s">
        <v>1127</v>
      </c>
      <c r="QU347" s="444">
        <v>6</v>
      </c>
      <c r="QV347" s="444" t="s">
        <v>1127</v>
      </c>
      <c r="QW347" s="444">
        <v>6</v>
      </c>
      <c r="QX347" s="444" t="s">
        <v>1127</v>
      </c>
      <c r="QY347" s="444">
        <v>6</v>
      </c>
      <c r="QZ347" s="444" t="s">
        <v>1127</v>
      </c>
      <c r="RA347" s="444">
        <v>6</v>
      </c>
      <c r="RB347" s="444" t="s">
        <v>1127</v>
      </c>
      <c r="RC347" s="444">
        <v>6</v>
      </c>
      <c r="RD347" s="444" t="s">
        <v>1127</v>
      </c>
      <c r="RE347" s="444">
        <v>6</v>
      </c>
      <c r="RF347" s="444" t="s">
        <v>1127</v>
      </c>
      <c r="RG347" s="444">
        <v>6</v>
      </c>
      <c r="RH347" s="444" t="s">
        <v>1127</v>
      </c>
      <c r="RI347" s="444">
        <v>6</v>
      </c>
      <c r="RJ347" s="444" t="s">
        <v>1127</v>
      </c>
      <c r="RK347" s="444">
        <v>6</v>
      </c>
      <c r="RL347" s="444" t="s">
        <v>1127</v>
      </c>
      <c r="RM347" s="444">
        <v>6</v>
      </c>
      <c r="RN347" s="444" t="s">
        <v>1127</v>
      </c>
      <c r="RO347" s="444">
        <v>6</v>
      </c>
      <c r="RP347" s="444" t="s">
        <v>1127</v>
      </c>
      <c r="RQ347" s="444">
        <v>6</v>
      </c>
      <c r="RR347" s="444" t="s">
        <v>1127</v>
      </c>
      <c r="RS347" s="444">
        <v>6</v>
      </c>
      <c r="RT347" s="444" t="s">
        <v>1127</v>
      </c>
      <c r="RU347" s="444">
        <v>6</v>
      </c>
      <c r="RV347" s="444" t="s">
        <v>1127</v>
      </c>
      <c r="RW347" s="444">
        <v>6</v>
      </c>
      <c r="RX347" s="444" t="s">
        <v>1127</v>
      </c>
      <c r="RY347" s="444">
        <v>6</v>
      </c>
      <c r="RZ347" s="444" t="s">
        <v>1127</v>
      </c>
      <c r="SA347" s="444">
        <v>6</v>
      </c>
      <c r="SB347" s="444" t="s">
        <v>1127</v>
      </c>
      <c r="SC347" s="444">
        <v>6</v>
      </c>
      <c r="SD347" s="444" t="s">
        <v>1127</v>
      </c>
      <c r="SE347" s="444">
        <v>6</v>
      </c>
      <c r="SF347" s="444" t="s">
        <v>1127</v>
      </c>
      <c r="SG347" s="444">
        <v>6</v>
      </c>
      <c r="SH347" s="444" t="s">
        <v>1127</v>
      </c>
      <c r="SI347" s="444">
        <v>6</v>
      </c>
      <c r="SJ347" s="444" t="s">
        <v>1127</v>
      </c>
      <c r="SK347" s="444">
        <v>6</v>
      </c>
      <c r="SL347" s="444" t="s">
        <v>1127</v>
      </c>
      <c r="SM347" s="444">
        <v>6</v>
      </c>
      <c r="SN347" s="444" t="s">
        <v>1127</v>
      </c>
      <c r="SO347" s="444">
        <v>6</v>
      </c>
      <c r="SP347" s="444" t="s">
        <v>1127</v>
      </c>
      <c r="SQ347" s="444">
        <v>6</v>
      </c>
      <c r="SR347" s="444" t="s">
        <v>1127</v>
      </c>
      <c r="SS347" s="444">
        <v>6</v>
      </c>
      <c r="ST347" s="444" t="s">
        <v>1127</v>
      </c>
      <c r="SU347" s="444">
        <v>6</v>
      </c>
      <c r="SV347" s="444" t="s">
        <v>1127</v>
      </c>
      <c r="SW347" s="444">
        <v>6</v>
      </c>
      <c r="SX347" s="444" t="s">
        <v>1127</v>
      </c>
      <c r="SY347" s="444">
        <v>6</v>
      </c>
      <c r="SZ347" s="444" t="s">
        <v>1127</v>
      </c>
      <c r="TA347" s="444">
        <v>6</v>
      </c>
      <c r="TB347" s="444" t="s">
        <v>1127</v>
      </c>
      <c r="TC347" s="444">
        <v>6</v>
      </c>
      <c r="TD347" s="444" t="s">
        <v>1127</v>
      </c>
      <c r="TE347" s="444">
        <v>6</v>
      </c>
      <c r="TF347" s="444" t="s">
        <v>1127</v>
      </c>
      <c r="TG347" s="444">
        <v>6</v>
      </c>
      <c r="TH347" s="444" t="s">
        <v>1127</v>
      </c>
      <c r="TI347" s="444">
        <v>6</v>
      </c>
      <c r="TJ347" s="444" t="s">
        <v>1127</v>
      </c>
      <c r="TK347" s="444">
        <v>6</v>
      </c>
      <c r="TL347" s="444" t="s">
        <v>1127</v>
      </c>
      <c r="TM347" s="444">
        <v>6</v>
      </c>
      <c r="TN347" s="444" t="s">
        <v>1127</v>
      </c>
      <c r="TO347" s="444">
        <v>6</v>
      </c>
      <c r="TP347" s="444" t="s">
        <v>1127</v>
      </c>
      <c r="TQ347" s="444">
        <v>6</v>
      </c>
      <c r="TR347" s="444" t="s">
        <v>1127</v>
      </c>
      <c r="TS347" s="444">
        <v>6</v>
      </c>
      <c r="TT347" s="444" t="s">
        <v>1127</v>
      </c>
      <c r="TU347" s="444">
        <v>6</v>
      </c>
      <c r="TV347" s="444" t="s">
        <v>1127</v>
      </c>
      <c r="TW347" s="444">
        <v>6</v>
      </c>
      <c r="TX347" s="444" t="s">
        <v>1127</v>
      </c>
      <c r="TY347" s="444">
        <v>6</v>
      </c>
      <c r="TZ347" s="444" t="s">
        <v>1127</v>
      </c>
      <c r="UA347" s="444">
        <v>6</v>
      </c>
      <c r="UB347" s="444" t="s">
        <v>1127</v>
      </c>
      <c r="UC347" s="444">
        <v>6</v>
      </c>
      <c r="UD347" s="444" t="s">
        <v>1127</v>
      </c>
      <c r="UE347" s="444">
        <v>6</v>
      </c>
      <c r="UF347" s="444" t="s">
        <v>1127</v>
      </c>
      <c r="UG347" s="444">
        <v>6</v>
      </c>
      <c r="UH347" s="444" t="s">
        <v>1127</v>
      </c>
      <c r="UI347" s="444">
        <v>6</v>
      </c>
      <c r="UJ347" s="444" t="s">
        <v>1127</v>
      </c>
      <c r="UK347" s="444">
        <v>6</v>
      </c>
      <c r="UL347" s="444" t="s">
        <v>1127</v>
      </c>
      <c r="UM347" s="444">
        <v>6</v>
      </c>
      <c r="UN347" s="444" t="s">
        <v>1127</v>
      </c>
      <c r="UO347" s="444">
        <v>6</v>
      </c>
      <c r="UP347" s="444" t="s">
        <v>1127</v>
      </c>
      <c r="UQ347" s="444">
        <v>6</v>
      </c>
      <c r="UR347" s="444" t="s">
        <v>1127</v>
      </c>
      <c r="US347" s="444">
        <v>6</v>
      </c>
      <c r="UT347" s="444" t="s">
        <v>1127</v>
      </c>
      <c r="UU347" s="444">
        <v>6</v>
      </c>
      <c r="UV347" s="444" t="s">
        <v>1127</v>
      </c>
      <c r="UW347" s="444">
        <v>6</v>
      </c>
      <c r="UX347" s="444" t="s">
        <v>1127</v>
      </c>
      <c r="UY347" s="444">
        <v>6</v>
      </c>
      <c r="UZ347" s="444" t="s">
        <v>1127</v>
      </c>
      <c r="VA347" s="444">
        <v>6</v>
      </c>
      <c r="VB347" s="444" t="s">
        <v>1127</v>
      </c>
      <c r="VC347" s="444">
        <v>6</v>
      </c>
      <c r="VD347" s="444" t="s">
        <v>1127</v>
      </c>
      <c r="VE347" s="444">
        <v>6</v>
      </c>
      <c r="VF347" s="444" t="s">
        <v>1127</v>
      </c>
      <c r="VG347" s="444">
        <v>6</v>
      </c>
      <c r="VH347" s="444" t="s">
        <v>1127</v>
      </c>
      <c r="VI347" s="444">
        <v>6</v>
      </c>
      <c r="VJ347" s="444" t="s">
        <v>1127</v>
      </c>
      <c r="VK347" s="444">
        <v>6</v>
      </c>
      <c r="VL347" s="444" t="s">
        <v>1127</v>
      </c>
      <c r="VM347" s="444">
        <v>6</v>
      </c>
      <c r="VN347" s="444" t="s">
        <v>1127</v>
      </c>
      <c r="VO347" s="444">
        <v>6</v>
      </c>
      <c r="VP347" s="444" t="s">
        <v>1127</v>
      </c>
      <c r="VQ347" s="444">
        <v>6</v>
      </c>
      <c r="VR347" s="444" t="s">
        <v>1127</v>
      </c>
      <c r="VS347" s="444">
        <v>6</v>
      </c>
      <c r="VT347" s="444" t="s">
        <v>1127</v>
      </c>
      <c r="VU347" s="444">
        <v>6</v>
      </c>
      <c r="VV347" s="444" t="s">
        <v>1127</v>
      </c>
      <c r="VW347" s="444">
        <v>6</v>
      </c>
      <c r="VX347" s="444" t="s">
        <v>1127</v>
      </c>
      <c r="VY347" s="444">
        <v>6</v>
      </c>
      <c r="VZ347" s="444" t="s">
        <v>1127</v>
      </c>
      <c r="WA347" s="444">
        <v>6</v>
      </c>
      <c r="WB347" s="444" t="s">
        <v>1127</v>
      </c>
      <c r="WC347" s="444">
        <v>6</v>
      </c>
      <c r="WD347" s="444" t="s">
        <v>1127</v>
      </c>
      <c r="WE347" s="444">
        <v>6</v>
      </c>
      <c r="WF347" s="444" t="s">
        <v>1127</v>
      </c>
      <c r="WG347" s="444">
        <v>6</v>
      </c>
      <c r="WH347" s="444" t="s">
        <v>1127</v>
      </c>
      <c r="WI347" s="444">
        <v>6</v>
      </c>
      <c r="WJ347" s="444" t="s">
        <v>1127</v>
      </c>
      <c r="WK347" s="444">
        <v>6</v>
      </c>
      <c r="WL347" s="444" t="s">
        <v>1127</v>
      </c>
      <c r="WM347" s="444">
        <v>6</v>
      </c>
      <c r="WN347" s="444" t="s">
        <v>1127</v>
      </c>
      <c r="WO347" s="444">
        <v>6</v>
      </c>
      <c r="WP347" s="444" t="s">
        <v>1127</v>
      </c>
      <c r="WQ347" s="444">
        <v>6</v>
      </c>
      <c r="WR347" s="444" t="s">
        <v>1127</v>
      </c>
      <c r="WS347" s="444">
        <v>6</v>
      </c>
      <c r="WT347" s="444" t="s">
        <v>1127</v>
      </c>
      <c r="WU347" s="444">
        <v>6</v>
      </c>
      <c r="WV347" s="444" t="s">
        <v>1127</v>
      </c>
      <c r="WW347" s="444">
        <v>6</v>
      </c>
      <c r="WX347" s="444" t="s">
        <v>1127</v>
      </c>
      <c r="WY347" s="444">
        <v>6</v>
      </c>
      <c r="WZ347" s="444" t="s">
        <v>1127</v>
      </c>
      <c r="XA347" s="444">
        <v>6</v>
      </c>
      <c r="XB347" s="444" t="s">
        <v>1127</v>
      </c>
      <c r="XC347" s="444">
        <v>6</v>
      </c>
      <c r="XD347" s="444" t="s">
        <v>1127</v>
      </c>
      <c r="XE347" s="444">
        <v>6</v>
      </c>
      <c r="XF347" s="444" t="s">
        <v>1127</v>
      </c>
      <c r="XG347" s="444">
        <v>6</v>
      </c>
      <c r="XH347" s="444" t="s">
        <v>1127</v>
      </c>
      <c r="XI347" s="444">
        <v>6</v>
      </c>
      <c r="XJ347" s="444" t="s">
        <v>1127</v>
      </c>
      <c r="XK347" s="444">
        <v>6</v>
      </c>
      <c r="XL347" s="444" t="s">
        <v>1127</v>
      </c>
      <c r="XM347" s="444">
        <v>6</v>
      </c>
      <c r="XN347" s="444" t="s">
        <v>1127</v>
      </c>
      <c r="XO347" s="444">
        <v>6</v>
      </c>
      <c r="XP347" s="444" t="s">
        <v>1127</v>
      </c>
      <c r="XQ347" s="444">
        <v>6</v>
      </c>
      <c r="XR347" s="444" t="s">
        <v>1127</v>
      </c>
      <c r="XS347" s="444">
        <v>6</v>
      </c>
      <c r="XT347" s="444" t="s">
        <v>1127</v>
      </c>
      <c r="XU347" s="444">
        <v>6</v>
      </c>
      <c r="XV347" s="444" t="s">
        <v>1127</v>
      </c>
      <c r="XW347" s="444">
        <v>6</v>
      </c>
      <c r="XX347" s="444" t="s">
        <v>1127</v>
      </c>
      <c r="XY347" s="444">
        <v>6</v>
      </c>
      <c r="XZ347" s="444" t="s">
        <v>1127</v>
      </c>
      <c r="YA347" s="444">
        <v>6</v>
      </c>
      <c r="YB347" s="444" t="s">
        <v>1127</v>
      </c>
      <c r="YC347" s="444">
        <v>6</v>
      </c>
      <c r="YD347" s="444" t="s">
        <v>1127</v>
      </c>
      <c r="YE347" s="444">
        <v>6</v>
      </c>
      <c r="YF347" s="444" t="s">
        <v>1127</v>
      </c>
      <c r="YG347" s="444">
        <v>6</v>
      </c>
      <c r="YH347" s="444" t="s">
        <v>1127</v>
      </c>
      <c r="YI347" s="444">
        <v>6</v>
      </c>
      <c r="YJ347" s="444" t="s">
        <v>1127</v>
      </c>
      <c r="YK347" s="444">
        <v>6</v>
      </c>
      <c r="YL347" s="444" t="s">
        <v>1127</v>
      </c>
      <c r="YM347" s="444">
        <v>6</v>
      </c>
      <c r="YN347" s="444" t="s">
        <v>1127</v>
      </c>
      <c r="YO347" s="444">
        <v>6</v>
      </c>
      <c r="YP347" s="444" t="s">
        <v>1127</v>
      </c>
      <c r="YQ347" s="444">
        <v>6</v>
      </c>
      <c r="YR347" s="444" t="s">
        <v>1127</v>
      </c>
      <c r="YS347" s="444">
        <v>6</v>
      </c>
      <c r="YT347" s="444" t="s">
        <v>1127</v>
      </c>
      <c r="YU347" s="444">
        <v>6</v>
      </c>
      <c r="YV347" s="444" t="s">
        <v>1127</v>
      </c>
      <c r="YW347" s="444">
        <v>6</v>
      </c>
      <c r="YX347" s="444" t="s">
        <v>1127</v>
      </c>
      <c r="YY347" s="444">
        <v>6</v>
      </c>
      <c r="YZ347" s="444" t="s">
        <v>1127</v>
      </c>
      <c r="ZA347" s="444">
        <v>6</v>
      </c>
      <c r="ZB347" s="444" t="s">
        <v>1127</v>
      </c>
      <c r="ZC347" s="444">
        <v>6</v>
      </c>
      <c r="ZD347" s="444" t="s">
        <v>1127</v>
      </c>
      <c r="ZE347" s="444">
        <v>6</v>
      </c>
      <c r="ZF347" s="444" t="s">
        <v>1127</v>
      </c>
      <c r="ZG347" s="444">
        <v>6</v>
      </c>
      <c r="ZH347" s="444" t="s">
        <v>1127</v>
      </c>
      <c r="ZI347" s="444">
        <v>6</v>
      </c>
      <c r="ZJ347" s="444" t="s">
        <v>1127</v>
      </c>
      <c r="ZK347" s="444">
        <v>6</v>
      </c>
      <c r="ZL347" s="444" t="s">
        <v>1127</v>
      </c>
      <c r="ZM347" s="444">
        <v>6</v>
      </c>
      <c r="ZN347" s="444" t="s">
        <v>1127</v>
      </c>
      <c r="ZO347" s="444">
        <v>6</v>
      </c>
      <c r="ZP347" s="444" t="s">
        <v>1127</v>
      </c>
      <c r="ZQ347" s="444">
        <v>6</v>
      </c>
      <c r="ZR347" s="444" t="s">
        <v>1127</v>
      </c>
      <c r="ZS347" s="444">
        <v>6</v>
      </c>
      <c r="ZT347" s="444" t="s">
        <v>1127</v>
      </c>
      <c r="ZU347" s="444">
        <v>6</v>
      </c>
      <c r="ZV347" s="444" t="s">
        <v>1127</v>
      </c>
      <c r="ZW347" s="444">
        <v>6</v>
      </c>
      <c r="ZX347" s="444" t="s">
        <v>1127</v>
      </c>
      <c r="ZY347" s="444">
        <v>6</v>
      </c>
      <c r="ZZ347" s="444" t="s">
        <v>1127</v>
      </c>
      <c r="AAA347" s="444">
        <v>6</v>
      </c>
      <c r="AAB347" s="444" t="s">
        <v>1127</v>
      </c>
      <c r="AAC347" s="444">
        <v>6</v>
      </c>
      <c r="AAD347" s="444" t="s">
        <v>1127</v>
      </c>
      <c r="AAE347" s="444">
        <v>6</v>
      </c>
      <c r="AAF347" s="444" t="s">
        <v>1127</v>
      </c>
      <c r="AAG347" s="444">
        <v>6</v>
      </c>
      <c r="AAH347" s="444" t="s">
        <v>1127</v>
      </c>
      <c r="AAI347" s="444">
        <v>6</v>
      </c>
      <c r="AAJ347" s="444" t="s">
        <v>1127</v>
      </c>
      <c r="AAK347" s="444">
        <v>6</v>
      </c>
      <c r="AAL347" s="444" t="s">
        <v>1127</v>
      </c>
      <c r="AAM347" s="444">
        <v>6</v>
      </c>
      <c r="AAN347" s="444" t="s">
        <v>1127</v>
      </c>
      <c r="AAO347" s="444">
        <v>6</v>
      </c>
      <c r="AAP347" s="444" t="s">
        <v>1127</v>
      </c>
      <c r="AAQ347" s="444">
        <v>6</v>
      </c>
      <c r="AAR347" s="444" t="s">
        <v>1127</v>
      </c>
      <c r="AAS347" s="444">
        <v>6</v>
      </c>
      <c r="AAT347" s="444" t="s">
        <v>1127</v>
      </c>
      <c r="AAU347" s="444">
        <v>6</v>
      </c>
      <c r="AAV347" s="444" t="s">
        <v>1127</v>
      </c>
      <c r="AAW347" s="444">
        <v>6</v>
      </c>
      <c r="AAX347" s="444" t="s">
        <v>1127</v>
      </c>
      <c r="AAY347" s="444">
        <v>6</v>
      </c>
      <c r="AAZ347" s="444" t="s">
        <v>1127</v>
      </c>
      <c r="ABA347" s="444">
        <v>6</v>
      </c>
      <c r="ABB347" s="444" t="s">
        <v>1127</v>
      </c>
      <c r="ABC347" s="444">
        <v>6</v>
      </c>
      <c r="ABD347" s="444" t="s">
        <v>1127</v>
      </c>
      <c r="ABE347" s="444">
        <v>6</v>
      </c>
      <c r="ABF347" s="444" t="s">
        <v>1127</v>
      </c>
      <c r="ABG347" s="444">
        <v>6</v>
      </c>
      <c r="ABH347" s="444" t="s">
        <v>1127</v>
      </c>
      <c r="ABI347" s="444">
        <v>6</v>
      </c>
      <c r="ABJ347" s="444" t="s">
        <v>1127</v>
      </c>
      <c r="ABK347" s="444">
        <v>6</v>
      </c>
      <c r="ABL347" s="444" t="s">
        <v>1127</v>
      </c>
      <c r="ABM347" s="444">
        <v>6</v>
      </c>
      <c r="ABN347" s="444" t="s">
        <v>1127</v>
      </c>
      <c r="ABO347" s="444">
        <v>6</v>
      </c>
      <c r="ABP347" s="444" t="s">
        <v>1127</v>
      </c>
      <c r="ABQ347" s="444">
        <v>6</v>
      </c>
      <c r="ABR347" s="444" t="s">
        <v>1127</v>
      </c>
      <c r="ABS347" s="444">
        <v>6</v>
      </c>
      <c r="ABT347" s="444" t="s">
        <v>1127</v>
      </c>
      <c r="ABU347" s="444">
        <v>6</v>
      </c>
      <c r="ABV347" s="444" t="s">
        <v>1127</v>
      </c>
      <c r="ABW347" s="444">
        <v>6</v>
      </c>
      <c r="ABX347" s="444" t="s">
        <v>1127</v>
      </c>
      <c r="ABY347" s="444">
        <v>6</v>
      </c>
      <c r="ABZ347" s="444" t="s">
        <v>1127</v>
      </c>
      <c r="ACA347" s="444">
        <v>6</v>
      </c>
      <c r="ACB347" s="444" t="s">
        <v>1127</v>
      </c>
      <c r="ACC347" s="444">
        <v>6</v>
      </c>
      <c r="ACD347" s="444" t="s">
        <v>1127</v>
      </c>
      <c r="ACE347" s="444">
        <v>6</v>
      </c>
      <c r="ACF347" s="444" t="s">
        <v>1127</v>
      </c>
      <c r="ACG347" s="444">
        <v>6</v>
      </c>
      <c r="ACH347" s="444" t="s">
        <v>1127</v>
      </c>
      <c r="ACI347" s="444">
        <v>6</v>
      </c>
      <c r="ACJ347" s="444" t="s">
        <v>1127</v>
      </c>
      <c r="ACK347" s="444">
        <v>6</v>
      </c>
      <c r="ACL347" s="444" t="s">
        <v>1127</v>
      </c>
      <c r="ACM347" s="444">
        <v>6</v>
      </c>
      <c r="ACN347" s="444" t="s">
        <v>1127</v>
      </c>
      <c r="ACO347" s="444">
        <v>6</v>
      </c>
      <c r="ACP347" s="444" t="s">
        <v>1127</v>
      </c>
      <c r="ACQ347" s="444">
        <v>6</v>
      </c>
      <c r="ACR347" s="444" t="s">
        <v>1127</v>
      </c>
      <c r="ACS347" s="444">
        <v>6</v>
      </c>
      <c r="ACT347" s="444" t="s">
        <v>1127</v>
      </c>
      <c r="ACU347" s="444">
        <v>6</v>
      </c>
      <c r="ACV347" s="444" t="s">
        <v>1127</v>
      </c>
      <c r="ACW347" s="444">
        <v>6</v>
      </c>
      <c r="ACX347" s="444" t="s">
        <v>1127</v>
      </c>
      <c r="ACY347" s="444">
        <v>6</v>
      </c>
      <c r="ACZ347" s="444" t="s">
        <v>1127</v>
      </c>
      <c r="ADA347" s="444">
        <v>6</v>
      </c>
      <c r="ADB347" s="444" t="s">
        <v>1127</v>
      </c>
      <c r="ADC347" s="444">
        <v>6</v>
      </c>
      <c r="ADD347" s="444" t="s">
        <v>1127</v>
      </c>
      <c r="ADE347" s="444">
        <v>6</v>
      </c>
      <c r="ADF347" s="444" t="s">
        <v>1127</v>
      </c>
      <c r="ADG347" s="444">
        <v>6</v>
      </c>
      <c r="ADH347" s="444" t="s">
        <v>1127</v>
      </c>
      <c r="ADI347" s="444">
        <v>6</v>
      </c>
      <c r="ADJ347" s="444" t="s">
        <v>1127</v>
      </c>
      <c r="ADK347" s="444">
        <v>6</v>
      </c>
      <c r="ADL347" s="444" t="s">
        <v>1127</v>
      </c>
      <c r="ADM347" s="444">
        <v>6</v>
      </c>
      <c r="ADN347" s="444" t="s">
        <v>1127</v>
      </c>
      <c r="ADO347" s="444">
        <v>6</v>
      </c>
      <c r="ADP347" s="444" t="s">
        <v>1127</v>
      </c>
      <c r="ADQ347" s="444">
        <v>6</v>
      </c>
      <c r="ADR347" s="444" t="s">
        <v>1127</v>
      </c>
      <c r="ADS347" s="444">
        <v>6</v>
      </c>
      <c r="ADT347" s="444" t="s">
        <v>1127</v>
      </c>
      <c r="ADU347" s="444">
        <v>6</v>
      </c>
      <c r="ADV347" s="444" t="s">
        <v>1127</v>
      </c>
      <c r="ADW347" s="444">
        <v>6</v>
      </c>
      <c r="ADX347" s="444" t="s">
        <v>1127</v>
      </c>
      <c r="ADY347" s="444">
        <v>6</v>
      </c>
      <c r="ADZ347" s="444" t="s">
        <v>1127</v>
      </c>
      <c r="AEA347" s="444">
        <v>6</v>
      </c>
      <c r="AEB347" s="444" t="s">
        <v>1127</v>
      </c>
      <c r="AEC347" s="444">
        <v>6</v>
      </c>
      <c r="AED347" s="444" t="s">
        <v>1127</v>
      </c>
      <c r="AEE347" s="444">
        <v>6</v>
      </c>
      <c r="AEF347" s="444" t="s">
        <v>1127</v>
      </c>
      <c r="AEG347" s="444">
        <v>6</v>
      </c>
      <c r="AEH347" s="444" t="s">
        <v>1127</v>
      </c>
      <c r="AEI347" s="444">
        <v>6</v>
      </c>
      <c r="AEJ347" s="444" t="s">
        <v>1127</v>
      </c>
      <c r="AEK347" s="444">
        <v>6</v>
      </c>
      <c r="AEL347" s="444" t="s">
        <v>1127</v>
      </c>
      <c r="AEM347" s="444">
        <v>6</v>
      </c>
      <c r="AEN347" s="444" t="s">
        <v>1127</v>
      </c>
      <c r="AEO347" s="444">
        <v>6</v>
      </c>
      <c r="AEP347" s="444" t="s">
        <v>1127</v>
      </c>
      <c r="AEQ347" s="444">
        <v>6</v>
      </c>
      <c r="AER347" s="444" t="s">
        <v>1127</v>
      </c>
      <c r="AES347" s="444">
        <v>6</v>
      </c>
      <c r="AET347" s="444" t="s">
        <v>1127</v>
      </c>
      <c r="AEU347" s="444">
        <v>6</v>
      </c>
      <c r="AEV347" s="444" t="s">
        <v>1127</v>
      </c>
      <c r="AEW347" s="444">
        <v>6</v>
      </c>
      <c r="AEX347" s="444" t="s">
        <v>1127</v>
      </c>
      <c r="AEY347" s="444">
        <v>6</v>
      </c>
      <c r="AEZ347" s="444" t="s">
        <v>1127</v>
      </c>
      <c r="AFA347" s="444">
        <v>6</v>
      </c>
      <c r="AFB347" s="444" t="s">
        <v>1127</v>
      </c>
      <c r="AFC347" s="444">
        <v>6</v>
      </c>
      <c r="AFD347" s="444" t="s">
        <v>1127</v>
      </c>
      <c r="AFE347" s="444">
        <v>6</v>
      </c>
      <c r="AFF347" s="444" t="s">
        <v>1127</v>
      </c>
      <c r="AFG347" s="444">
        <v>6</v>
      </c>
      <c r="AFH347" s="444" t="s">
        <v>1127</v>
      </c>
      <c r="AFI347" s="444">
        <v>6</v>
      </c>
      <c r="AFJ347" s="444" t="s">
        <v>1127</v>
      </c>
      <c r="AFK347" s="444">
        <v>6</v>
      </c>
      <c r="AFL347" s="444" t="s">
        <v>1127</v>
      </c>
      <c r="AFM347" s="444">
        <v>6</v>
      </c>
      <c r="AFN347" s="444" t="s">
        <v>1127</v>
      </c>
      <c r="AFO347" s="444">
        <v>6</v>
      </c>
      <c r="AFP347" s="444" t="s">
        <v>1127</v>
      </c>
      <c r="AFQ347" s="444">
        <v>6</v>
      </c>
      <c r="AFR347" s="444" t="s">
        <v>1127</v>
      </c>
      <c r="AFS347" s="444">
        <v>6</v>
      </c>
      <c r="AFT347" s="444" t="s">
        <v>1127</v>
      </c>
      <c r="AFU347" s="444">
        <v>6</v>
      </c>
      <c r="AFV347" s="444" t="s">
        <v>1127</v>
      </c>
      <c r="AFW347" s="444">
        <v>6</v>
      </c>
      <c r="AFX347" s="444" t="s">
        <v>1127</v>
      </c>
      <c r="AFY347" s="444">
        <v>6</v>
      </c>
      <c r="AFZ347" s="444" t="s">
        <v>1127</v>
      </c>
      <c r="AGA347" s="444">
        <v>6</v>
      </c>
      <c r="AGB347" s="444" t="s">
        <v>1127</v>
      </c>
      <c r="AGC347" s="444">
        <v>6</v>
      </c>
      <c r="AGD347" s="444" t="s">
        <v>1127</v>
      </c>
      <c r="AGE347" s="444">
        <v>6</v>
      </c>
      <c r="AGF347" s="444" t="s">
        <v>1127</v>
      </c>
      <c r="AGG347" s="444">
        <v>6</v>
      </c>
      <c r="AGH347" s="444" t="s">
        <v>1127</v>
      </c>
      <c r="AGI347" s="444">
        <v>6</v>
      </c>
      <c r="AGJ347" s="444" t="s">
        <v>1127</v>
      </c>
      <c r="AGK347" s="444">
        <v>6</v>
      </c>
      <c r="AGL347" s="444" t="s">
        <v>1127</v>
      </c>
      <c r="AGM347" s="444">
        <v>6</v>
      </c>
      <c r="AGN347" s="444" t="s">
        <v>1127</v>
      </c>
      <c r="AGO347" s="444">
        <v>6</v>
      </c>
      <c r="AGP347" s="444" t="s">
        <v>1127</v>
      </c>
      <c r="AGQ347" s="444">
        <v>6</v>
      </c>
      <c r="AGR347" s="444" t="s">
        <v>1127</v>
      </c>
      <c r="AGS347" s="444">
        <v>6</v>
      </c>
      <c r="AGT347" s="444" t="s">
        <v>1127</v>
      </c>
      <c r="AGU347" s="444">
        <v>6</v>
      </c>
      <c r="AGV347" s="444" t="s">
        <v>1127</v>
      </c>
      <c r="AGW347" s="444">
        <v>6</v>
      </c>
      <c r="AGX347" s="444" t="s">
        <v>1127</v>
      </c>
      <c r="AGY347" s="444">
        <v>6</v>
      </c>
      <c r="AGZ347" s="444" t="s">
        <v>1127</v>
      </c>
      <c r="AHA347" s="444">
        <v>6</v>
      </c>
      <c r="AHB347" s="444" t="s">
        <v>1127</v>
      </c>
      <c r="AHC347" s="444">
        <v>6</v>
      </c>
      <c r="AHD347" s="444" t="s">
        <v>1127</v>
      </c>
      <c r="AHE347" s="444">
        <v>6</v>
      </c>
      <c r="AHF347" s="444" t="s">
        <v>1127</v>
      </c>
      <c r="AHG347" s="444">
        <v>6</v>
      </c>
      <c r="AHH347" s="444" t="s">
        <v>1127</v>
      </c>
      <c r="AHI347" s="444">
        <v>6</v>
      </c>
      <c r="AHJ347" s="444" t="s">
        <v>1127</v>
      </c>
      <c r="AHK347" s="444">
        <v>6</v>
      </c>
      <c r="AHL347" s="444" t="s">
        <v>1127</v>
      </c>
      <c r="AHM347" s="444">
        <v>6</v>
      </c>
      <c r="AHN347" s="444" t="s">
        <v>1127</v>
      </c>
      <c r="AHO347" s="444">
        <v>6</v>
      </c>
      <c r="AHP347" s="444" t="s">
        <v>1127</v>
      </c>
      <c r="AHQ347" s="444">
        <v>6</v>
      </c>
      <c r="AHR347" s="444" t="s">
        <v>1127</v>
      </c>
      <c r="AHS347" s="444">
        <v>6</v>
      </c>
      <c r="AHT347" s="444" t="s">
        <v>1127</v>
      </c>
      <c r="AHU347" s="444">
        <v>6</v>
      </c>
      <c r="AHV347" s="444" t="s">
        <v>1127</v>
      </c>
      <c r="AHW347" s="444">
        <v>6</v>
      </c>
      <c r="AHX347" s="444" t="s">
        <v>1127</v>
      </c>
      <c r="AHY347" s="444">
        <v>6</v>
      </c>
      <c r="AHZ347" s="444" t="s">
        <v>1127</v>
      </c>
      <c r="AIA347" s="444">
        <v>6</v>
      </c>
      <c r="AIB347" s="444" t="s">
        <v>1127</v>
      </c>
      <c r="AIC347" s="444">
        <v>6</v>
      </c>
      <c r="AID347" s="444" t="s">
        <v>1127</v>
      </c>
      <c r="AIE347" s="444">
        <v>6</v>
      </c>
      <c r="AIF347" s="444" t="s">
        <v>1127</v>
      </c>
      <c r="AIG347" s="444">
        <v>6</v>
      </c>
      <c r="AIH347" s="444" t="s">
        <v>1127</v>
      </c>
      <c r="AII347" s="444">
        <v>6</v>
      </c>
      <c r="AIJ347" s="444" t="s">
        <v>1127</v>
      </c>
      <c r="AIK347" s="444">
        <v>6</v>
      </c>
      <c r="AIL347" s="444" t="s">
        <v>1127</v>
      </c>
      <c r="AIM347" s="444">
        <v>6</v>
      </c>
      <c r="AIN347" s="444" t="s">
        <v>1127</v>
      </c>
      <c r="AIO347" s="444">
        <v>6</v>
      </c>
      <c r="AIP347" s="444" t="s">
        <v>1127</v>
      </c>
      <c r="AIQ347" s="444">
        <v>6</v>
      </c>
      <c r="AIR347" s="444" t="s">
        <v>1127</v>
      </c>
      <c r="AIS347" s="444">
        <v>6</v>
      </c>
      <c r="AIT347" s="444" t="s">
        <v>1127</v>
      </c>
      <c r="AIU347" s="444">
        <v>6</v>
      </c>
      <c r="AIV347" s="444" t="s">
        <v>1127</v>
      </c>
      <c r="AIW347" s="444">
        <v>6</v>
      </c>
      <c r="AIX347" s="444" t="s">
        <v>1127</v>
      </c>
      <c r="AIY347" s="444">
        <v>6</v>
      </c>
      <c r="AIZ347" s="444" t="s">
        <v>1127</v>
      </c>
      <c r="AJA347" s="444">
        <v>6</v>
      </c>
      <c r="AJB347" s="444" t="s">
        <v>1127</v>
      </c>
      <c r="AJC347" s="444">
        <v>6</v>
      </c>
      <c r="AJD347" s="444" t="s">
        <v>1127</v>
      </c>
      <c r="AJE347" s="444">
        <v>6</v>
      </c>
      <c r="AJF347" s="444" t="s">
        <v>1127</v>
      </c>
      <c r="AJG347" s="444">
        <v>6</v>
      </c>
      <c r="AJH347" s="444" t="s">
        <v>1127</v>
      </c>
      <c r="AJI347" s="444">
        <v>6</v>
      </c>
      <c r="AJJ347" s="444" t="s">
        <v>1127</v>
      </c>
      <c r="AJK347" s="444">
        <v>6</v>
      </c>
      <c r="AJL347" s="444" t="s">
        <v>1127</v>
      </c>
      <c r="AJM347" s="444">
        <v>6</v>
      </c>
      <c r="AJN347" s="444" t="s">
        <v>1127</v>
      </c>
      <c r="AJO347" s="444">
        <v>6</v>
      </c>
      <c r="AJP347" s="444" t="s">
        <v>1127</v>
      </c>
      <c r="AJQ347" s="444">
        <v>6</v>
      </c>
      <c r="AJR347" s="444" t="s">
        <v>1127</v>
      </c>
      <c r="AJS347" s="444">
        <v>6</v>
      </c>
      <c r="AJT347" s="444" t="s">
        <v>1127</v>
      </c>
      <c r="AJU347" s="444">
        <v>6</v>
      </c>
      <c r="AJV347" s="444" t="s">
        <v>1127</v>
      </c>
      <c r="AJW347" s="444">
        <v>6</v>
      </c>
      <c r="AJX347" s="444" t="s">
        <v>1127</v>
      </c>
      <c r="AJY347" s="444">
        <v>6</v>
      </c>
      <c r="AJZ347" s="444" t="s">
        <v>1127</v>
      </c>
      <c r="AKA347" s="444">
        <v>6</v>
      </c>
      <c r="AKB347" s="444" t="s">
        <v>1127</v>
      </c>
      <c r="AKC347" s="444">
        <v>6</v>
      </c>
      <c r="AKD347" s="444" t="s">
        <v>1127</v>
      </c>
      <c r="AKE347" s="444">
        <v>6</v>
      </c>
      <c r="AKF347" s="444" t="s">
        <v>1127</v>
      </c>
      <c r="AKG347" s="444">
        <v>6</v>
      </c>
      <c r="AKH347" s="444" t="s">
        <v>1127</v>
      </c>
      <c r="AKI347" s="444">
        <v>6</v>
      </c>
      <c r="AKJ347" s="444" t="s">
        <v>1127</v>
      </c>
      <c r="AKK347" s="444">
        <v>6</v>
      </c>
      <c r="AKL347" s="444" t="s">
        <v>1127</v>
      </c>
      <c r="AKM347" s="444">
        <v>6</v>
      </c>
      <c r="AKN347" s="444" t="s">
        <v>1127</v>
      </c>
      <c r="AKO347" s="444">
        <v>6</v>
      </c>
      <c r="AKP347" s="444" t="s">
        <v>1127</v>
      </c>
      <c r="AKQ347" s="444">
        <v>6</v>
      </c>
      <c r="AKR347" s="444" t="s">
        <v>1127</v>
      </c>
      <c r="AKS347" s="444">
        <v>6</v>
      </c>
      <c r="AKT347" s="444" t="s">
        <v>1127</v>
      </c>
      <c r="AKU347" s="444">
        <v>6</v>
      </c>
      <c r="AKV347" s="444" t="s">
        <v>1127</v>
      </c>
      <c r="AKW347" s="444">
        <v>6</v>
      </c>
      <c r="AKX347" s="444" t="s">
        <v>1127</v>
      </c>
      <c r="AKY347" s="444">
        <v>6</v>
      </c>
      <c r="AKZ347" s="444" t="s">
        <v>1127</v>
      </c>
      <c r="ALA347" s="444">
        <v>6</v>
      </c>
      <c r="ALB347" s="444" t="s">
        <v>1127</v>
      </c>
      <c r="ALC347" s="444">
        <v>6</v>
      </c>
      <c r="ALD347" s="444" t="s">
        <v>1127</v>
      </c>
      <c r="ALE347" s="444">
        <v>6</v>
      </c>
      <c r="ALF347" s="444" t="s">
        <v>1127</v>
      </c>
      <c r="ALG347" s="444">
        <v>6</v>
      </c>
      <c r="ALH347" s="444" t="s">
        <v>1127</v>
      </c>
      <c r="ALI347" s="444">
        <v>6</v>
      </c>
      <c r="ALJ347" s="444" t="s">
        <v>1127</v>
      </c>
      <c r="ALK347" s="444">
        <v>6</v>
      </c>
      <c r="ALL347" s="444" t="s">
        <v>1127</v>
      </c>
      <c r="ALM347" s="444">
        <v>6</v>
      </c>
      <c r="ALN347" s="444" t="s">
        <v>1127</v>
      </c>
      <c r="ALO347" s="444">
        <v>6</v>
      </c>
      <c r="ALP347" s="444" t="s">
        <v>1127</v>
      </c>
      <c r="ALQ347" s="444">
        <v>6</v>
      </c>
      <c r="ALR347" s="444" t="s">
        <v>1127</v>
      </c>
      <c r="ALS347" s="444">
        <v>6</v>
      </c>
      <c r="ALT347" s="444" t="s">
        <v>1127</v>
      </c>
      <c r="ALU347" s="444">
        <v>6</v>
      </c>
      <c r="ALV347" s="444" t="s">
        <v>1127</v>
      </c>
      <c r="ALW347" s="444">
        <v>6</v>
      </c>
      <c r="ALX347" s="444" t="s">
        <v>1127</v>
      </c>
      <c r="ALY347" s="444">
        <v>6</v>
      </c>
      <c r="ALZ347" s="444" t="s">
        <v>1127</v>
      </c>
      <c r="AMA347" s="444">
        <v>6</v>
      </c>
      <c r="AMB347" s="444" t="s">
        <v>1127</v>
      </c>
      <c r="AMC347" s="444">
        <v>6</v>
      </c>
      <c r="AMD347" s="444" t="s">
        <v>1127</v>
      </c>
      <c r="AME347" s="444">
        <v>6</v>
      </c>
      <c r="AMF347" s="444" t="s">
        <v>1127</v>
      </c>
      <c r="AMG347" s="444">
        <v>6</v>
      </c>
      <c r="AMH347" s="444" t="s">
        <v>1127</v>
      </c>
      <c r="AMI347" s="444">
        <v>6</v>
      </c>
      <c r="AMJ347" s="444" t="s">
        <v>1127</v>
      </c>
      <c r="AMK347" s="444">
        <v>6</v>
      </c>
      <c r="AML347" s="444" t="s">
        <v>1127</v>
      </c>
      <c r="AMM347" s="444">
        <v>6</v>
      </c>
      <c r="AMN347" s="444" t="s">
        <v>1127</v>
      </c>
      <c r="AMO347" s="444">
        <v>6</v>
      </c>
      <c r="AMP347" s="444" t="s">
        <v>1127</v>
      </c>
      <c r="AMQ347" s="444">
        <v>6</v>
      </c>
      <c r="AMR347" s="444" t="s">
        <v>1127</v>
      </c>
      <c r="AMS347" s="444">
        <v>6</v>
      </c>
      <c r="AMT347" s="444" t="s">
        <v>1127</v>
      </c>
      <c r="AMU347" s="444">
        <v>6</v>
      </c>
      <c r="AMV347" s="444" t="s">
        <v>1127</v>
      </c>
      <c r="AMW347" s="444">
        <v>6</v>
      </c>
      <c r="AMX347" s="444" t="s">
        <v>1127</v>
      </c>
      <c r="AMY347" s="444">
        <v>6</v>
      </c>
      <c r="AMZ347" s="444" t="s">
        <v>1127</v>
      </c>
      <c r="ANA347" s="444">
        <v>6</v>
      </c>
      <c r="ANB347" s="444" t="s">
        <v>1127</v>
      </c>
      <c r="ANC347" s="444">
        <v>6</v>
      </c>
      <c r="AND347" s="444" t="s">
        <v>1127</v>
      </c>
      <c r="ANE347" s="444">
        <v>6</v>
      </c>
      <c r="ANF347" s="444" t="s">
        <v>1127</v>
      </c>
      <c r="ANG347" s="444">
        <v>6</v>
      </c>
      <c r="ANH347" s="444" t="s">
        <v>1127</v>
      </c>
      <c r="ANI347" s="444">
        <v>6</v>
      </c>
      <c r="ANJ347" s="444" t="s">
        <v>1127</v>
      </c>
      <c r="ANK347" s="444">
        <v>6</v>
      </c>
      <c r="ANL347" s="444" t="s">
        <v>1127</v>
      </c>
      <c r="ANM347" s="444">
        <v>6</v>
      </c>
      <c r="ANN347" s="444" t="s">
        <v>1127</v>
      </c>
      <c r="ANO347" s="444">
        <v>6</v>
      </c>
      <c r="ANP347" s="444" t="s">
        <v>1127</v>
      </c>
      <c r="ANQ347" s="444">
        <v>6</v>
      </c>
      <c r="ANR347" s="444" t="s">
        <v>1127</v>
      </c>
      <c r="ANS347" s="444">
        <v>6</v>
      </c>
      <c r="ANT347" s="444" t="s">
        <v>1127</v>
      </c>
      <c r="ANU347" s="444">
        <v>6</v>
      </c>
      <c r="ANV347" s="444" t="s">
        <v>1127</v>
      </c>
      <c r="ANW347" s="444">
        <v>6</v>
      </c>
      <c r="ANX347" s="444" t="s">
        <v>1127</v>
      </c>
      <c r="ANY347" s="444">
        <v>6</v>
      </c>
      <c r="ANZ347" s="444" t="s">
        <v>1127</v>
      </c>
      <c r="AOA347" s="444">
        <v>6</v>
      </c>
      <c r="AOB347" s="444" t="s">
        <v>1127</v>
      </c>
      <c r="AOC347" s="444">
        <v>6</v>
      </c>
      <c r="AOD347" s="444" t="s">
        <v>1127</v>
      </c>
      <c r="AOE347" s="444">
        <v>6</v>
      </c>
      <c r="AOF347" s="444" t="s">
        <v>1127</v>
      </c>
      <c r="AOG347" s="444">
        <v>6</v>
      </c>
      <c r="AOH347" s="444" t="s">
        <v>1127</v>
      </c>
      <c r="AOI347" s="444">
        <v>6</v>
      </c>
      <c r="AOJ347" s="444" t="s">
        <v>1127</v>
      </c>
      <c r="AOK347" s="444">
        <v>6</v>
      </c>
      <c r="AOL347" s="444" t="s">
        <v>1127</v>
      </c>
      <c r="AOM347" s="444">
        <v>6</v>
      </c>
      <c r="AON347" s="444" t="s">
        <v>1127</v>
      </c>
      <c r="AOO347" s="444">
        <v>6</v>
      </c>
      <c r="AOP347" s="444" t="s">
        <v>1127</v>
      </c>
      <c r="AOQ347" s="444">
        <v>6</v>
      </c>
      <c r="AOR347" s="444" t="s">
        <v>1127</v>
      </c>
      <c r="AOS347" s="444">
        <v>6</v>
      </c>
      <c r="AOT347" s="444" t="s">
        <v>1127</v>
      </c>
      <c r="AOU347" s="444">
        <v>6</v>
      </c>
      <c r="AOV347" s="444" t="s">
        <v>1127</v>
      </c>
      <c r="AOW347" s="444">
        <v>6</v>
      </c>
      <c r="AOX347" s="444" t="s">
        <v>1127</v>
      </c>
      <c r="AOY347" s="444">
        <v>6</v>
      </c>
      <c r="AOZ347" s="444" t="s">
        <v>1127</v>
      </c>
      <c r="APA347" s="444">
        <v>6</v>
      </c>
      <c r="APB347" s="444" t="s">
        <v>1127</v>
      </c>
      <c r="APC347" s="444">
        <v>6</v>
      </c>
      <c r="APD347" s="444" t="s">
        <v>1127</v>
      </c>
      <c r="APE347" s="444">
        <v>6</v>
      </c>
      <c r="APF347" s="444" t="s">
        <v>1127</v>
      </c>
      <c r="APG347" s="444">
        <v>6</v>
      </c>
      <c r="APH347" s="444" t="s">
        <v>1127</v>
      </c>
      <c r="API347" s="444">
        <v>6</v>
      </c>
      <c r="APJ347" s="444" t="s">
        <v>1127</v>
      </c>
      <c r="APK347" s="444">
        <v>6</v>
      </c>
      <c r="APL347" s="444" t="s">
        <v>1127</v>
      </c>
      <c r="APM347" s="444">
        <v>6</v>
      </c>
      <c r="APN347" s="444" t="s">
        <v>1127</v>
      </c>
      <c r="APO347" s="444">
        <v>6</v>
      </c>
      <c r="APP347" s="444" t="s">
        <v>1127</v>
      </c>
      <c r="APQ347" s="444">
        <v>6</v>
      </c>
      <c r="APR347" s="444" t="s">
        <v>1127</v>
      </c>
      <c r="APS347" s="444">
        <v>6</v>
      </c>
      <c r="APT347" s="444" t="s">
        <v>1127</v>
      </c>
      <c r="APU347" s="444">
        <v>6</v>
      </c>
      <c r="APV347" s="444" t="s">
        <v>1127</v>
      </c>
      <c r="APW347" s="444">
        <v>6</v>
      </c>
      <c r="APX347" s="444" t="s">
        <v>1127</v>
      </c>
      <c r="APY347" s="444">
        <v>6</v>
      </c>
      <c r="APZ347" s="444" t="s">
        <v>1127</v>
      </c>
      <c r="AQA347" s="444">
        <v>6</v>
      </c>
      <c r="AQB347" s="444" t="s">
        <v>1127</v>
      </c>
      <c r="AQC347" s="444">
        <v>6</v>
      </c>
      <c r="AQD347" s="444" t="s">
        <v>1127</v>
      </c>
      <c r="AQE347" s="444">
        <v>6</v>
      </c>
      <c r="AQF347" s="444" t="s">
        <v>1127</v>
      </c>
      <c r="AQG347" s="444">
        <v>6</v>
      </c>
      <c r="AQH347" s="444" t="s">
        <v>1127</v>
      </c>
      <c r="AQI347" s="444">
        <v>6</v>
      </c>
      <c r="AQJ347" s="444" t="s">
        <v>1127</v>
      </c>
      <c r="AQK347" s="444">
        <v>6</v>
      </c>
      <c r="AQL347" s="444" t="s">
        <v>1127</v>
      </c>
      <c r="AQM347" s="444">
        <v>6</v>
      </c>
      <c r="AQN347" s="444" t="s">
        <v>1127</v>
      </c>
      <c r="AQO347" s="444">
        <v>6</v>
      </c>
      <c r="AQP347" s="444" t="s">
        <v>1127</v>
      </c>
      <c r="AQQ347" s="444">
        <v>6</v>
      </c>
      <c r="AQR347" s="444" t="s">
        <v>1127</v>
      </c>
      <c r="AQS347" s="444">
        <v>6</v>
      </c>
      <c r="AQT347" s="444" t="s">
        <v>1127</v>
      </c>
      <c r="AQU347" s="444">
        <v>6</v>
      </c>
      <c r="AQV347" s="444" t="s">
        <v>1127</v>
      </c>
      <c r="AQW347" s="444">
        <v>6</v>
      </c>
      <c r="AQX347" s="444" t="s">
        <v>1127</v>
      </c>
      <c r="AQY347" s="444">
        <v>6</v>
      </c>
      <c r="AQZ347" s="444" t="s">
        <v>1127</v>
      </c>
      <c r="ARA347" s="444">
        <v>6</v>
      </c>
      <c r="ARB347" s="444" t="s">
        <v>1127</v>
      </c>
      <c r="ARC347" s="444">
        <v>6</v>
      </c>
      <c r="ARD347" s="444" t="s">
        <v>1127</v>
      </c>
      <c r="ARE347" s="444">
        <v>6</v>
      </c>
      <c r="ARF347" s="444" t="s">
        <v>1127</v>
      </c>
      <c r="ARG347" s="444">
        <v>6</v>
      </c>
      <c r="ARH347" s="444" t="s">
        <v>1127</v>
      </c>
      <c r="ARI347" s="444">
        <v>6</v>
      </c>
      <c r="ARJ347" s="444" t="s">
        <v>1127</v>
      </c>
      <c r="ARK347" s="444">
        <v>6</v>
      </c>
      <c r="ARL347" s="444" t="s">
        <v>1127</v>
      </c>
      <c r="ARM347" s="444">
        <v>6</v>
      </c>
      <c r="ARN347" s="444" t="s">
        <v>1127</v>
      </c>
      <c r="ARO347" s="444">
        <v>6</v>
      </c>
      <c r="ARP347" s="444" t="s">
        <v>1127</v>
      </c>
      <c r="ARQ347" s="444">
        <v>6</v>
      </c>
      <c r="ARR347" s="444" t="s">
        <v>1127</v>
      </c>
      <c r="ARS347" s="444">
        <v>6</v>
      </c>
      <c r="ART347" s="444" t="s">
        <v>1127</v>
      </c>
      <c r="ARU347" s="444">
        <v>6</v>
      </c>
      <c r="ARV347" s="444" t="s">
        <v>1127</v>
      </c>
      <c r="ARW347" s="444">
        <v>6</v>
      </c>
      <c r="ARX347" s="444" t="s">
        <v>1127</v>
      </c>
      <c r="ARY347" s="444">
        <v>6</v>
      </c>
      <c r="ARZ347" s="444" t="s">
        <v>1127</v>
      </c>
      <c r="ASA347" s="444">
        <v>6</v>
      </c>
      <c r="ASB347" s="444" t="s">
        <v>1127</v>
      </c>
      <c r="ASC347" s="444">
        <v>6</v>
      </c>
      <c r="ASD347" s="444" t="s">
        <v>1127</v>
      </c>
      <c r="ASE347" s="444">
        <v>6</v>
      </c>
      <c r="ASF347" s="444" t="s">
        <v>1127</v>
      </c>
      <c r="ASG347" s="444">
        <v>6</v>
      </c>
      <c r="ASH347" s="444" t="s">
        <v>1127</v>
      </c>
      <c r="ASI347" s="444">
        <v>6</v>
      </c>
      <c r="ASJ347" s="444" t="s">
        <v>1127</v>
      </c>
      <c r="ASK347" s="444">
        <v>6</v>
      </c>
      <c r="ASL347" s="444" t="s">
        <v>1127</v>
      </c>
      <c r="ASM347" s="444">
        <v>6</v>
      </c>
      <c r="ASN347" s="444" t="s">
        <v>1127</v>
      </c>
      <c r="ASO347" s="444">
        <v>6</v>
      </c>
      <c r="ASP347" s="444" t="s">
        <v>1127</v>
      </c>
      <c r="ASQ347" s="444">
        <v>6</v>
      </c>
      <c r="ASR347" s="444" t="s">
        <v>1127</v>
      </c>
      <c r="ASS347" s="444">
        <v>6</v>
      </c>
      <c r="AST347" s="444" t="s">
        <v>1127</v>
      </c>
      <c r="ASU347" s="444">
        <v>6</v>
      </c>
      <c r="ASV347" s="444" t="s">
        <v>1127</v>
      </c>
      <c r="ASW347" s="444">
        <v>6</v>
      </c>
      <c r="ASX347" s="444" t="s">
        <v>1127</v>
      </c>
      <c r="ASY347" s="444">
        <v>6</v>
      </c>
      <c r="ASZ347" s="444" t="s">
        <v>1127</v>
      </c>
      <c r="ATA347" s="444">
        <v>6</v>
      </c>
      <c r="ATB347" s="444" t="s">
        <v>1127</v>
      </c>
      <c r="ATC347" s="444">
        <v>6</v>
      </c>
      <c r="ATD347" s="444" t="s">
        <v>1127</v>
      </c>
      <c r="ATE347" s="444">
        <v>6</v>
      </c>
      <c r="ATF347" s="444" t="s">
        <v>1127</v>
      </c>
      <c r="ATG347" s="444">
        <v>6</v>
      </c>
      <c r="ATH347" s="444" t="s">
        <v>1127</v>
      </c>
      <c r="ATI347" s="444">
        <v>6</v>
      </c>
      <c r="ATJ347" s="444" t="s">
        <v>1127</v>
      </c>
      <c r="ATK347" s="444">
        <v>6</v>
      </c>
      <c r="ATL347" s="444" t="s">
        <v>1127</v>
      </c>
      <c r="ATM347" s="444">
        <v>6</v>
      </c>
      <c r="ATN347" s="444" t="s">
        <v>1127</v>
      </c>
      <c r="ATO347" s="444">
        <v>6</v>
      </c>
      <c r="ATP347" s="444" t="s">
        <v>1127</v>
      </c>
      <c r="ATQ347" s="444">
        <v>6</v>
      </c>
      <c r="ATR347" s="444" t="s">
        <v>1127</v>
      </c>
      <c r="ATS347" s="444">
        <v>6</v>
      </c>
      <c r="ATT347" s="444" t="s">
        <v>1127</v>
      </c>
      <c r="ATU347" s="444">
        <v>6</v>
      </c>
      <c r="ATV347" s="444" t="s">
        <v>1127</v>
      </c>
      <c r="ATW347" s="444">
        <v>6</v>
      </c>
      <c r="ATX347" s="444" t="s">
        <v>1127</v>
      </c>
      <c r="ATY347" s="444">
        <v>6</v>
      </c>
      <c r="ATZ347" s="444" t="s">
        <v>1127</v>
      </c>
      <c r="AUA347" s="444">
        <v>6</v>
      </c>
      <c r="AUB347" s="444" t="s">
        <v>1127</v>
      </c>
      <c r="AUC347" s="444">
        <v>6</v>
      </c>
      <c r="AUD347" s="444" t="s">
        <v>1127</v>
      </c>
      <c r="AUE347" s="444">
        <v>6</v>
      </c>
      <c r="AUF347" s="444" t="s">
        <v>1127</v>
      </c>
      <c r="AUG347" s="444">
        <v>6</v>
      </c>
      <c r="AUH347" s="444" t="s">
        <v>1127</v>
      </c>
      <c r="AUI347" s="444">
        <v>6</v>
      </c>
      <c r="AUJ347" s="444" t="s">
        <v>1127</v>
      </c>
      <c r="AUK347" s="444">
        <v>6</v>
      </c>
      <c r="AUL347" s="444" t="s">
        <v>1127</v>
      </c>
      <c r="AUM347" s="444">
        <v>6</v>
      </c>
      <c r="AUN347" s="444" t="s">
        <v>1127</v>
      </c>
      <c r="AUO347" s="444">
        <v>6</v>
      </c>
      <c r="AUP347" s="444" t="s">
        <v>1127</v>
      </c>
      <c r="AUQ347" s="444">
        <v>6</v>
      </c>
      <c r="AUR347" s="444" t="s">
        <v>1127</v>
      </c>
      <c r="AUS347" s="444">
        <v>6</v>
      </c>
      <c r="AUT347" s="444" t="s">
        <v>1127</v>
      </c>
      <c r="AUU347" s="444">
        <v>6</v>
      </c>
      <c r="AUV347" s="444" t="s">
        <v>1127</v>
      </c>
      <c r="AUW347" s="444">
        <v>6</v>
      </c>
      <c r="AUX347" s="444" t="s">
        <v>1127</v>
      </c>
      <c r="AUY347" s="444">
        <v>6</v>
      </c>
      <c r="AUZ347" s="444" t="s">
        <v>1127</v>
      </c>
      <c r="AVA347" s="444">
        <v>6</v>
      </c>
      <c r="AVB347" s="444" t="s">
        <v>1127</v>
      </c>
      <c r="AVC347" s="444">
        <v>6</v>
      </c>
      <c r="AVD347" s="444" t="s">
        <v>1127</v>
      </c>
      <c r="AVE347" s="444">
        <v>6</v>
      </c>
      <c r="AVF347" s="444" t="s">
        <v>1127</v>
      </c>
      <c r="AVG347" s="444">
        <v>6</v>
      </c>
      <c r="AVH347" s="444" t="s">
        <v>1127</v>
      </c>
      <c r="AVI347" s="444">
        <v>6</v>
      </c>
      <c r="AVJ347" s="444" t="s">
        <v>1127</v>
      </c>
      <c r="AVK347" s="444">
        <v>6</v>
      </c>
      <c r="AVL347" s="444" t="s">
        <v>1127</v>
      </c>
      <c r="AVM347" s="444">
        <v>6</v>
      </c>
      <c r="AVN347" s="444" t="s">
        <v>1127</v>
      </c>
      <c r="AVO347" s="444">
        <v>6</v>
      </c>
      <c r="AVP347" s="444" t="s">
        <v>1127</v>
      </c>
      <c r="AVQ347" s="444">
        <v>6</v>
      </c>
      <c r="AVR347" s="444" t="s">
        <v>1127</v>
      </c>
      <c r="AVS347" s="444">
        <v>6</v>
      </c>
      <c r="AVT347" s="444" t="s">
        <v>1127</v>
      </c>
      <c r="AVU347" s="444">
        <v>6</v>
      </c>
      <c r="AVV347" s="444" t="s">
        <v>1127</v>
      </c>
      <c r="AVW347" s="444">
        <v>6</v>
      </c>
      <c r="AVX347" s="444" t="s">
        <v>1127</v>
      </c>
      <c r="AVY347" s="444">
        <v>6</v>
      </c>
      <c r="AVZ347" s="444" t="s">
        <v>1127</v>
      </c>
      <c r="AWA347" s="444">
        <v>6</v>
      </c>
      <c r="AWB347" s="444" t="s">
        <v>1127</v>
      </c>
      <c r="AWC347" s="444">
        <v>6</v>
      </c>
      <c r="AWD347" s="444" t="s">
        <v>1127</v>
      </c>
      <c r="AWE347" s="444">
        <v>6</v>
      </c>
      <c r="AWF347" s="444" t="s">
        <v>1127</v>
      </c>
      <c r="AWG347" s="444">
        <v>6</v>
      </c>
      <c r="AWH347" s="444" t="s">
        <v>1127</v>
      </c>
      <c r="AWI347" s="444">
        <v>6</v>
      </c>
      <c r="AWJ347" s="444" t="s">
        <v>1127</v>
      </c>
      <c r="AWK347" s="444">
        <v>6</v>
      </c>
      <c r="AWL347" s="444" t="s">
        <v>1127</v>
      </c>
      <c r="AWM347" s="444">
        <v>6</v>
      </c>
      <c r="AWN347" s="444" t="s">
        <v>1127</v>
      </c>
      <c r="AWO347" s="444">
        <v>6</v>
      </c>
      <c r="AWP347" s="444" t="s">
        <v>1127</v>
      </c>
      <c r="AWQ347" s="444">
        <v>6</v>
      </c>
      <c r="AWR347" s="444" t="s">
        <v>1127</v>
      </c>
      <c r="AWS347" s="444">
        <v>6</v>
      </c>
      <c r="AWT347" s="444" t="s">
        <v>1127</v>
      </c>
      <c r="AWU347" s="444">
        <v>6</v>
      </c>
      <c r="AWV347" s="444" t="s">
        <v>1127</v>
      </c>
      <c r="AWW347" s="444">
        <v>6</v>
      </c>
      <c r="AWX347" s="444" t="s">
        <v>1127</v>
      </c>
      <c r="AWY347" s="444">
        <v>6</v>
      </c>
      <c r="AWZ347" s="444" t="s">
        <v>1127</v>
      </c>
      <c r="AXA347" s="444">
        <v>6</v>
      </c>
      <c r="AXB347" s="444" t="s">
        <v>1127</v>
      </c>
      <c r="AXC347" s="444">
        <v>6</v>
      </c>
      <c r="AXD347" s="444" t="s">
        <v>1127</v>
      </c>
      <c r="AXE347" s="444">
        <v>6</v>
      </c>
      <c r="AXF347" s="444" t="s">
        <v>1127</v>
      </c>
      <c r="AXG347" s="444">
        <v>6</v>
      </c>
      <c r="AXH347" s="444" t="s">
        <v>1127</v>
      </c>
      <c r="AXI347" s="444">
        <v>6</v>
      </c>
      <c r="AXJ347" s="444" t="s">
        <v>1127</v>
      </c>
      <c r="AXK347" s="444">
        <v>6</v>
      </c>
      <c r="AXL347" s="444" t="s">
        <v>1127</v>
      </c>
      <c r="AXM347" s="444">
        <v>6</v>
      </c>
      <c r="AXN347" s="444" t="s">
        <v>1127</v>
      </c>
      <c r="AXO347" s="444">
        <v>6</v>
      </c>
      <c r="AXP347" s="444" t="s">
        <v>1127</v>
      </c>
      <c r="AXQ347" s="444">
        <v>6</v>
      </c>
      <c r="AXR347" s="444" t="s">
        <v>1127</v>
      </c>
      <c r="AXS347" s="444">
        <v>6</v>
      </c>
      <c r="AXT347" s="444" t="s">
        <v>1127</v>
      </c>
      <c r="AXU347" s="444">
        <v>6</v>
      </c>
      <c r="AXV347" s="444" t="s">
        <v>1127</v>
      </c>
      <c r="AXW347" s="444">
        <v>6</v>
      </c>
      <c r="AXX347" s="444" t="s">
        <v>1127</v>
      </c>
      <c r="AXY347" s="444">
        <v>6</v>
      </c>
      <c r="AXZ347" s="444" t="s">
        <v>1127</v>
      </c>
      <c r="AYA347" s="444">
        <v>6</v>
      </c>
      <c r="AYB347" s="444" t="s">
        <v>1127</v>
      </c>
      <c r="AYC347" s="444">
        <v>6</v>
      </c>
      <c r="AYD347" s="444" t="s">
        <v>1127</v>
      </c>
      <c r="AYE347" s="444">
        <v>6</v>
      </c>
      <c r="AYF347" s="444" t="s">
        <v>1127</v>
      </c>
      <c r="AYG347" s="444">
        <v>6</v>
      </c>
      <c r="AYH347" s="444" t="s">
        <v>1127</v>
      </c>
      <c r="AYI347" s="444">
        <v>6</v>
      </c>
      <c r="AYJ347" s="444" t="s">
        <v>1127</v>
      </c>
      <c r="AYK347" s="444">
        <v>6</v>
      </c>
      <c r="AYL347" s="444" t="s">
        <v>1127</v>
      </c>
      <c r="AYM347" s="444">
        <v>6</v>
      </c>
      <c r="AYN347" s="444" t="s">
        <v>1127</v>
      </c>
      <c r="AYO347" s="444">
        <v>6</v>
      </c>
      <c r="AYP347" s="444" t="s">
        <v>1127</v>
      </c>
      <c r="AYQ347" s="444">
        <v>6</v>
      </c>
      <c r="AYR347" s="444" t="s">
        <v>1127</v>
      </c>
      <c r="AYS347" s="444">
        <v>6</v>
      </c>
      <c r="AYT347" s="444" t="s">
        <v>1127</v>
      </c>
      <c r="AYU347" s="444">
        <v>6</v>
      </c>
      <c r="AYV347" s="444" t="s">
        <v>1127</v>
      </c>
      <c r="AYW347" s="444">
        <v>6</v>
      </c>
      <c r="AYX347" s="444" t="s">
        <v>1127</v>
      </c>
      <c r="AYY347" s="444">
        <v>6</v>
      </c>
      <c r="AYZ347" s="444" t="s">
        <v>1127</v>
      </c>
      <c r="AZA347" s="444">
        <v>6</v>
      </c>
      <c r="AZB347" s="444" t="s">
        <v>1127</v>
      </c>
      <c r="AZC347" s="444">
        <v>6</v>
      </c>
      <c r="AZD347" s="444" t="s">
        <v>1127</v>
      </c>
      <c r="AZE347" s="444">
        <v>6</v>
      </c>
      <c r="AZF347" s="444" t="s">
        <v>1127</v>
      </c>
      <c r="AZG347" s="444">
        <v>6</v>
      </c>
      <c r="AZH347" s="444" t="s">
        <v>1127</v>
      </c>
      <c r="AZI347" s="444">
        <v>6</v>
      </c>
      <c r="AZJ347" s="444" t="s">
        <v>1127</v>
      </c>
      <c r="AZK347" s="444">
        <v>6</v>
      </c>
      <c r="AZL347" s="444" t="s">
        <v>1127</v>
      </c>
      <c r="AZM347" s="444">
        <v>6</v>
      </c>
      <c r="AZN347" s="444" t="s">
        <v>1127</v>
      </c>
      <c r="AZO347" s="444">
        <v>6</v>
      </c>
      <c r="AZP347" s="444" t="s">
        <v>1127</v>
      </c>
      <c r="AZQ347" s="444">
        <v>6</v>
      </c>
      <c r="AZR347" s="444" t="s">
        <v>1127</v>
      </c>
      <c r="AZS347" s="444">
        <v>6</v>
      </c>
      <c r="AZT347" s="444" t="s">
        <v>1127</v>
      </c>
      <c r="AZU347" s="444">
        <v>6</v>
      </c>
      <c r="AZV347" s="444" t="s">
        <v>1127</v>
      </c>
      <c r="AZW347" s="444">
        <v>6</v>
      </c>
      <c r="AZX347" s="444" t="s">
        <v>1127</v>
      </c>
      <c r="AZY347" s="444">
        <v>6</v>
      </c>
      <c r="AZZ347" s="444" t="s">
        <v>1127</v>
      </c>
      <c r="BAA347" s="444">
        <v>6</v>
      </c>
      <c r="BAB347" s="444" t="s">
        <v>1127</v>
      </c>
      <c r="BAC347" s="444">
        <v>6</v>
      </c>
      <c r="BAD347" s="444" t="s">
        <v>1127</v>
      </c>
      <c r="BAE347" s="444">
        <v>6</v>
      </c>
      <c r="BAF347" s="444" t="s">
        <v>1127</v>
      </c>
      <c r="BAG347" s="444">
        <v>6</v>
      </c>
      <c r="BAH347" s="444" t="s">
        <v>1127</v>
      </c>
      <c r="BAI347" s="444">
        <v>6</v>
      </c>
      <c r="BAJ347" s="444" t="s">
        <v>1127</v>
      </c>
      <c r="BAK347" s="444">
        <v>6</v>
      </c>
      <c r="BAL347" s="444" t="s">
        <v>1127</v>
      </c>
      <c r="BAM347" s="444">
        <v>6</v>
      </c>
      <c r="BAN347" s="444" t="s">
        <v>1127</v>
      </c>
      <c r="BAO347" s="444">
        <v>6</v>
      </c>
      <c r="BAP347" s="444" t="s">
        <v>1127</v>
      </c>
      <c r="BAQ347" s="444">
        <v>6</v>
      </c>
      <c r="BAR347" s="444" t="s">
        <v>1127</v>
      </c>
      <c r="BAS347" s="444">
        <v>6</v>
      </c>
      <c r="BAT347" s="444" t="s">
        <v>1127</v>
      </c>
      <c r="BAU347" s="444">
        <v>6</v>
      </c>
      <c r="BAV347" s="444" t="s">
        <v>1127</v>
      </c>
      <c r="BAW347" s="444">
        <v>6</v>
      </c>
      <c r="BAX347" s="444" t="s">
        <v>1127</v>
      </c>
      <c r="BAY347" s="444">
        <v>6</v>
      </c>
      <c r="BAZ347" s="444" t="s">
        <v>1127</v>
      </c>
      <c r="BBA347" s="444">
        <v>6</v>
      </c>
      <c r="BBB347" s="444" t="s">
        <v>1127</v>
      </c>
      <c r="BBC347" s="444">
        <v>6</v>
      </c>
      <c r="BBD347" s="444" t="s">
        <v>1127</v>
      </c>
      <c r="BBE347" s="444">
        <v>6</v>
      </c>
      <c r="BBF347" s="444" t="s">
        <v>1127</v>
      </c>
      <c r="BBG347" s="444">
        <v>6</v>
      </c>
      <c r="BBH347" s="444" t="s">
        <v>1127</v>
      </c>
      <c r="BBI347" s="444">
        <v>6</v>
      </c>
      <c r="BBJ347" s="444" t="s">
        <v>1127</v>
      </c>
      <c r="BBK347" s="444">
        <v>6</v>
      </c>
      <c r="BBL347" s="444" t="s">
        <v>1127</v>
      </c>
      <c r="BBM347" s="444">
        <v>6</v>
      </c>
      <c r="BBN347" s="444" t="s">
        <v>1127</v>
      </c>
      <c r="BBO347" s="444">
        <v>6</v>
      </c>
      <c r="BBP347" s="444" t="s">
        <v>1127</v>
      </c>
      <c r="BBQ347" s="444">
        <v>6</v>
      </c>
      <c r="BBR347" s="444" t="s">
        <v>1127</v>
      </c>
      <c r="BBS347" s="444">
        <v>6</v>
      </c>
      <c r="BBT347" s="444" t="s">
        <v>1127</v>
      </c>
      <c r="BBU347" s="444">
        <v>6</v>
      </c>
      <c r="BBV347" s="444" t="s">
        <v>1127</v>
      </c>
      <c r="BBW347" s="444">
        <v>6</v>
      </c>
      <c r="BBX347" s="444" t="s">
        <v>1127</v>
      </c>
      <c r="BBY347" s="444">
        <v>6</v>
      </c>
      <c r="BBZ347" s="444" t="s">
        <v>1127</v>
      </c>
      <c r="BCA347" s="444">
        <v>6</v>
      </c>
      <c r="BCB347" s="444" t="s">
        <v>1127</v>
      </c>
      <c r="BCC347" s="444">
        <v>6</v>
      </c>
      <c r="BCD347" s="444" t="s">
        <v>1127</v>
      </c>
      <c r="BCE347" s="444">
        <v>6</v>
      </c>
      <c r="BCF347" s="444" t="s">
        <v>1127</v>
      </c>
      <c r="BCG347" s="444">
        <v>6</v>
      </c>
      <c r="BCH347" s="444" t="s">
        <v>1127</v>
      </c>
      <c r="BCI347" s="444">
        <v>6</v>
      </c>
      <c r="BCJ347" s="444" t="s">
        <v>1127</v>
      </c>
      <c r="BCK347" s="444">
        <v>6</v>
      </c>
      <c r="BCL347" s="444" t="s">
        <v>1127</v>
      </c>
      <c r="BCM347" s="444">
        <v>6</v>
      </c>
      <c r="BCN347" s="444" t="s">
        <v>1127</v>
      </c>
      <c r="BCO347" s="444">
        <v>6</v>
      </c>
      <c r="BCP347" s="444" t="s">
        <v>1127</v>
      </c>
      <c r="BCQ347" s="444">
        <v>6</v>
      </c>
      <c r="BCR347" s="444" t="s">
        <v>1127</v>
      </c>
      <c r="BCS347" s="444">
        <v>6</v>
      </c>
      <c r="BCT347" s="444" t="s">
        <v>1127</v>
      </c>
      <c r="BCU347" s="444">
        <v>6</v>
      </c>
      <c r="BCV347" s="444" t="s">
        <v>1127</v>
      </c>
      <c r="BCW347" s="444">
        <v>6</v>
      </c>
      <c r="BCX347" s="444" t="s">
        <v>1127</v>
      </c>
      <c r="BCY347" s="444">
        <v>6</v>
      </c>
      <c r="BCZ347" s="444" t="s">
        <v>1127</v>
      </c>
      <c r="BDA347" s="444">
        <v>6</v>
      </c>
      <c r="BDB347" s="444" t="s">
        <v>1127</v>
      </c>
      <c r="BDC347" s="444">
        <v>6</v>
      </c>
      <c r="BDD347" s="444" t="s">
        <v>1127</v>
      </c>
      <c r="BDE347" s="444">
        <v>6</v>
      </c>
      <c r="BDF347" s="444" t="s">
        <v>1127</v>
      </c>
      <c r="BDG347" s="444">
        <v>6</v>
      </c>
      <c r="BDH347" s="444" t="s">
        <v>1127</v>
      </c>
      <c r="BDI347" s="444">
        <v>6</v>
      </c>
      <c r="BDJ347" s="444" t="s">
        <v>1127</v>
      </c>
      <c r="BDK347" s="444">
        <v>6</v>
      </c>
      <c r="BDL347" s="444" t="s">
        <v>1127</v>
      </c>
      <c r="BDM347" s="444">
        <v>6</v>
      </c>
      <c r="BDN347" s="444" t="s">
        <v>1127</v>
      </c>
      <c r="BDO347" s="444">
        <v>6</v>
      </c>
      <c r="BDP347" s="444" t="s">
        <v>1127</v>
      </c>
      <c r="BDQ347" s="444">
        <v>6</v>
      </c>
      <c r="BDR347" s="444" t="s">
        <v>1127</v>
      </c>
      <c r="BDS347" s="444">
        <v>6</v>
      </c>
      <c r="BDT347" s="444" t="s">
        <v>1127</v>
      </c>
      <c r="BDU347" s="444">
        <v>6</v>
      </c>
      <c r="BDV347" s="444" t="s">
        <v>1127</v>
      </c>
      <c r="BDW347" s="444">
        <v>6</v>
      </c>
      <c r="BDX347" s="444" t="s">
        <v>1127</v>
      </c>
      <c r="BDY347" s="444">
        <v>6</v>
      </c>
      <c r="BDZ347" s="444" t="s">
        <v>1127</v>
      </c>
      <c r="BEA347" s="444">
        <v>6</v>
      </c>
      <c r="BEB347" s="444" t="s">
        <v>1127</v>
      </c>
      <c r="BEC347" s="444">
        <v>6</v>
      </c>
      <c r="BED347" s="444" t="s">
        <v>1127</v>
      </c>
      <c r="BEE347" s="444">
        <v>6</v>
      </c>
      <c r="BEF347" s="444" t="s">
        <v>1127</v>
      </c>
      <c r="BEG347" s="444">
        <v>6</v>
      </c>
      <c r="BEH347" s="444" t="s">
        <v>1127</v>
      </c>
      <c r="BEI347" s="444">
        <v>6</v>
      </c>
      <c r="BEJ347" s="444" t="s">
        <v>1127</v>
      </c>
      <c r="BEK347" s="444">
        <v>6</v>
      </c>
      <c r="BEL347" s="444" t="s">
        <v>1127</v>
      </c>
      <c r="BEM347" s="444">
        <v>6</v>
      </c>
      <c r="BEN347" s="444" t="s">
        <v>1127</v>
      </c>
      <c r="BEO347" s="444">
        <v>6</v>
      </c>
      <c r="BEP347" s="444" t="s">
        <v>1127</v>
      </c>
      <c r="BEQ347" s="444">
        <v>6</v>
      </c>
      <c r="BER347" s="444" t="s">
        <v>1127</v>
      </c>
      <c r="BES347" s="444">
        <v>6</v>
      </c>
      <c r="BET347" s="444" t="s">
        <v>1127</v>
      </c>
      <c r="BEU347" s="444">
        <v>6</v>
      </c>
      <c r="BEV347" s="444" t="s">
        <v>1127</v>
      </c>
      <c r="BEW347" s="444">
        <v>6</v>
      </c>
      <c r="BEX347" s="444" t="s">
        <v>1127</v>
      </c>
      <c r="BEY347" s="444">
        <v>6</v>
      </c>
      <c r="BEZ347" s="444" t="s">
        <v>1127</v>
      </c>
      <c r="BFA347" s="444">
        <v>6</v>
      </c>
      <c r="BFB347" s="444" t="s">
        <v>1127</v>
      </c>
      <c r="BFC347" s="444">
        <v>6</v>
      </c>
      <c r="BFD347" s="444" t="s">
        <v>1127</v>
      </c>
      <c r="BFE347" s="444">
        <v>6</v>
      </c>
      <c r="BFF347" s="444" t="s">
        <v>1127</v>
      </c>
      <c r="BFG347" s="444">
        <v>6</v>
      </c>
      <c r="BFH347" s="444" t="s">
        <v>1127</v>
      </c>
      <c r="BFI347" s="444">
        <v>6</v>
      </c>
      <c r="BFJ347" s="444" t="s">
        <v>1127</v>
      </c>
      <c r="BFK347" s="444">
        <v>6</v>
      </c>
      <c r="BFL347" s="444" t="s">
        <v>1127</v>
      </c>
      <c r="BFM347" s="444">
        <v>6</v>
      </c>
      <c r="BFN347" s="444" t="s">
        <v>1127</v>
      </c>
      <c r="BFO347" s="444">
        <v>6</v>
      </c>
      <c r="BFP347" s="444" t="s">
        <v>1127</v>
      </c>
      <c r="BFQ347" s="444">
        <v>6</v>
      </c>
      <c r="BFR347" s="444" t="s">
        <v>1127</v>
      </c>
      <c r="BFS347" s="444">
        <v>6</v>
      </c>
      <c r="BFT347" s="444" t="s">
        <v>1127</v>
      </c>
      <c r="BFU347" s="444">
        <v>6</v>
      </c>
      <c r="BFV347" s="444" t="s">
        <v>1127</v>
      </c>
      <c r="BFW347" s="444">
        <v>6</v>
      </c>
      <c r="BFX347" s="444" t="s">
        <v>1127</v>
      </c>
      <c r="BFY347" s="444">
        <v>6</v>
      </c>
      <c r="BFZ347" s="444" t="s">
        <v>1127</v>
      </c>
      <c r="BGA347" s="444">
        <v>6</v>
      </c>
      <c r="BGB347" s="444" t="s">
        <v>1127</v>
      </c>
      <c r="BGC347" s="444">
        <v>6</v>
      </c>
      <c r="BGD347" s="444" t="s">
        <v>1127</v>
      </c>
      <c r="BGE347" s="444">
        <v>6</v>
      </c>
      <c r="BGF347" s="444" t="s">
        <v>1127</v>
      </c>
      <c r="BGG347" s="444">
        <v>6</v>
      </c>
      <c r="BGH347" s="444" t="s">
        <v>1127</v>
      </c>
      <c r="BGI347" s="444">
        <v>6</v>
      </c>
      <c r="BGJ347" s="444" t="s">
        <v>1127</v>
      </c>
      <c r="BGK347" s="444">
        <v>6</v>
      </c>
      <c r="BGL347" s="444" t="s">
        <v>1127</v>
      </c>
      <c r="BGM347" s="444">
        <v>6</v>
      </c>
      <c r="BGN347" s="444" t="s">
        <v>1127</v>
      </c>
      <c r="BGO347" s="444">
        <v>6</v>
      </c>
      <c r="BGP347" s="444" t="s">
        <v>1127</v>
      </c>
      <c r="BGQ347" s="444">
        <v>6</v>
      </c>
      <c r="BGR347" s="444" t="s">
        <v>1127</v>
      </c>
      <c r="BGS347" s="444">
        <v>6</v>
      </c>
      <c r="BGT347" s="444" t="s">
        <v>1127</v>
      </c>
      <c r="BGU347" s="444">
        <v>6</v>
      </c>
      <c r="BGV347" s="444" t="s">
        <v>1127</v>
      </c>
      <c r="BGW347" s="444">
        <v>6</v>
      </c>
      <c r="BGX347" s="444" t="s">
        <v>1127</v>
      </c>
      <c r="BGY347" s="444">
        <v>6</v>
      </c>
      <c r="BGZ347" s="444" t="s">
        <v>1127</v>
      </c>
      <c r="BHA347" s="444">
        <v>6</v>
      </c>
      <c r="BHB347" s="444" t="s">
        <v>1127</v>
      </c>
      <c r="BHC347" s="444">
        <v>6</v>
      </c>
      <c r="BHD347" s="444" t="s">
        <v>1127</v>
      </c>
      <c r="BHE347" s="444">
        <v>6</v>
      </c>
      <c r="BHF347" s="444" t="s">
        <v>1127</v>
      </c>
      <c r="BHG347" s="444">
        <v>6</v>
      </c>
      <c r="BHH347" s="444" t="s">
        <v>1127</v>
      </c>
      <c r="BHI347" s="444">
        <v>6</v>
      </c>
      <c r="BHJ347" s="444" t="s">
        <v>1127</v>
      </c>
      <c r="BHK347" s="444">
        <v>6</v>
      </c>
      <c r="BHL347" s="444" t="s">
        <v>1127</v>
      </c>
      <c r="BHM347" s="444">
        <v>6</v>
      </c>
      <c r="BHN347" s="444" t="s">
        <v>1127</v>
      </c>
      <c r="BHO347" s="444">
        <v>6</v>
      </c>
      <c r="BHP347" s="444" t="s">
        <v>1127</v>
      </c>
      <c r="BHQ347" s="444">
        <v>6</v>
      </c>
      <c r="BHR347" s="444" t="s">
        <v>1127</v>
      </c>
      <c r="BHS347" s="444">
        <v>6</v>
      </c>
      <c r="BHT347" s="444" t="s">
        <v>1127</v>
      </c>
      <c r="BHU347" s="444">
        <v>6</v>
      </c>
      <c r="BHV347" s="444" t="s">
        <v>1127</v>
      </c>
      <c r="BHW347" s="444">
        <v>6</v>
      </c>
      <c r="BHX347" s="444" t="s">
        <v>1127</v>
      </c>
      <c r="BHY347" s="444">
        <v>6</v>
      </c>
      <c r="BHZ347" s="444" t="s">
        <v>1127</v>
      </c>
      <c r="BIA347" s="444">
        <v>6</v>
      </c>
      <c r="BIB347" s="444" t="s">
        <v>1127</v>
      </c>
      <c r="BIC347" s="444">
        <v>6</v>
      </c>
      <c r="BID347" s="444" t="s">
        <v>1127</v>
      </c>
      <c r="BIE347" s="444">
        <v>6</v>
      </c>
      <c r="BIF347" s="444" t="s">
        <v>1127</v>
      </c>
      <c r="BIG347" s="444">
        <v>6</v>
      </c>
      <c r="BIH347" s="444" t="s">
        <v>1127</v>
      </c>
      <c r="BII347" s="444">
        <v>6</v>
      </c>
      <c r="BIJ347" s="444" t="s">
        <v>1127</v>
      </c>
      <c r="BIK347" s="444">
        <v>6</v>
      </c>
      <c r="BIL347" s="444" t="s">
        <v>1127</v>
      </c>
      <c r="BIM347" s="444">
        <v>6</v>
      </c>
      <c r="BIN347" s="444" t="s">
        <v>1127</v>
      </c>
      <c r="BIO347" s="444">
        <v>6</v>
      </c>
      <c r="BIP347" s="444" t="s">
        <v>1127</v>
      </c>
      <c r="BIQ347" s="444">
        <v>6</v>
      </c>
      <c r="BIR347" s="444" t="s">
        <v>1127</v>
      </c>
      <c r="BIS347" s="444">
        <v>6</v>
      </c>
      <c r="BIT347" s="444" t="s">
        <v>1127</v>
      </c>
      <c r="BIU347" s="444">
        <v>6</v>
      </c>
      <c r="BIV347" s="444" t="s">
        <v>1127</v>
      </c>
      <c r="BIW347" s="444">
        <v>6</v>
      </c>
      <c r="BIX347" s="444" t="s">
        <v>1127</v>
      </c>
      <c r="BIY347" s="444">
        <v>6</v>
      </c>
      <c r="BIZ347" s="444" t="s">
        <v>1127</v>
      </c>
      <c r="BJA347" s="444">
        <v>6</v>
      </c>
      <c r="BJB347" s="444" t="s">
        <v>1127</v>
      </c>
      <c r="BJC347" s="444">
        <v>6</v>
      </c>
      <c r="BJD347" s="444" t="s">
        <v>1127</v>
      </c>
      <c r="BJE347" s="444">
        <v>6</v>
      </c>
      <c r="BJF347" s="444" t="s">
        <v>1127</v>
      </c>
      <c r="BJG347" s="444">
        <v>6</v>
      </c>
      <c r="BJH347" s="444" t="s">
        <v>1127</v>
      </c>
      <c r="BJI347" s="444">
        <v>6</v>
      </c>
      <c r="BJJ347" s="444" t="s">
        <v>1127</v>
      </c>
      <c r="BJK347" s="444">
        <v>6</v>
      </c>
      <c r="BJL347" s="444" t="s">
        <v>1127</v>
      </c>
      <c r="BJM347" s="444">
        <v>6</v>
      </c>
      <c r="BJN347" s="444" t="s">
        <v>1127</v>
      </c>
      <c r="BJO347" s="444">
        <v>6</v>
      </c>
      <c r="BJP347" s="444" t="s">
        <v>1127</v>
      </c>
      <c r="BJQ347" s="444">
        <v>6</v>
      </c>
      <c r="BJR347" s="444" t="s">
        <v>1127</v>
      </c>
      <c r="BJS347" s="444">
        <v>6</v>
      </c>
      <c r="BJT347" s="444" t="s">
        <v>1127</v>
      </c>
      <c r="BJU347" s="444">
        <v>6</v>
      </c>
      <c r="BJV347" s="444" t="s">
        <v>1127</v>
      </c>
      <c r="BJW347" s="444">
        <v>6</v>
      </c>
      <c r="BJX347" s="444" t="s">
        <v>1127</v>
      </c>
      <c r="BJY347" s="444">
        <v>6</v>
      </c>
      <c r="BJZ347" s="444" t="s">
        <v>1127</v>
      </c>
      <c r="BKA347" s="444">
        <v>6</v>
      </c>
      <c r="BKB347" s="444" t="s">
        <v>1127</v>
      </c>
      <c r="BKC347" s="444">
        <v>6</v>
      </c>
      <c r="BKD347" s="444" t="s">
        <v>1127</v>
      </c>
      <c r="BKE347" s="444">
        <v>6</v>
      </c>
      <c r="BKF347" s="444" t="s">
        <v>1127</v>
      </c>
      <c r="BKG347" s="444">
        <v>6</v>
      </c>
      <c r="BKH347" s="444" t="s">
        <v>1127</v>
      </c>
      <c r="BKI347" s="444">
        <v>6</v>
      </c>
      <c r="BKJ347" s="444" t="s">
        <v>1127</v>
      </c>
      <c r="BKK347" s="444">
        <v>6</v>
      </c>
      <c r="BKL347" s="444" t="s">
        <v>1127</v>
      </c>
      <c r="BKM347" s="444">
        <v>6</v>
      </c>
      <c r="BKN347" s="444" t="s">
        <v>1127</v>
      </c>
      <c r="BKO347" s="444">
        <v>6</v>
      </c>
      <c r="BKP347" s="444" t="s">
        <v>1127</v>
      </c>
      <c r="BKQ347" s="444">
        <v>6</v>
      </c>
      <c r="BKR347" s="444" t="s">
        <v>1127</v>
      </c>
      <c r="BKS347" s="444">
        <v>6</v>
      </c>
      <c r="BKT347" s="444" t="s">
        <v>1127</v>
      </c>
      <c r="BKU347" s="444">
        <v>6</v>
      </c>
      <c r="BKV347" s="444" t="s">
        <v>1127</v>
      </c>
      <c r="BKW347" s="444">
        <v>6</v>
      </c>
      <c r="BKX347" s="444" t="s">
        <v>1127</v>
      </c>
      <c r="BKY347" s="444">
        <v>6</v>
      </c>
      <c r="BKZ347" s="444" t="s">
        <v>1127</v>
      </c>
      <c r="BLA347" s="444">
        <v>6</v>
      </c>
      <c r="BLB347" s="444" t="s">
        <v>1127</v>
      </c>
      <c r="BLC347" s="444">
        <v>6</v>
      </c>
      <c r="BLD347" s="444" t="s">
        <v>1127</v>
      </c>
      <c r="BLE347" s="444">
        <v>6</v>
      </c>
      <c r="BLF347" s="444" t="s">
        <v>1127</v>
      </c>
      <c r="BLG347" s="444">
        <v>6</v>
      </c>
      <c r="BLH347" s="444" t="s">
        <v>1127</v>
      </c>
      <c r="BLI347" s="444">
        <v>6</v>
      </c>
      <c r="BLJ347" s="444" t="s">
        <v>1127</v>
      </c>
      <c r="BLK347" s="444">
        <v>6</v>
      </c>
      <c r="BLL347" s="444" t="s">
        <v>1127</v>
      </c>
      <c r="BLM347" s="444">
        <v>6</v>
      </c>
      <c r="BLN347" s="444" t="s">
        <v>1127</v>
      </c>
      <c r="BLO347" s="444">
        <v>6</v>
      </c>
      <c r="BLP347" s="444" t="s">
        <v>1127</v>
      </c>
      <c r="BLQ347" s="444">
        <v>6</v>
      </c>
      <c r="BLR347" s="444" t="s">
        <v>1127</v>
      </c>
      <c r="BLS347" s="444">
        <v>6</v>
      </c>
      <c r="BLT347" s="444" t="s">
        <v>1127</v>
      </c>
      <c r="BLU347" s="444">
        <v>6</v>
      </c>
      <c r="BLV347" s="444" t="s">
        <v>1127</v>
      </c>
      <c r="BLW347" s="444">
        <v>6</v>
      </c>
      <c r="BLX347" s="444" t="s">
        <v>1127</v>
      </c>
      <c r="BLY347" s="444">
        <v>6</v>
      </c>
      <c r="BLZ347" s="444" t="s">
        <v>1127</v>
      </c>
      <c r="BMA347" s="444">
        <v>6</v>
      </c>
      <c r="BMB347" s="444" t="s">
        <v>1127</v>
      </c>
      <c r="BMC347" s="444">
        <v>6</v>
      </c>
      <c r="BMD347" s="444" t="s">
        <v>1127</v>
      </c>
      <c r="BME347" s="444">
        <v>6</v>
      </c>
      <c r="BMF347" s="444" t="s">
        <v>1127</v>
      </c>
      <c r="BMG347" s="444">
        <v>6</v>
      </c>
      <c r="BMH347" s="444" t="s">
        <v>1127</v>
      </c>
      <c r="BMI347" s="444">
        <v>6</v>
      </c>
      <c r="BMJ347" s="444" t="s">
        <v>1127</v>
      </c>
      <c r="BMK347" s="444">
        <v>6</v>
      </c>
      <c r="BML347" s="444" t="s">
        <v>1127</v>
      </c>
      <c r="BMM347" s="444">
        <v>6</v>
      </c>
      <c r="BMN347" s="444" t="s">
        <v>1127</v>
      </c>
      <c r="BMO347" s="444">
        <v>6</v>
      </c>
      <c r="BMP347" s="444" t="s">
        <v>1127</v>
      </c>
      <c r="BMQ347" s="444">
        <v>6</v>
      </c>
      <c r="BMR347" s="444" t="s">
        <v>1127</v>
      </c>
      <c r="BMS347" s="444">
        <v>6</v>
      </c>
      <c r="BMT347" s="444" t="s">
        <v>1127</v>
      </c>
      <c r="BMU347" s="444">
        <v>6</v>
      </c>
      <c r="BMV347" s="444" t="s">
        <v>1127</v>
      </c>
      <c r="BMW347" s="444">
        <v>6</v>
      </c>
      <c r="BMX347" s="444" t="s">
        <v>1127</v>
      </c>
      <c r="BMY347" s="444">
        <v>6</v>
      </c>
      <c r="BMZ347" s="444" t="s">
        <v>1127</v>
      </c>
      <c r="BNA347" s="444">
        <v>6</v>
      </c>
      <c r="BNB347" s="444" t="s">
        <v>1127</v>
      </c>
      <c r="BNC347" s="444">
        <v>6</v>
      </c>
      <c r="BND347" s="444" t="s">
        <v>1127</v>
      </c>
      <c r="BNE347" s="444">
        <v>6</v>
      </c>
      <c r="BNF347" s="444" t="s">
        <v>1127</v>
      </c>
      <c r="BNG347" s="444">
        <v>6</v>
      </c>
      <c r="BNH347" s="444" t="s">
        <v>1127</v>
      </c>
      <c r="BNI347" s="444">
        <v>6</v>
      </c>
      <c r="BNJ347" s="444" t="s">
        <v>1127</v>
      </c>
      <c r="BNK347" s="444">
        <v>6</v>
      </c>
      <c r="BNL347" s="444" t="s">
        <v>1127</v>
      </c>
      <c r="BNM347" s="444">
        <v>6</v>
      </c>
      <c r="BNN347" s="444" t="s">
        <v>1127</v>
      </c>
      <c r="BNO347" s="444">
        <v>6</v>
      </c>
      <c r="BNP347" s="444" t="s">
        <v>1127</v>
      </c>
      <c r="BNQ347" s="444">
        <v>6</v>
      </c>
      <c r="BNR347" s="444" t="s">
        <v>1127</v>
      </c>
      <c r="BNS347" s="444">
        <v>6</v>
      </c>
      <c r="BNT347" s="444" t="s">
        <v>1127</v>
      </c>
      <c r="BNU347" s="444">
        <v>6</v>
      </c>
      <c r="BNV347" s="444" t="s">
        <v>1127</v>
      </c>
      <c r="BNW347" s="444">
        <v>6</v>
      </c>
      <c r="BNX347" s="444" t="s">
        <v>1127</v>
      </c>
      <c r="BNY347" s="444">
        <v>6</v>
      </c>
      <c r="BNZ347" s="444" t="s">
        <v>1127</v>
      </c>
      <c r="BOA347" s="444">
        <v>6</v>
      </c>
      <c r="BOB347" s="444" t="s">
        <v>1127</v>
      </c>
      <c r="BOC347" s="444">
        <v>6</v>
      </c>
      <c r="BOD347" s="444" t="s">
        <v>1127</v>
      </c>
      <c r="BOE347" s="444">
        <v>6</v>
      </c>
      <c r="BOF347" s="444" t="s">
        <v>1127</v>
      </c>
      <c r="BOG347" s="444">
        <v>6</v>
      </c>
      <c r="BOH347" s="444" t="s">
        <v>1127</v>
      </c>
      <c r="BOI347" s="444">
        <v>6</v>
      </c>
      <c r="BOJ347" s="444" t="s">
        <v>1127</v>
      </c>
      <c r="BOK347" s="444">
        <v>6</v>
      </c>
      <c r="BOL347" s="444" t="s">
        <v>1127</v>
      </c>
      <c r="BOM347" s="444">
        <v>6</v>
      </c>
      <c r="BON347" s="444" t="s">
        <v>1127</v>
      </c>
      <c r="BOO347" s="444">
        <v>6</v>
      </c>
      <c r="BOP347" s="444" t="s">
        <v>1127</v>
      </c>
      <c r="BOQ347" s="444">
        <v>6</v>
      </c>
      <c r="BOR347" s="444" t="s">
        <v>1127</v>
      </c>
      <c r="BOS347" s="444">
        <v>6</v>
      </c>
      <c r="BOT347" s="444" t="s">
        <v>1127</v>
      </c>
      <c r="BOU347" s="444">
        <v>6</v>
      </c>
      <c r="BOV347" s="444" t="s">
        <v>1127</v>
      </c>
      <c r="BOW347" s="444">
        <v>6</v>
      </c>
      <c r="BOX347" s="444" t="s">
        <v>1127</v>
      </c>
      <c r="BOY347" s="444">
        <v>6</v>
      </c>
      <c r="BOZ347" s="444" t="s">
        <v>1127</v>
      </c>
      <c r="BPA347" s="444">
        <v>6</v>
      </c>
      <c r="BPB347" s="444" t="s">
        <v>1127</v>
      </c>
      <c r="BPC347" s="444">
        <v>6</v>
      </c>
      <c r="BPD347" s="444" t="s">
        <v>1127</v>
      </c>
      <c r="BPE347" s="444">
        <v>6</v>
      </c>
      <c r="BPF347" s="444" t="s">
        <v>1127</v>
      </c>
      <c r="BPG347" s="444">
        <v>6</v>
      </c>
      <c r="BPH347" s="444" t="s">
        <v>1127</v>
      </c>
      <c r="BPI347" s="444">
        <v>6</v>
      </c>
      <c r="BPJ347" s="444" t="s">
        <v>1127</v>
      </c>
      <c r="BPK347" s="444">
        <v>6</v>
      </c>
      <c r="BPL347" s="444" t="s">
        <v>1127</v>
      </c>
      <c r="BPM347" s="444">
        <v>6</v>
      </c>
      <c r="BPN347" s="444" t="s">
        <v>1127</v>
      </c>
      <c r="BPO347" s="444">
        <v>6</v>
      </c>
      <c r="BPP347" s="444" t="s">
        <v>1127</v>
      </c>
      <c r="BPQ347" s="444">
        <v>6</v>
      </c>
      <c r="BPR347" s="444" t="s">
        <v>1127</v>
      </c>
      <c r="BPS347" s="444">
        <v>6</v>
      </c>
      <c r="BPT347" s="444" t="s">
        <v>1127</v>
      </c>
      <c r="BPU347" s="444">
        <v>6</v>
      </c>
      <c r="BPV347" s="444" t="s">
        <v>1127</v>
      </c>
      <c r="BPW347" s="444">
        <v>6</v>
      </c>
      <c r="BPX347" s="444" t="s">
        <v>1127</v>
      </c>
      <c r="BPY347" s="444">
        <v>6</v>
      </c>
      <c r="BPZ347" s="444" t="s">
        <v>1127</v>
      </c>
      <c r="BQA347" s="444">
        <v>6</v>
      </c>
      <c r="BQB347" s="444" t="s">
        <v>1127</v>
      </c>
      <c r="BQC347" s="444">
        <v>6</v>
      </c>
      <c r="BQD347" s="444" t="s">
        <v>1127</v>
      </c>
      <c r="BQE347" s="444">
        <v>6</v>
      </c>
      <c r="BQF347" s="444" t="s">
        <v>1127</v>
      </c>
      <c r="BQG347" s="444">
        <v>6</v>
      </c>
      <c r="BQH347" s="444" t="s">
        <v>1127</v>
      </c>
      <c r="BQI347" s="444">
        <v>6</v>
      </c>
      <c r="BQJ347" s="444" t="s">
        <v>1127</v>
      </c>
      <c r="BQK347" s="444">
        <v>6</v>
      </c>
      <c r="BQL347" s="444" t="s">
        <v>1127</v>
      </c>
      <c r="BQM347" s="444">
        <v>6</v>
      </c>
      <c r="BQN347" s="444" t="s">
        <v>1127</v>
      </c>
      <c r="BQO347" s="444">
        <v>6</v>
      </c>
      <c r="BQP347" s="444" t="s">
        <v>1127</v>
      </c>
      <c r="BQQ347" s="444">
        <v>6</v>
      </c>
      <c r="BQR347" s="444" t="s">
        <v>1127</v>
      </c>
      <c r="BQS347" s="444">
        <v>6</v>
      </c>
      <c r="BQT347" s="444" t="s">
        <v>1127</v>
      </c>
      <c r="BQU347" s="444">
        <v>6</v>
      </c>
      <c r="BQV347" s="444" t="s">
        <v>1127</v>
      </c>
      <c r="BQW347" s="444">
        <v>6</v>
      </c>
      <c r="BQX347" s="444" t="s">
        <v>1127</v>
      </c>
      <c r="BQY347" s="444">
        <v>6</v>
      </c>
      <c r="BQZ347" s="444" t="s">
        <v>1127</v>
      </c>
      <c r="BRA347" s="444">
        <v>6</v>
      </c>
      <c r="BRB347" s="444" t="s">
        <v>1127</v>
      </c>
      <c r="BRC347" s="444">
        <v>6</v>
      </c>
      <c r="BRD347" s="444" t="s">
        <v>1127</v>
      </c>
      <c r="BRE347" s="444">
        <v>6</v>
      </c>
      <c r="BRF347" s="444" t="s">
        <v>1127</v>
      </c>
      <c r="BRG347" s="444">
        <v>6</v>
      </c>
      <c r="BRH347" s="444" t="s">
        <v>1127</v>
      </c>
      <c r="BRI347" s="444">
        <v>6</v>
      </c>
      <c r="BRJ347" s="444" t="s">
        <v>1127</v>
      </c>
      <c r="BRK347" s="444">
        <v>6</v>
      </c>
      <c r="BRL347" s="444" t="s">
        <v>1127</v>
      </c>
      <c r="BRM347" s="444">
        <v>6</v>
      </c>
      <c r="BRN347" s="444" t="s">
        <v>1127</v>
      </c>
      <c r="BRO347" s="444">
        <v>6</v>
      </c>
      <c r="BRP347" s="444" t="s">
        <v>1127</v>
      </c>
      <c r="BRQ347" s="444">
        <v>6</v>
      </c>
      <c r="BRR347" s="444" t="s">
        <v>1127</v>
      </c>
      <c r="BRS347" s="444">
        <v>6</v>
      </c>
      <c r="BRT347" s="444" t="s">
        <v>1127</v>
      </c>
      <c r="BRU347" s="444">
        <v>6</v>
      </c>
      <c r="BRV347" s="444" t="s">
        <v>1127</v>
      </c>
      <c r="BRW347" s="444">
        <v>6</v>
      </c>
      <c r="BRX347" s="444" t="s">
        <v>1127</v>
      </c>
      <c r="BRY347" s="444">
        <v>6</v>
      </c>
      <c r="BRZ347" s="444" t="s">
        <v>1127</v>
      </c>
      <c r="BSA347" s="444">
        <v>6</v>
      </c>
      <c r="BSB347" s="444" t="s">
        <v>1127</v>
      </c>
      <c r="BSC347" s="444">
        <v>6</v>
      </c>
      <c r="BSD347" s="444" t="s">
        <v>1127</v>
      </c>
      <c r="BSE347" s="444">
        <v>6</v>
      </c>
      <c r="BSF347" s="444" t="s">
        <v>1127</v>
      </c>
      <c r="BSG347" s="444">
        <v>6</v>
      </c>
      <c r="BSH347" s="444" t="s">
        <v>1127</v>
      </c>
      <c r="BSI347" s="444">
        <v>6</v>
      </c>
      <c r="BSJ347" s="444" t="s">
        <v>1127</v>
      </c>
      <c r="BSK347" s="444">
        <v>6</v>
      </c>
      <c r="BSL347" s="444" t="s">
        <v>1127</v>
      </c>
      <c r="BSM347" s="444">
        <v>6</v>
      </c>
      <c r="BSN347" s="444" t="s">
        <v>1127</v>
      </c>
      <c r="BSO347" s="444">
        <v>6</v>
      </c>
      <c r="BSP347" s="444" t="s">
        <v>1127</v>
      </c>
      <c r="BSQ347" s="444">
        <v>6</v>
      </c>
      <c r="BSR347" s="444" t="s">
        <v>1127</v>
      </c>
      <c r="BSS347" s="444">
        <v>6</v>
      </c>
      <c r="BST347" s="444" t="s">
        <v>1127</v>
      </c>
      <c r="BSU347" s="444">
        <v>6</v>
      </c>
      <c r="BSV347" s="444" t="s">
        <v>1127</v>
      </c>
      <c r="BSW347" s="444">
        <v>6</v>
      </c>
      <c r="BSX347" s="444" t="s">
        <v>1127</v>
      </c>
      <c r="BSY347" s="444">
        <v>6</v>
      </c>
      <c r="BSZ347" s="444" t="s">
        <v>1127</v>
      </c>
      <c r="BTA347" s="444">
        <v>6</v>
      </c>
      <c r="BTB347" s="444" t="s">
        <v>1127</v>
      </c>
      <c r="BTC347" s="444">
        <v>6</v>
      </c>
      <c r="BTD347" s="444" t="s">
        <v>1127</v>
      </c>
      <c r="BTE347" s="444">
        <v>6</v>
      </c>
      <c r="BTF347" s="444" t="s">
        <v>1127</v>
      </c>
      <c r="BTG347" s="444">
        <v>6</v>
      </c>
      <c r="BTH347" s="444" t="s">
        <v>1127</v>
      </c>
      <c r="BTI347" s="444">
        <v>6</v>
      </c>
      <c r="BTJ347" s="444" t="s">
        <v>1127</v>
      </c>
      <c r="BTK347" s="444">
        <v>6</v>
      </c>
      <c r="BTL347" s="444" t="s">
        <v>1127</v>
      </c>
      <c r="BTM347" s="444">
        <v>6</v>
      </c>
      <c r="BTN347" s="444" t="s">
        <v>1127</v>
      </c>
      <c r="BTO347" s="444">
        <v>6</v>
      </c>
      <c r="BTP347" s="444" t="s">
        <v>1127</v>
      </c>
      <c r="BTQ347" s="444">
        <v>6</v>
      </c>
      <c r="BTR347" s="444" t="s">
        <v>1127</v>
      </c>
      <c r="BTS347" s="444">
        <v>6</v>
      </c>
      <c r="BTT347" s="444" t="s">
        <v>1127</v>
      </c>
      <c r="BTU347" s="444">
        <v>6</v>
      </c>
      <c r="BTV347" s="444" t="s">
        <v>1127</v>
      </c>
      <c r="BTW347" s="444">
        <v>6</v>
      </c>
      <c r="BTX347" s="444" t="s">
        <v>1127</v>
      </c>
      <c r="BTY347" s="444">
        <v>6</v>
      </c>
      <c r="BTZ347" s="444" t="s">
        <v>1127</v>
      </c>
      <c r="BUA347" s="444">
        <v>6</v>
      </c>
      <c r="BUB347" s="444" t="s">
        <v>1127</v>
      </c>
      <c r="BUC347" s="444">
        <v>6</v>
      </c>
      <c r="BUD347" s="444" t="s">
        <v>1127</v>
      </c>
      <c r="BUE347" s="444">
        <v>6</v>
      </c>
      <c r="BUF347" s="444" t="s">
        <v>1127</v>
      </c>
      <c r="BUG347" s="444">
        <v>6</v>
      </c>
      <c r="BUH347" s="444" t="s">
        <v>1127</v>
      </c>
      <c r="BUI347" s="444">
        <v>6</v>
      </c>
      <c r="BUJ347" s="444" t="s">
        <v>1127</v>
      </c>
      <c r="BUK347" s="444">
        <v>6</v>
      </c>
      <c r="BUL347" s="444" t="s">
        <v>1127</v>
      </c>
      <c r="BUM347" s="444">
        <v>6</v>
      </c>
      <c r="BUN347" s="444" t="s">
        <v>1127</v>
      </c>
      <c r="BUO347" s="444">
        <v>6</v>
      </c>
      <c r="BUP347" s="444" t="s">
        <v>1127</v>
      </c>
      <c r="BUQ347" s="444">
        <v>6</v>
      </c>
      <c r="BUR347" s="444" t="s">
        <v>1127</v>
      </c>
      <c r="BUS347" s="444">
        <v>6</v>
      </c>
      <c r="BUT347" s="444" t="s">
        <v>1127</v>
      </c>
      <c r="BUU347" s="444">
        <v>6</v>
      </c>
      <c r="BUV347" s="444" t="s">
        <v>1127</v>
      </c>
      <c r="BUW347" s="444">
        <v>6</v>
      </c>
      <c r="BUX347" s="444" t="s">
        <v>1127</v>
      </c>
      <c r="BUY347" s="444">
        <v>6</v>
      </c>
      <c r="BUZ347" s="444" t="s">
        <v>1127</v>
      </c>
      <c r="BVA347" s="444">
        <v>6</v>
      </c>
      <c r="BVB347" s="444" t="s">
        <v>1127</v>
      </c>
      <c r="BVC347" s="444">
        <v>6</v>
      </c>
      <c r="BVD347" s="444" t="s">
        <v>1127</v>
      </c>
      <c r="BVE347" s="444">
        <v>6</v>
      </c>
      <c r="BVF347" s="444" t="s">
        <v>1127</v>
      </c>
      <c r="BVG347" s="444">
        <v>6</v>
      </c>
      <c r="BVH347" s="444" t="s">
        <v>1127</v>
      </c>
      <c r="BVI347" s="444">
        <v>6</v>
      </c>
      <c r="BVJ347" s="444" t="s">
        <v>1127</v>
      </c>
      <c r="BVK347" s="444">
        <v>6</v>
      </c>
      <c r="BVL347" s="444" t="s">
        <v>1127</v>
      </c>
      <c r="BVM347" s="444">
        <v>6</v>
      </c>
      <c r="BVN347" s="444" t="s">
        <v>1127</v>
      </c>
      <c r="BVO347" s="444">
        <v>6</v>
      </c>
      <c r="BVP347" s="444" t="s">
        <v>1127</v>
      </c>
      <c r="BVQ347" s="444">
        <v>6</v>
      </c>
      <c r="BVR347" s="444" t="s">
        <v>1127</v>
      </c>
      <c r="BVS347" s="444">
        <v>6</v>
      </c>
      <c r="BVT347" s="444" t="s">
        <v>1127</v>
      </c>
      <c r="BVU347" s="444">
        <v>6</v>
      </c>
      <c r="BVV347" s="444" t="s">
        <v>1127</v>
      </c>
      <c r="BVW347" s="444">
        <v>6</v>
      </c>
      <c r="BVX347" s="444" t="s">
        <v>1127</v>
      </c>
      <c r="BVY347" s="444">
        <v>6</v>
      </c>
      <c r="BVZ347" s="444" t="s">
        <v>1127</v>
      </c>
      <c r="BWA347" s="444">
        <v>6</v>
      </c>
      <c r="BWB347" s="444" t="s">
        <v>1127</v>
      </c>
      <c r="BWC347" s="444">
        <v>6</v>
      </c>
      <c r="BWD347" s="444" t="s">
        <v>1127</v>
      </c>
      <c r="BWE347" s="444">
        <v>6</v>
      </c>
      <c r="BWF347" s="444" t="s">
        <v>1127</v>
      </c>
      <c r="BWG347" s="444">
        <v>6</v>
      </c>
      <c r="BWH347" s="444" t="s">
        <v>1127</v>
      </c>
      <c r="BWI347" s="444">
        <v>6</v>
      </c>
      <c r="BWJ347" s="444" t="s">
        <v>1127</v>
      </c>
      <c r="BWK347" s="444">
        <v>6</v>
      </c>
      <c r="BWL347" s="444" t="s">
        <v>1127</v>
      </c>
      <c r="BWM347" s="444">
        <v>6</v>
      </c>
      <c r="BWN347" s="444" t="s">
        <v>1127</v>
      </c>
      <c r="BWO347" s="444">
        <v>6</v>
      </c>
      <c r="BWP347" s="444" t="s">
        <v>1127</v>
      </c>
      <c r="BWQ347" s="444">
        <v>6</v>
      </c>
      <c r="BWR347" s="444" t="s">
        <v>1127</v>
      </c>
      <c r="BWS347" s="444">
        <v>6</v>
      </c>
      <c r="BWT347" s="444" t="s">
        <v>1127</v>
      </c>
      <c r="BWU347" s="444">
        <v>6</v>
      </c>
      <c r="BWV347" s="444" t="s">
        <v>1127</v>
      </c>
      <c r="BWW347" s="444">
        <v>6</v>
      </c>
      <c r="BWX347" s="444" t="s">
        <v>1127</v>
      </c>
      <c r="BWY347" s="444">
        <v>6</v>
      </c>
      <c r="BWZ347" s="444" t="s">
        <v>1127</v>
      </c>
      <c r="BXA347" s="444">
        <v>6</v>
      </c>
      <c r="BXB347" s="444" t="s">
        <v>1127</v>
      </c>
      <c r="BXC347" s="444">
        <v>6</v>
      </c>
      <c r="BXD347" s="444" t="s">
        <v>1127</v>
      </c>
      <c r="BXE347" s="444">
        <v>6</v>
      </c>
      <c r="BXF347" s="444" t="s">
        <v>1127</v>
      </c>
      <c r="BXG347" s="444">
        <v>6</v>
      </c>
      <c r="BXH347" s="444" t="s">
        <v>1127</v>
      </c>
      <c r="BXI347" s="444">
        <v>6</v>
      </c>
      <c r="BXJ347" s="444" t="s">
        <v>1127</v>
      </c>
      <c r="BXK347" s="444">
        <v>6</v>
      </c>
      <c r="BXL347" s="444" t="s">
        <v>1127</v>
      </c>
      <c r="BXM347" s="444">
        <v>6</v>
      </c>
      <c r="BXN347" s="444" t="s">
        <v>1127</v>
      </c>
      <c r="BXO347" s="444">
        <v>6</v>
      </c>
      <c r="BXP347" s="444" t="s">
        <v>1127</v>
      </c>
      <c r="BXQ347" s="444">
        <v>6</v>
      </c>
      <c r="BXR347" s="444" t="s">
        <v>1127</v>
      </c>
      <c r="BXS347" s="444">
        <v>6</v>
      </c>
      <c r="BXT347" s="444" t="s">
        <v>1127</v>
      </c>
      <c r="BXU347" s="444">
        <v>6</v>
      </c>
      <c r="BXV347" s="444" t="s">
        <v>1127</v>
      </c>
      <c r="BXW347" s="444">
        <v>6</v>
      </c>
      <c r="BXX347" s="444" t="s">
        <v>1127</v>
      </c>
      <c r="BXY347" s="444">
        <v>6</v>
      </c>
      <c r="BXZ347" s="444" t="s">
        <v>1127</v>
      </c>
      <c r="BYA347" s="444">
        <v>6</v>
      </c>
      <c r="BYB347" s="444" t="s">
        <v>1127</v>
      </c>
      <c r="BYC347" s="444">
        <v>6</v>
      </c>
      <c r="BYD347" s="444" t="s">
        <v>1127</v>
      </c>
      <c r="BYE347" s="444">
        <v>6</v>
      </c>
      <c r="BYF347" s="444" t="s">
        <v>1127</v>
      </c>
      <c r="BYG347" s="444">
        <v>6</v>
      </c>
      <c r="BYH347" s="444" t="s">
        <v>1127</v>
      </c>
      <c r="BYI347" s="444">
        <v>6</v>
      </c>
      <c r="BYJ347" s="444" t="s">
        <v>1127</v>
      </c>
      <c r="BYK347" s="444">
        <v>6</v>
      </c>
      <c r="BYL347" s="444" t="s">
        <v>1127</v>
      </c>
      <c r="BYM347" s="444">
        <v>6</v>
      </c>
      <c r="BYN347" s="444" t="s">
        <v>1127</v>
      </c>
      <c r="BYO347" s="444">
        <v>6</v>
      </c>
      <c r="BYP347" s="444" t="s">
        <v>1127</v>
      </c>
      <c r="BYQ347" s="444">
        <v>6</v>
      </c>
      <c r="BYR347" s="444" t="s">
        <v>1127</v>
      </c>
      <c r="BYS347" s="444">
        <v>6</v>
      </c>
      <c r="BYT347" s="444" t="s">
        <v>1127</v>
      </c>
      <c r="BYU347" s="444">
        <v>6</v>
      </c>
      <c r="BYV347" s="444" t="s">
        <v>1127</v>
      </c>
      <c r="BYW347" s="444">
        <v>6</v>
      </c>
      <c r="BYX347" s="444" t="s">
        <v>1127</v>
      </c>
      <c r="BYY347" s="444">
        <v>6</v>
      </c>
      <c r="BYZ347" s="444" t="s">
        <v>1127</v>
      </c>
      <c r="BZA347" s="444">
        <v>6</v>
      </c>
      <c r="BZB347" s="444" t="s">
        <v>1127</v>
      </c>
      <c r="BZC347" s="444">
        <v>6</v>
      </c>
      <c r="BZD347" s="444" t="s">
        <v>1127</v>
      </c>
      <c r="BZE347" s="444">
        <v>6</v>
      </c>
      <c r="BZF347" s="444" t="s">
        <v>1127</v>
      </c>
      <c r="BZG347" s="444">
        <v>6</v>
      </c>
      <c r="BZH347" s="444" t="s">
        <v>1127</v>
      </c>
      <c r="BZI347" s="444">
        <v>6</v>
      </c>
      <c r="BZJ347" s="444" t="s">
        <v>1127</v>
      </c>
      <c r="BZK347" s="444">
        <v>6</v>
      </c>
      <c r="BZL347" s="444" t="s">
        <v>1127</v>
      </c>
      <c r="BZM347" s="444">
        <v>6</v>
      </c>
      <c r="BZN347" s="444" t="s">
        <v>1127</v>
      </c>
      <c r="BZO347" s="444">
        <v>6</v>
      </c>
      <c r="BZP347" s="444" t="s">
        <v>1127</v>
      </c>
      <c r="BZQ347" s="444">
        <v>6</v>
      </c>
      <c r="BZR347" s="444" t="s">
        <v>1127</v>
      </c>
      <c r="BZS347" s="444">
        <v>6</v>
      </c>
      <c r="BZT347" s="444" t="s">
        <v>1127</v>
      </c>
      <c r="BZU347" s="444">
        <v>6</v>
      </c>
      <c r="BZV347" s="444" t="s">
        <v>1127</v>
      </c>
      <c r="BZW347" s="444">
        <v>6</v>
      </c>
      <c r="BZX347" s="444" t="s">
        <v>1127</v>
      </c>
      <c r="BZY347" s="444">
        <v>6</v>
      </c>
      <c r="BZZ347" s="444" t="s">
        <v>1127</v>
      </c>
      <c r="CAA347" s="444">
        <v>6</v>
      </c>
      <c r="CAB347" s="444" t="s">
        <v>1127</v>
      </c>
      <c r="CAC347" s="444">
        <v>6</v>
      </c>
      <c r="CAD347" s="444" t="s">
        <v>1127</v>
      </c>
      <c r="CAE347" s="444">
        <v>6</v>
      </c>
      <c r="CAF347" s="444" t="s">
        <v>1127</v>
      </c>
      <c r="CAG347" s="444">
        <v>6</v>
      </c>
      <c r="CAH347" s="444" t="s">
        <v>1127</v>
      </c>
      <c r="CAI347" s="444">
        <v>6</v>
      </c>
      <c r="CAJ347" s="444" t="s">
        <v>1127</v>
      </c>
      <c r="CAK347" s="444">
        <v>6</v>
      </c>
      <c r="CAL347" s="444" t="s">
        <v>1127</v>
      </c>
      <c r="CAM347" s="444">
        <v>6</v>
      </c>
      <c r="CAN347" s="444" t="s">
        <v>1127</v>
      </c>
      <c r="CAO347" s="444">
        <v>6</v>
      </c>
      <c r="CAP347" s="444" t="s">
        <v>1127</v>
      </c>
      <c r="CAQ347" s="444">
        <v>6</v>
      </c>
      <c r="CAR347" s="444" t="s">
        <v>1127</v>
      </c>
      <c r="CAS347" s="444">
        <v>6</v>
      </c>
      <c r="CAT347" s="444" t="s">
        <v>1127</v>
      </c>
      <c r="CAU347" s="444">
        <v>6</v>
      </c>
      <c r="CAV347" s="444" t="s">
        <v>1127</v>
      </c>
      <c r="CAW347" s="444">
        <v>6</v>
      </c>
      <c r="CAX347" s="444" t="s">
        <v>1127</v>
      </c>
      <c r="CAY347" s="444">
        <v>6</v>
      </c>
      <c r="CAZ347" s="444" t="s">
        <v>1127</v>
      </c>
      <c r="CBA347" s="444">
        <v>6</v>
      </c>
      <c r="CBB347" s="444" t="s">
        <v>1127</v>
      </c>
      <c r="CBC347" s="444">
        <v>6</v>
      </c>
      <c r="CBD347" s="444" t="s">
        <v>1127</v>
      </c>
      <c r="CBE347" s="444">
        <v>6</v>
      </c>
      <c r="CBF347" s="444" t="s">
        <v>1127</v>
      </c>
      <c r="CBG347" s="444">
        <v>6</v>
      </c>
      <c r="CBH347" s="444" t="s">
        <v>1127</v>
      </c>
      <c r="CBI347" s="444">
        <v>6</v>
      </c>
      <c r="CBJ347" s="444" t="s">
        <v>1127</v>
      </c>
      <c r="CBK347" s="444">
        <v>6</v>
      </c>
      <c r="CBL347" s="444" t="s">
        <v>1127</v>
      </c>
      <c r="CBM347" s="444">
        <v>6</v>
      </c>
      <c r="CBN347" s="444" t="s">
        <v>1127</v>
      </c>
      <c r="CBO347" s="444">
        <v>6</v>
      </c>
      <c r="CBP347" s="444" t="s">
        <v>1127</v>
      </c>
      <c r="CBQ347" s="444">
        <v>6</v>
      </c>
      <c r="CBR347" s="444" t="s">
        <v>1127</v>
      </c>
      <c r="CBS347" s="444">
        <v>6</v>
      </c>
      <c r="CBT347" s="444" t="s">
        <v>1127</v>
      </c>
      <c r="CBU347" s="444">
        <v>6</v>
      </c>
      <c r="CBV347" s="444" t="s">
        <v>1127</v>
      </c>
      <c r="CBW347" s="444">
        <v>6</v>
      </c>
      <c r="CBX347" s="444" t="s">
        <v>1127</v>
      </c>
      <c r="CBY347" s="444">
        <v>6</v>
      </c>
      <c r="CBZ347" s="444" t="s">
        <v>1127</v>
      </c>
      <c r="CCA347" s="444">
        <v>6</v>
      </c>
      <c r="CCB347" s="444" t="s">
        <v>1127</v>
      </c>
      <c r="CCC347" s="444">
        <v>6</v>
      </c>
      <c r="CCD347" s="444" t="s">
        <v>1127</v>
      </c>
      <c r="CCE347" s="444">
        <v>6</v>
      </c>
      <c r="CCF347" s="444" t="s">
        <v>1127</v>
      </c>
      <c r="CCG347" s="444">
        <v>6</v>
      </c>
      <c r="CCH347" s="444" t="s">
        <v>1127</v>
      </c>
      <c r="CCI347" s="444">
        <v>6</v>
      </c>
      <c r="CCJ347" s="444" t="s">
        <v>1127</v>
      </c>
      <c r="CCK347" s="444">
        <v>6</v>
      </c>
      <c r="CCL347" s="444" t="s">
        <v>1127</v>
      </c>
      <c r="CCM347" s="444">
        <v>6</v>
      </c>
      <c r="CCN347" s="444" t="s">
        <v>1127</v>
      </c>
      <c r="CCO347" s="444">
        <v>6</v>
      </c>
      <c r="CCP347" s="444" t="s">
        <v>1127</v>
      </c>
      <c r="CCQ347" s="444">
        <v>6</v>
      </c>
      <c r="CCR347" s="444" t="s">
        <v>1127</v>
      </c>
      <c r="CCS347" s="444">
        <v>6</v>
      </c>
      <c r="CCT347" s="444" t="s">
        <v>1127</v>
      </c>
      <c r="CCU347" s="444">
        <v>6</v>
      </c>
      <c r="CCV347" s="444" t="s">
        <v>1127</v>
      </c>
      <c r="CCW347" s="444">
        <v>6</v>
      </c>
      <c r="CCX347" s="444" t="s">
        <v>1127</v>
      </c>
      <c r="CCY347" s="444">
        <v>6</v>
      </c>
      <c r="CCZ347" s="444" t="s">
        <v>1127</v>
      </c>
      <c r="CDA347" s="444">
        <v>6</v>
      </c>
      <c r="CDB347" s="444" t="s">
        <v>1127</v>
      </c>
      <c r="CDC347" s="444">
        <v>6</v>
      </c>
      <c r="CDD347" s="444" t="s">
        <v>1127</v>
      </c>
      <c r="CDE347" s="444">
        <v>6</v>
      </c>
      <c r="CDF347" s="444" t="s">
        <v>1127</v>
      </c>
      <c r="CDG347" s="444">
        <v>6</v>
      </c>
      <c r="CDH347" s="444" t="s">
        <v>1127</v>
      </c>
      <c r="CDI347" s="444">
        <v>6</v>
      </c>
      <c r="CDJ347" s="444" t="s">
        <v>1127</v>
      </c>
      <c r="CDK347" s="444">
        <v>6</v>
      </c>
      <c r="CDL347" s="444" t="s">
        <v>1127</v>
      </c>
      <c r="CDM347" s="444">
        <v>6</v>
      </c>
      <c r="CDN347" s="444" t="s">
        <v>1127</v>
      </c>
      <c r="CDO347" s="444">
        <v>6</v>
      </c>
      <c r="CDP347" s="444" t="s">
        <v>1127</v>
      </c>
      <c r="CDQ347" s="444">
        <v>6</v>
      </c>
      <c r="CDR347" s="444" t="s">
        <v>1127</v>
      </c>
      <c r="CDS347" s="444">
        <v>6</v>
      </c>
      <c r="CDT347" s="444" t="s">
        <v>1127</v>
      </c>
      <c r="CDU347" s="444">
        <v>6</v>
      </c>
      <c r="CDV347" s="444" t="s">
        <v>1127</v>
      </c>
      <c r="CDW347" s="444">
        <v>6</v>
      </c>
      <c r="CDX347" s="444" t="s">
        <v>1127</v>
      </c>
      <c r="CDY347" s="444">
        <v>6</v>
      </c>
      <c r="CDZ347" s="444" t="s">
        <v>1127</v>
      </c>
      <c r="CEA347" s="444">
        <v>6</v>
      </c>
      <c r="CEB347" s="444" t="s">
        <v>1127</v>
      </c>
      <c r="CEC347" s="444">
        <v>6</v>
      </c>
      <c r="CED347" s="444" t="s">
        <v>1127</v>
      </c>
      <c r="CEE347" s="444">
        <v>6</v>
      </c>
      <c r="CEF347" s="444" t="s">
        <v>1127</v>
      </c>
      <c r="CEG347" s="444">
        <v>6</v>
      </c>
      <c r="CEH347" s="444" t="s">
        <v>1127</v>
      </c>
      <c r="CEI347" s="444">
        <v>6</v>
      </c>
      <c r="CEJ347" s="444" t="s">
        <v>1127</v>
      </c>
      <c r="CEK347" s="444">
        <v>6</v>
      </c>
      <c r="CEL347" s="444" t="s">
        <v>1127</v>
      </c>
      <c r="CEM347" s="444">
        <v>6</v>
      </c>
      <c r="CEN347" s="444" t="s">
        <v>1127</v>
      </c>
      <c r="CEO347" s="444">
        <v>6</v>
      </c>
      <c r="CEP347" s="444" t="s">
        <v>1127</v>
      </c>
      <c r="CEQ347" s="444">
        <v>6</v>
      </c>
      <c r="CER347" s="444" t="s">
        <v>1127</v>
      </c>
      <c r="CES347" s="444">
        <v>6</v>
      </c>
      <c r="CET347" s="444" t="s">
        <v>1127</v>
      </c>
      <c r="CEU347" s="444">
        <v>6</v>
      </c>
      <c r="CEV347" s="444" t="s">
        <v>1127</v>
      </c>
      <c r="CEW347" s="444">
        <v>6</v>
      </c>
      <c r="CEX347" s="444" t="s">
        <v>1127</v>
      </c>
      <c r="CEY347" s="444">
        <v>6</v>
      </c>
      <c r="CEZ347" s="444" t="s">
        <v>1127</v>
      </c>
      <c r="CFA347" s="444">
        <v>6</v>
      </c>
      <c r="CFB347" s="444" t="s">
        <v>1127</v>
      </c>
      <c r="CFC347" s="444">
        <v>6</v>
      </c>
      <c r="CFD347" s="444" t="s">
        <v>1127</v>
      </c>
      <c r="CFE347" s="444">
        <v>6</v>
      </c>
      <c r="CFF347" s="444" t="s">
        <v>1127</v>
      </c>
      <c r="CFG347" s="444">
        <v>6</v>
      </c>
      <c r="CFH347" s="444" t="s">
        <v>1127</v>
      </c>
      <c r="CFI347" s="444">
        <v>6</v>
      </c>
      <c r="CFJ347" s="444" t="s">
        <v>1127</v>
      </c>
      <c r="CFK347" s="444">
        <v>6</v>
      </c>
      <c r="CFL347" s="444" t="s">
        <v>1127</v>
      </c>
      <c r="CFM347" s="444">
        <v>6</v>
      </c>
      <c r="CFN347" s="444" t="s">
        <v>1127</v>
      </c>
      <c r="CFO347" s="444">
        <v>6</v>
      </c>
      <c r="CFP347" s="444" t="s">
        <v>1127</v>
      </c>
      <c r="CFQ347" s="444">
        <v>6</v>
      </c>
      <c r="CFR347" s="444" t="s">
        <v>1127</v>
      </c>
      <c r="CFS347" s="444">
        <v>6</v>
      </c>
      <c r="CFT347" s="444" t="s">
        <v>1127</v>
      </c>
      <c r="CFU347" s="444">
        <v>6</v>
      </c>
      <c r="CFV347" s="444" t="s">
        <v>1127</v>
      </c>
      <c r="CFW347" s="444">
        <v>6</v>
      </c>
      <c r="CFX347" s="444" t="s">
        <v>1127</v>
      </c>
      <c r="CFY347" s="444">
        <v>6</v>
      </c>
      <c r="CFZ347" s="444" t="s">
        <v>1127</v>
      </c>
      <c r="CGA347" s="444">
        <v>6</v>
      </c>
      <c r="CGB347" s="444" t="s">
        <v>1127</v>
      </c>
      <c r="CGC347" s="444">
        <v>6</v>
      </c>
      <c r="CGD347" s="444" t="s">
        <v>1127</v>
      </c>
      <c r="CGE347" s="444">
        <v>6</v>
      </c>
      <c r="CGF347" s="444" t="s">
        <v>1127</v>
      </c>
      <c r="CGG347" s="444">
        <v>6</v>
      </c>
      <c r="CGH347" s="444" t="s">
        <v>1127</v>
      </c>
      <c r="CGI347" s="444">
        <v>6</v>
      </c>
      <c r="CGJ347" s="444" t="s">
        <v>1127</v>
      </c>
      <c r="CGK347" s="444">
        <v>6</v>
      </c>
      <c r="CGL347" s="444" t="s">
        <v>1127</v>
      </c>
      <c r="CGM347" s="444">
        <v>6</v>
      </c>
      <c r="CGN347" s="444" t="s">
        <v>1127</v>
      </c>
      <c r="CGO347" s="444">
        <v>6</v>
      </c>
      <c r="CGP347" s="444" t="s">
        <v>1127</v>
      </c>
      <c r="CGQ347" s="444">
        <v>6</v>
      </c>
      <c r="CGR347" s="444" t="s">
        <v>1127</v>
      </c>
      <c r="CGS347" s="444">
        <v>6</v>
      </c>
      <c r="CGT347" s="444" t="s">
        <v>1127</v>
      </c>
      <c r="CGU347" s="444">
        <v>6</v>
      </c>
      <c r="CGV347" s="444" t="s">
        <v>1127</v>
      </c>
      <c r="CGW347" s="444">
        <v>6</v>
      </c>
      <c r="CGX347" s="444" t="s">
        <v>1127</v>
      </c>
      <c r="CGY347" s="444">
        <v>6</v>
      </c>
      <c r="CGZ347" s="444" t="s">
        <v>1127</v>
      </c>
      <c r="CHA347" s="444">
        <v>6</v>
      </c>
      <c r="CHB347" s="444" t="s">
        <v>1127</v>
      </c>
      <c r="CHC347" s="444">
        <v>6</v>
      </c>
      <c r="CHD347" s="444" t="s">
        <v>1127</v>
      </c>
      <c r="CHE347" s="444">
        <v>6</v>
      </c>
      <c r="CHF347" s="444" t="s">
        <v>1127</v>
      </c>
      <c r="CHG347" s="444">
        <v>6</v>
      </c>
      <c r="CHH347" s="444" t="s">
        <v>1127</v>
      </c>
      <c r="CHI347" s="444">
        <v>6</v>
      </c>
      <c r="CHJ347" s="444" t="s">
        <v>1127</v>
      </c>
      <c r="CHK347" s="444">
        <v>6</v>
      </c>
      <c r="CHL347" s="444" t="s">
        <v>1127</v>
      </c>
      <c r="CHM347" s="444">
        <v>6</v>
      </c>
      <c r="CHN347" s="444" t="s">
        <v>1127</v>
      </c>
      <c r="CHO347" s="444">
        <v>6</v>
      </c>
      <c r="CHP347" s="444" t="s">
        <v>1127</v>
      </c>
      <c r="CHQ347" s="444">
        <v>6</v>
      </c>
      <c r="CHR347" s="444" t="s">
        <v>1127</v>
      </c>
      <c r="CHS347" s="444">
        <v>6</v>
      </c>
      <c r="CHT347" s="444" t="s">
        <v>1127</v>
      </c>
      <c r="CHU347" s="444">
        <v>6</v>
      </c>
      <c r="CHV347" s="444" t="s">
        <v>1127</v>
      </c>
      <c r="CHW347" s="444">
        <v>6</v>
      </c>
      <c r="CHX347" s="444" t="s">
        <v>1127</v>
      </c>
      <c r="CHY347" s="444">
        <v>6</v>
      </c>
      <c r="CHZ347" s="444" t="s">
        <v>1127</v>
      </c>
      <c r="CIA347" s="444">
        <v>6</v>
      </c>
      <c r="CIB347" s="444" t="s">
        <v>1127</v>
      </c>
      <c r="CIC347" s="444">
        <v>6</v>
      </c>
      <c r="CID347" s="444" t="s">
        <v>1127</v>
      </c>
      <c r="CIE347" s="444">
        <v>6</v>
      </c>
      <c r="CIF347" s="444" t="s">
        <v>1127</v>
      </c>
      <c r="CIG347" s="444">
        <v>6</v>
      </c>
      <c r="CIH347" s="444" t="s">
        <v>1127</v>
      </c>
      <c r="CII347" s="444">
        <v>6</v>
      </c>
      <c r="CIJ347" s="444" t="s">
        <v>1127</v>
      </c>
      <c r="CIK347" s="444">
        <v>6</v>
      </c>
      <c r="CIL347" s="444" t="s">
        <v>1127</v>
      </c>
      <c r="CIM347" s="444">
        <v>6</v>
      </c>
      <c r="CIN347" s="444" t="s">
        <v>1127</v>
      </c>
      <c r="CIO347" s="444">
        <v>6</v>
      </c>
      <c r="CIP347" s="444" t="s">
        <v>1127</v>
      </c>
      <c r="CIQ347" s="444">
        <v>6</v>
      </c>
      <c r="CIR347" s="444" t="s">
        <v>1127</v>
      </c>
      <c r="CIS347" s="444">
        <v>6</v>
      </c>
      <c r="CIT347" s="444" t="s">
        <v>1127</v>
      </c>
      <c r="CIU347" s="444">
        <v>6</v>
      </c>
      <c r="CIV347" s="444" t="s">
        <v>1127</v>
      </c>
      <c r="CIW347" s="444">
        <v>6</v>
      </c>
      <c r="CIX347" s="444" t="s">
        <v>1127</v>
      </c>
      <c r="CIY347" s="444">
        <v>6</v>
      </c>
      <c r="CIZ347" s="444" t="s">
        <v>1127</v>
      </c>
      <c r="CJA347" s="444">
        <v>6</v>
      </c>
      <c r="CJB347" s="444" t="s">
        <v>1127</v>
      </c>
      <c r="CJC347" s="444">
        <v>6</v>
      </c>
      <c r="CJD347" s="444" t="s">
        <v>1127</v>
      </c>
      <c r="CJE347" s="444">
        <v>6</v>
      </c>
      <c r="CJF347" s="444" t="s">
        <v>1127</v>
      </c>
      <c r="CJG347" s="444">
        <v>6</v>
      </c>
      <c r="CJH347" s="444" t="s">
        <v>1127</v>
      </c>
      <c r="CJI347" s="444">
        <v>6</v>
      </c>
      <c r="CJJ347" s="444" t="s">
        <v>1127</v>
      </c>
      <c r="CJK347" s="444">
        <v>6</v>
      </c>
      <c r="CJL347" s="444" t="s">
        <v>1127</v>
      </c>
      <c r="CJM347" s="444">
        <v>6</v>
      </c>
      <c r="CJN347" s="444" t="s">
        <v>1127</v>
      </c>
      <c r="CJO347" s="444">
        <v>6</v>
      </c>
      <c r="CJP347" s="444" t="s">
        <v>1127</v>
      </c>
      <c r="CJQ347" s="444">
        <v>6</v>
      </c>
      <c r="CJR347" s="444" t="s">
        <v>1127</v>
      </c>
      <c r="CJS347" s="444">
        <v>6</v>
      </c>
      <c r="CJT347" s="444" t="s">
        <v>1127</v>
      </c>
      <c r="CJU347" s="444">
        <v>6</v>
      </c>
      <c r="CJV347" s="444" t="s">
        <v>1127</v>
      </c>
      <c r="CJW347" s="444">
        <v>6</v>
      </c>
      <c r="CJX347" s="444" t="s">
        <v>1127</v>
      </c>
      <c r="CJY347" s="444">
        <v>6</v>
      </c>
      <c r="CJZ347" s="444" t="s">
        <v>1127</v>
      </c>
      <c r="CKA347" s="444">
        <v>6</v>
      </c>
      <c r="CKB347" s="444" t="s">
        <v>1127</v>
      </c>
      <c r="CKC347" s="444">
        <v>6</v>
      </c>
      <c r="CKD347" s="444" t="s">
        <v>1127</v>
      </c>
      <c r="CKE347" s="444">
        <v>6</v>
      </c>
      <c r="CKF347" s="444" t="s">
        <v>1127</v>
      </c>
      <c r="CKG347" s="444">
        <v>6</v>
      </c>
      <c r="CKH347" s="444" t="s">
        <v>1127</v>
      </c>
      <c r="CKI347" s="444">
        <v>6</v>
      </c>
      <c r="CKJ347" s="444" t="s">
        <v>1127</v>
      </c>
      <c r="CKK347" s="444">
        <v>6</v>
      </c>
      <c r="CKL347" s="444" t="s">
        <v>1127</v>
      </c>
      <c r="CKM347" s="444">
        <v>6</v>
      </c>
      <c r="CKN347" s="444" t="s">
        <v>1127</v>
      </c>
      <c r="CKO347" s="444">
        <v>6</v>
      </c>
      <c r="CKP347" s="444" t="s">
        <v>1127</v>
      </c>
      <c r="CKQ347" s="444">
        <v>6</v>
      </c>
      <c r="CKR347" s="444" t="s">
        <v>1127</v>
      </c>
      <c r="CKS347" s="444">
        <v>6</v>
      </c>
      <c r="CKT347" s="444" t="s">
        <v>1127</v>
      </c>
      <c r="CKU347" s="444">
        <v>6</v>
      </c>
      <c r="CKV347" s="444" t="s">
        <v>1127</v>
      </c>
      <c r="CKW347" s="444">
        <v>6</v>
      </c>
      <c r="CKX347" s="444" t="s">
        <v>1127</v>
      </c>
      <c r="CKY347" s="444">
        <v>6</v>
      </c>
      <c r="CKZ347" s="444" t="s">
        <v>1127</v>
      </c>
      <c r="CLA347" s="444">
        <v>6</v>
      </c>
      <c r="CLB347" s="444" t="s">
        <v>1127</v>
      </c>
      <c r="CLC347" s="444">
        <v>6</v>
      </c>
      <c r="CLD347" s="444" t="s">
        <v>1127</v>
      </c>
      <c r="CLE347" s="444">
        <v>6</v>
      </c>
      <c r="CLF347" s="444" t="s">
        <v>1127</v>
      </c>
      <c r="CLG347" s="444">
        <v>6</v>
      </c>
      <c r="CLH347" s="444" t="s">
        <v>1127</v>
      </c>
      <c r="CLI347" s="444">
        <v>6</v>
      </c>
      <c r="CLJ347" s="444" t="s">
        <v>1127</v>
      </c>
      <c r="CLK347" s="444">
        <v>6</v>
      </c>
      <c r="CLL347" s="444" t="s">
        <v>1127</v>
      </c>
      <c r="CLM347" s="444">
        <v>6</v>
      </c>
      <c r="CLN347" s="444" t="s">
        <v>1127</v>
      </c>
      <c r="CLO347" s="444">
        <v>6</v>
      </c>
      <c r="CLP347" s="444" t="s">
        <v>1127</v>
      </c>
      <c r="CLQ347" s="444">
        <v>6</v>
      </c>
      <c r="CLR347" s="444" t="s">
        <v>1127</v>
      </c>
      <c r="CLS347" s="444">
        <v>6</v>
      </c>
      <c r="CLT347" s="444" t="s">
        <v>1127</v>
      </c>
      <c r="CLU347" s="444">
        <v>6</v>
      </c>
      <c r="CLV347" s="444" t="s">
        <v>1127</v>
      </c>
      <c r="CLW347" s="444">
        <v>6</v>
      </c>
      <c r="CLX347" s="444" t="s">
        <v>1127</v>
      </c>
      <c r="CLY347" s="444">
        <v>6</v>
      </c>
      <c r="CLZ347" s="444" t="s">
        <v>1127</v>
      </c>
      <c r="CMA347" s="444">
        <v>6</v>
      </c>
      <c r="CMB347" s="444" t="s">
        <v>1127</v>
      </c>
      <c r="CMC347" s="444">
        <v>6</v>
      </c>
      <c r="CMD347" s="444" t="s">
        <v>1127</v>
      </c>
      <c r="CME347" s="444">
        <v>6</v>
      </c>
      <c r="CMF347" s="444" t="s">
        <v>1127</v>
      </c>
      <c r="CMG347" s="444">
        <v>6</v>
      </c>
      <c r="CMH347" s="444" t="s">
        <v>1127</v>
      </c>
      <c r="CMI347" s="444">
        <v>6</v>
      </c>
      <c r="CMJ347" s="444" t="s">
        <v>1127</v>
      </c>
      <c r="CMK347" s="444">
        <v>6</v>
      </c>
      <c r="CML347" s="444" t="s">
        <v>1127</v>
      </c>
      <c r="CMM347" s="444">
        <v>6</v>
      </c>
      <c r="CMN347" s="444" t="s">
        <v>1127</v>
      </c>
      <c r="CMO347" s="444">
        <v>6</v>
      </c>
      <c r="CMP347" s="444" t="s">
        <v>1127</v>
      </c>
      <c r="CMQ347" s="444">
        <v>6</v>
      </c>
      <c r="CMR347" s="444" t="s">
        <v>1127</v>
      </c>
      <c r="CMS347" s="444">
        <v>6</v>
      </c>
      <c r="CMT347" s="444" t="s">
        <v>1127</v>
      </c>
      <c r="CMU347" s="444">
        <v>6</v>
      </c>
      <c r="CMV347" s="444" t="s">
        <v>1127</v>
      </c>
      <c r="CMW347" s="444">
        <v>6</v>
      </c>
      <c r="CMX347" s="444" t="s">
        <v>1127</v>
      </c>
      <c r="CMY347" s="444">
        <v>6</v>
      </c>
      <c r="CMZ347" s="444" t="s">
        <v>1127</v>
      </c>
      <c r="CNA347" s="444">
        <v>6</v>
      </c>
      <c r="CNB347" s="444" t="s">
        <v>1127</v>
      </c>
      <c r="CNC347" s="444">
        <v>6</v>
      </c>
      <c r="CND347" s="444" t="s">
        <v>1127</v>
      </c>
      <c r="CNE347" s="444">
        <v>6</v>
      </c>
      <c r="CNF347" s="444" t="s">
        <v>1127</v>
      </c>
      <c r="CNG347" s="444">
        <v>6</v>
      </c>
      <c r="CNH347" s="444" t="s">
        <v>1127</v>
      </c>
      <c r="CNI347" s="444">
        <v>6</v>
      </c>
      <c r="CNJ347" s="444" t="s">
        <v>1127</v>
      </c>
      <c r="CNK347" s="444">
        <v>6</v>
      </c>
      <c r="CNL347" s="444" t="s">
        <v>1127</v>
      </c>
      <c r="CNM347" s="444">
        <v>6</v>
      </c>
      <c r="CNN347" s="444" t="s">
        <v>1127</v>
      </c>
      <c r="CNO347" s="444">
        <v>6</v>
      </c>
      <c r="CNP347" s="444" t="s">
        <v>1127</v>
      </c>
      <c r="CNQ347" s="444">
        <v>6</v>
      </c>
      <c r="CNR347" s="444" t="s">
        <v>1127</v>
      </c>
      <c r="CNS347" s="444">
        <v>6</v>
      </c>
      <c r="CNT347" s="444" t="s">
        <v>1127</v>
      </c>
      <c r="CNU347" s="444">
        <v>6</v>
      </c>
      <c r="CNV347" s="444" t="s">
        <v>1127</v>
      </c>
      <c r="CNW347" s="444">
        <v>6</v>
      </c>
      <c r="CNX347" s="444" t="s">
        <v>1127</v>
      </c>
      <c r="CNY347" s="444">
        <v>6</v>
      </c>
      <c r="CNZ347" s="444" t="s">
        <v>1127</v>
      </c>
      <c r="COA347" s="444">
        <v>6</v>
      </c>
      <c r="COB347" s="444" t="s">
        <v>1127</v>
      </c>
      <c r="COC347" s="444">
        <v>6</v>
      </c>
      <c r="COD347" s="444" t="s">
        <v>1127</v>
      </c>
      <c r="COE347" s="444">
        <v>6</v>
      </c>
      <c r="COF347" s="444" t="s">
        <v>1127</v>
      </c>
      <c r="COG347" s="444">
        <v>6</v>
      </c>
      <c r="COH347" s="444" t="s">
        <v>1127</v>
      </c>
      <c r="COI347" s="444">
        <v>6</v>
      </c>
      <c r="COJ347" s="444" t="s">
        <v>1127</v>
      </c>
      <c r="COK347" s="444">
        <v>6</v>
      </c>
      <c r="COL347" s="444" t="s">
        <v>1127</v>
      </c>
      <c r="COM347" s="444">
        <v>6</v>
      </c>
      <c r="CON347" s="444" t="s">
        <v>1127</v>
      </c>
      <c r="COO347" s="444">
        <v>6</v>
      </c>
      <c r="COP347" s="444" t="s">
        <v>1127</v>
      </c>
      <c r="COQ347" s="444">
        <v>6</v>
      </c>
      <c r="COR347" s="444" t="s">
        <v>1127</v>
      </c>
      <c r="COS347" s="444">
        <v>6</v>
      </c>
      <c r="COT347" s="444" t="s">
        <v>1127</v>
      </c>
      <c r="COU347" s="444">
        <v>6</v>
      </c>
      <c r="COV347" s="444" t="s">
        <v>1127</v>
      </c>
      <c r="COW347" s="444">
        <v>6</v>
      </c>
      <c r="COX347" s="444" t="s">
        <v>1127</v>
      </c>
      <c r="COY347" s="444">
        <v>6</v>
      </c>
      <c r="COZ347" s="444" t="s">
        <v>1127</v>
      </c>
      <c r="CPA347" s="444">
        <v>6</v>
      </c>
      <c r="CPB347" s="444" t="s">
        <v>1127</v>
      </c>
      <c r="CPC347" s="444">
        <v>6</v>
      </c>
      <c r="CPD347" s="444" t="s">
        <v>1127</v>
      </c>
      <c r="CPE347" s="444">
        <v>6</v>
      </c>
      <c r="CPF347" s="444" t="s">
        <v>1127</v>
      </c>
      <c r="CPG347" s="444">
        <v>6</v>
      </c>
      <c r="CPH347" s="444" t="s">
        <v>1127</v>
      </c>
      <c r="CPI347" s="444">
        <v>6</v>
      </c>
      <c r="CPJ347" s="444" t="s">
        <v>1127</v>
      </c>
      <c r="CPK347" s="444">
        <v>6</v>
      </c>
      <c r="CPL347" s="444" t="s">
        <v>1127</v>
      </c>
      <c r="CPM347" s="444">
        <v>6</v>
      </c>
      <c r="CPN347" s="444" t="s">
        <v>1127</v>
      </c>
      <c r="CPO347" s="444">
        <v>6</v>
      </c>
      <c r="CPP347" s="444" t="s">
        <v>1127</v>
      </c>
      <c r="CPQ347" s="444">
        <v>6</v>
      </c>
      <c r="CPR347" s="444" t="s">
        <v>1127</v>
      </c>
      <c r="CPS347" s="444">
        <v>6</v>
      </c>
      <c r="CPT347" s="444" t="s">
        <v>1127</v>
      </c>
      <c r="CPU347" s="444">
        <v>6</v>
      </c>
      <c r="CPV347" s="444" t="s">
        <v>1127</v>
      </c>
      <c r="CPW347" s="444">
        <v>6</v>
      </c>
      <c r="CPX347" s="444" t="s">
        <v>1127</v>
      </c>
      <c r="CPY347" s="444">
        <v>6</v>
      </c>
      <c r="CPZ347" s="444" t="s">
        <v>1127</v>
      </c>
      <c r="CQA347" s="444">
        <v>6</v>
      </c>
      <c r="CQB347" s="444" t="s">
        <v>1127</v>
      </c>
      <c r="CQC347" s="444">
        <v>6</v>
      </c>
      <c r="CQD347" s="444" t="s">
        <v>1127</v>
      </c>
      <c r="CQE347" s="444">
        <v>6</v>
      </c>
      <c r="CQF347" s="444" t="s">
        <v>1127</v>
      </c>
      <c r="CQG347" s="444">
        <v>6</v>
      </c>
      <c r="CQH347" s="444" t="s">
        <v>1127</v>
      </c>
      <c r="CQI347" s="444">
        <v>6</v>
      </c>
      <c r="CQJ347" s="444" t="s">
        <v>1127</v>
      </c>
      <c r="CQK347" s="444">
        <v>6</v>
      </c>
      <c r="CQL347" s="444" t="s">
        <v>1127</v>
      </c>
      <c r="CQM347" s="444">
        <v>6</v>
      </c>
      <c r="CQN347" s="444" t="s">
        <v>1127</v>
      </c>
      <c r="CQO347" s="444">
        <v>6</v>
      </c>
      <c r="CQP347" s="444" t="s">
        <v>1127</v>
      </c>
      <c r="CQQ347" s="444">
        <v>6</v>
      </c>
      <c r="CQR347" s="444" t="s">
        <v>1127</v>
      </c>
      <c r="CQS347" s="444">
        <v>6</v>
      </c>
      <c r="CQT347" s="444" t="s">
        <v>1127</v>
      </c>
      <c r="CQU347" s="444">
        <v>6</v>
      </c>
      <c r="CQV347" s="444" t="s">
        <v>1127</v>
      </c>
      <c r="CQW347" s="444">
        <v>6</v>
      </c>
      <c r="CQX347" s="444" t="s">
        <v>1127</v>
      </c>
      <c r="CQY347" s="444">
        <v>6</v>
      </c>
      <c r="CQZ347" s="444" t="s">
        <v>1127</v>
      </c>
      <c r="CRA347" s="444">
        <v>6</v>
      </c>
      <c r="CRB347" s="444" t="s">
        <v>1127</v>
      </c>
      <c r="CRC347" s="444">
        <v>6</v>
      </c>
      <c r="CRD347" s="444" t="s">
        <v>1127</v>
      </c>
      <c r="CRE347" s="444">
        <v>6</v>
      </c>
      <c r="CRF347" s="444" t="s">
        <v>1127</v>
      </c>
      <c r="CRG347" s="444">
        <v>6</v>
      </c>
      <c r="CRH347" s="444" t="s">
        <v>1127</v>
      </c>
      <c r="CRI347" s="444">
        <v>6</v>
      </c>
      <c r="CRJ347" s="444" t="s">
        <v>1127</v>
      </c>
      <c r="CRK347" s="444">
        <v>6</v>
      </c>
      <c r="CRL347" s="444" t="s">
        <v>1127</v>
      </c>
      <c r="CRM347" s="444">
        <v>6</v>
      </c>
      <c r="CRN347" s="444" t="s">
        <v>1127</v>
      </c>
      <c r="CRO347" s="444">
        <v>6</v>
      </c>
      <c r="CRP347" s="444" t="s">
        <v>1127</v>
      </c>
      <c r="CRQ347" s="444">
        <v>6</v>
      </c>
      <c r="CRR347" s="444" t="s">
        <v>1127</v>
      </c>
      <c r="CRS347" s="444">
        <v>6</v>
      </c>
      <c r="CRT347" s="444" t="s">
        <v>1127</v>
      </c>
      <c r="CRU347" s="444">
        <v>6</v>
      </c>
      <c r="CRV347" s="444" t="s">
        <v>1127</v>
      </c>
      <c r="CRW347" s="444">
        <v>6</v>
      </c>
      <c r="CRX347" s="444" t="s">
        <v>1127</v>
      </c>
      <c r="CRY347" s="444">
        <v>6</v>
      </c>
      <c r="CRZ347" s="444" t="s">
        <v>1127</v>
      </c>
      <c r="CSA347" s="444">
        <v>6</v>
      </c>
      <c r="CSB347" s="444" t="s">
        <v>1127</v>
      </c>
      <c r="CSC347" s="444">
        <v>6</v>
      </c>
      <c r="CSD347" s="444" t="s">
        <v>1127</v>
      </c>
      <c r="CSE347" s="444">
        <v>6</v>
      </c>
      <c r="CSF347" s="444" t="s">
        <v>1127</v>
      </c>
      <c r="CSG347" s="444">
        <v>6</v>
      </c>
      <c r="CSH347" s="444" t="s">
        <v>1127</v>
      </c>
      <c r="CSI347" s="444">
        <v>6</v>
      </c>
      <c r="CSJ347" s="444" t="s">
        <v>1127</v>
      </c>
      <c r="CSK347" s="444">
        <v>6</v>
      </c>
      <c r="CSL347" s="444" t="s">
        <v>1127</v>
      </c>
      <c r="CSM347" s="444">
        <v>6</v>
      </c>
      <c r="CSN347" s="444" t="s">
        <v>1127</v>
      </c>
      <c r="CSO347" s="444">
        <v>6</v>
      </c>
      <c r="CSP347" s="444" t="s">
        <v>1127</v>
      </c>
      <c r="CSQ347" s="444">
        <v>6</v>
      </c>
      <c r="CSR347" s="444" t="s">
        <v>1127</v>
      </c>
      <c r="CSS347" s="444">
        <v>6</v>
      </c>
      <c r="CST347" s="444" t="s">
        <v>1127</v>
      </c>
      <c r="CSU347" s="444">
        <v>6</v>
      </c>
      <c r="CSV347" s="444" t="s">
        <v>1127</v>
      </c>
      <c r="CSW347" s="444">
        <v>6</v>
      </c>
      <c r="CSX347" s="444" t="s">
        <v>1127</v>
      </c>
      <c r="CSY347" s="444">
        <v>6</v>
      </c>
      <c r="CSZ347" s="444" t="s">
        <v>1127</v>
      </c>
      <c r="CTA347" s="444">
        <v>6</v>
      </c>
      <c r="CTB347" s="444" t="s">
        <v>1127</v>
      </c>
      <c r="CTC347" s="444">
        <v>6</v>
      </c>
      <c r="CTD347" s="444" t="s">
        <v>1127</v>
      </c>
      <c r="CTE347" s="444">
        <v>6</v>
      </c>
      <c r="CTF347" s="444" t="s">
        <v>1127</v>
      </c>
      <c r="CTG347" s="444">
        <v>6</v>
      </c>
      <c r="CTH347" s="444" t="s">
        <v>1127</v>
      </c>
      <c r="CTI347" s="444">
        <v>6</v>
      </c>
      <c r="CTJ347" s="444" t="s">
        <v>1127</v>
      </c>
      <c r="CTK347" s="444">
        <v>6</v>
      </c>
      <c r="CTL347" s="444" t="s">
        <v>1127</v>
      </c>
      <c r="CTM347" s="444">
        <v>6</v>
      </c>
      <c r="CTN347" s="444" t="s">
        <v>1127</v>
      </c>
      <c r="CTO347" s="444">
        <v>6</v>
      </c>
      <c r="CTP347" s="444" t="s">
        <v>1127</v>
      </c>
      <c r="CTQ347" s="444">
        <v>6</v>
      </c>
      <c r="CTR347" s="444" t="s">
        <v>1127</v>
      </c>
      <c r="CTS347" s="444">
        <v>6</v>
      </c>
      <c r="CTT347" s="444" t="s">
        <v>1127</v>
      </c>
      <c r="CTU347" s="444">
        <v>6</v>
      </c>
      <c r="CTV347" s="444" t="s">
        <v>1127</v>
      </c>
      <c r="CTW347" s="444">
        <v>6</v>
      </c>
      <c r="CTX347" s="444" t="s">
        <v>1127</v>
      </c>
      <c r="CTY347" s="444">
        <v>6</v>
      </c>
      <c r="CTZ347" s="444" t="s">
        <v>1127</v>
      </c>
      <c r="CUA347" s="444">
        <v>6</v>
      </c>
      <c r="CUB347" s="444" t="s">
        <v>1127</v>
      </c>
      <c r="CUC347" s="444">
        <v>6</v>
      </c>
      <c r="CUD347" s="444" t="s">
        <v>1127</v>
      </c>
      <c r="CUE347" s="444">
        <v>6</v>
      </c>
      <c r="CUF347" s="444" t="s">
        <v>1127</v>
      </c>
      <c r="CUG347" s="444">
        <v>6</v>
      </c>
      <c r="CUH347" s="444" t="s">
        <v>1127</v>
      </c>
      <c r="CUI347" s="444">
        <v>6</v>
      </c>
      <c r="CUJ347" s="444" t="s">
        <v>1127</v>
      </c>
      <c r="CUK347" s="444">
        <v>6</v>
      </c>
      <c r="CUL347" s="444" t="s">
        <v>1127</v>
      </c>
      <c r="CUM347" s="444">
        <v>6</v>
      </c>
      <c r="CUN347" s="444" t="s">
        <v>1127</v>
      </c>
      <c r="CUO347" s="444">
        <v>6</v>
      </c>
      <c r="CUP347" s="444" t="s">
        <v>1127</v>
      </c>
      <c r="CUQ347" s="444">
        <v>6</v>
      </c>
      <c r="CUR347" s="444" t="s">
        <v>1127</v>
      </c>
      <c r="CUS347" s="444">
        <v>6</v>
      </c>
      <c r="CUT347" s="444" t="s">
        <v>1127</v>
      </c>
      <c r="CUU347" s="444">
        <v>6</v>
      </c>
      <c r="CUV347" s="444" t="s">
        <v>1127</v>
      </c>
      <c r="CUW347" s="444">
        <v>6</v>
      </c>
      <c r="CUX347" s="444" t="s">
        <v>1127</v>
      </c>
      <c r="CUY347" s="444">
        <v>6</v>
      </c>
      <c r="CUZ347" s="444" t="s">
        <v>1127</v>
      </c>
      <c r="CVA347" s="444">
        <v>6</v>
      </c>
      <c r="CVB347" s="444" t="s">
        <v>1127</v>
      </c>
      <c r="CVC347" s="444">
        <v>6</v>
      </c>
      <c r="CVD347" s="444" t="s">
        <v>1127</v>
      </c>
      <c r="CVE347" s="444">
        <v>6</v>
      </c>
      <c r="CVF347" s="444" t="s">
        <v>1127</v>
      </c>
      <c r="CVG347" s="444">
        <v>6</v>
      </c>
      <c r="CVH347" s="444" t="s">
        <v>1127</v>
      </c>
      <c r="CVI347" s="444">
        <v>6</v>
      </c>
      <c r="CVJ347" s="444" t="s">
        <v>1127</v>
      </c>
      <c r="CVK347" s="444">
        <v>6</v>
      </c>
      <c r="CVL347" s="444" t="s">
        <v>1127</v>
      </c>
      <c r="CVM347" s="444">
        <v>6</v>
      </c>
      <c r="CVN347" s="444" t="s">
        <v>1127</v>
      </c>
      <c r="CVO347" s="444">
        <v>6</v>
      </c>
      <c r="CVP347" s="444" t="s">
        <v>1127</v>
      </c>
      <c r="CVQ347" s="444">
        <v>6</v>
      </c>
      <c r="CVR347" s="444" t="s">
        <v>1127</v>
      </c>
      <c r="CVS347" s="444">
        <v>6</v>
      </c>
      <c r="CVT347" s="444" t="s">
        <v>1127</v>
      </c>
      <c r="CVU347" s="444">
        <v>6</v>
      </c>
      <c r="CVV347" s="444" t="s">
        <v>1127</v>
      </c>
      <c r="CVW347" s="444">
        <v>6</v>
      </c>
      <c r="CVX347" s="444" t="s">
        <v>1127</v>
      </c>
      <c r="CVY347" s="444">
        <v>6</v>
      </c>
      <c r="CVZ347" s="444" t="s">
        <v>1127</v>
      </c>
      <c r="CWA347" s="444">
        <v>6</v>
      </c>
      <c r="CWB347" s="444" t="s">
        <v>1127</v>
      </c>
      <c r="CWC347" s="444">
        <v>6</v>
      </c>
      <c r="CWD347" s="444" t="s">
        <v>1127</v>
      </c>
      <c r="CWE347" s="444">
        <v>6</v>
      </c>
      <c r="CWF347" s="444" t="s">
        <v>1127</v>
      </c>
      <c r="CWG347" s="444">
        <v>6</v>
      </c>
      <c r="CWH347" s="444" t="s">
        <v>1127</v>
      </c>
      <c r="CWI347" s="444">
        <v>6</v>
      </c>
      <c r="CWJ347" s="444" t="s">
        <v>1127</v>
      </c>
      <c r="CWK347" s="444">
        <v>6</v>
      </c>
      <c r="CWL347" s="444" t="s">
        <v>1127</v>
      </c>
      <c r="CWM347" s="444">
        <v>6</v>
      </c>
      <c r="CWN347" s="444" t="s">
        <v>1127</v>
      </c>
      <c r="CWO347" s="444">
        <v>6</v>
      </c>
      <c r="CWP347" s="444" t="s">
        <v>1127</v>
      </c>
      <c r="CWQ347" s="444">
        <v>6</v>
      </c>
      <c r="CWR347" s="444" t="s">
        <v>1127</v>
      </c>
      <c r="CWS347" s="444">
        <v>6</v>
      </c>
      <c r="CWT347" s="444" t="s">
        <v>1127</v>
      </c>
      <c r="CWU347" s="444">
        <v>6</v>
      </c>
      <c r="CWV347" s="444" t="s">
        <v>1127</v>
      </c>
      <c r="CWW347" s="444">
        <v>6</v>
      </c>
      <c r="CWX347" s="444" t="s">
        <v>1127</v>
      </c>
      <c r="CWY347" s="444">
        <v>6</v>
      </c>
      <c r="CWZ347" s="444" t="s">
        <v>1127</v>
      </c>
      <c r="CXA347" s="444">
        <v>6</v>
      </c>
      <c r="CXB347" s="444" t="s">
        <v>1127</v>
      </c>
      <c r="CXC347" s="444">
        <v>6</v>
      </c>
      <c r="CXD347" s="444" t="s">
        <v>1127</v>
      </c>
      <c r="CXE347" s="444">
        <v>6</v>
      </c>
      <c r="CXF347" s="444" t="s">
        <v>1127</v>
      </c>
      <c r="CXG347" s="444">
        <v>6</v>
      </c>
      <c r="CXH347" s="444" t="s">
        <v>1127</v>
      </c>
      <c r="CXI347" s="444">
        <v>6</v>
      </c>
      <c r="CXJ347" s="444" t="s">
        <v>1127</v>
      </c>
      <c r="CXK347" s="444">
        <v>6</v>
      </c>
      <c r="CXL347" s="444" t="s">
        <v>1127</v>
      </c>
      <c r="CXM347" s="444">
        <v>6</v>
      </c>
      <c r="CXN347" s="444" t="s">
        <v>1127</v>
      </c>
      <c r="CXO347" s="444">
        <v>6</v>
      </c>
      <c r="CXP347" s="444" t="s">
        <v>1127</v>
      </c>
      <c r="CXQ347" s="444">
        <v>6</v>
      </c>
      <c r="CXR347" s="444" t="s">
        <v>1127</v>
      </c>
      <c r="CXS347" s="444">
        <v>6</v>
      </c>
      <c r="CXT347" s="444" t="s">
        <v>1127</v>
      </c>
      <c r="CXU347" s="444">
        <v>6</v>
      </c>
      <c r="CXV347" s="444" t="s">
        <v>1127</v>
      </c>
      <c r="CXW347" s="444">
        <v>6</v>
      </c>
      <c r="CXX347" s="444" t="s">
        <v>1127</v>
      </c>
      <c r="CXY347" s="444">
        <v>6</v>
      </c>
      <c r="CXZ347" s="444" t="s">
        <v>1127</v>
      </c>
      <c r="CYA347" s="444">
        <v>6</v>
      </c>
      <c r="CYB347" s="444" t="s">
        <v>1127</v>
      </c>
      <c r="CYC347" s="444">
        <v>6</v>
      </c>
      <c r="CYD347" s="444" t="s">
        <v>1127</v>
      </c>
      <c r="CYE347" s="444">
        <v>6</v>
      </c>
      <c r="CYF347" s="444" t="s">
        <v>1127</v>
      </c>
      <c r="CYG347" s="444">
        <v>6</v>
      </c>
      <c r="CYH347" s="444" t="s">
        <v>1127</v>
      </c>
      <c r="CYI347" s="444">
        <v>6</v>
      </c>
      <c r="CYJ347" s="444" t="s">
        <v>1127</v>
      </c>
      <c r="CYK347" s="444">
        <v>6</v>
      </c>
      <c r="CYL347" s="444" t="s">
        <v>1127</v>
      </c>
      <c r="CYM347" s="444">
        <v>6</v>
      </c>
      <c r="CYN347" s="444" t="s">
        <v>1127</v>
      </c>
      <c r="CYO347" s="444">
        <v>6</v>
      </c>
      <c r="CYP347" s="444" t="s">
        <v>1127</v>
      </c>
      <c r="CYQ347" s="444">
        <v>6</v>
      </c>
      <c r="CYR347" s="444" t="s">
        <v>1127</v>
      </c>
      <c r="CYS347" s="444">
        <v>6</v>
      </c>
      <c r="CYT347" s="444" t="s">
        <v>1127</v>
      </c>
      <c r="CYU347" s="444">
        <v>6</v>
      </c>
      <c r="CYV347" s="444" t="s">
        <v>1127</v>
      </c>
      <c r="CYW347" s="444">
        <v>6</v>
      </c>
      <c r="CYX347" s="444" t="s">
        <v>1127</v>
      </c>
      <c r="CYY347" s="444">
        <v>6</v>
      </c>
      <c r="CYZ347" s="444" t="s">
        <v>1127</v>
      </c>
      <c r="CZA347" s="444">
        <v>6</v>
      </c>
      <c r="CZB347" s="444" t="s">
        <v>1127</v>
      </c>
      <c r="CZC347" s="444">
        <v>6</v>
      </c>
      <c r="CZD347" s="444" t="s">
        <v>1127</v>
      </c>
      <c r="CZE347" s="444">
        <v>6</v>
      </c>
      <c r="CZF347" s="444" t="s">
        <v>1127</v>
      </c>
      <c r="CZG347" s="444">
        <v>6</v>
      </c>
      <c r="CZH347" s="444" t="s">
        <v>1127</v>
      </c>
      <c r="CZI347" s="444">
        <v>6</v>
      </c>
      <c r="CZJ347" s="444" t="s">
        <v>1127</v>
      </c>
      <c r="CZK347" s="444">
        <v>6</v>
      </c>
      <c r="CZL347" s="444" t="s">
        <v>1127</v>
      </c>
      <c r="CZM347" s="444">
        <v>6</v>
      </c>
      <c r="CZN347" s="444" t="s">
        <v>1127</v>
      </c>
      <c r="CZO347" s="444">
        <v>6</v>
      </c>
      <c r="CZP347" s="444" t="s">
        <v>1127</v>
      </c>
      <c r="CZQ347" s="444">
        <v>6</v>
      </c>
      <c r="CZR347" s="444" t="s">
        <v>1127</v>
      </c>
      <c r="CZS347" s="444">
        <v>6</v>
      </c>
      <c r="CZT347" s="444" t="s">
        <v>1127</v>
      </c>
      <c r="CZU347" s="444">
        <v>6</v>
      </c>
      <c r="CZV347" s="444" t="s">
        <v>1127</v>
      </c>
      <c r="CZW347" s="444">
        <v>6</v>
      </c>
      <c r="CZX347" s="444" t="s">
        <v>1127</v>
      </c>
      <c r="CZY347" s="444">
        <v>6</v>
      </c>
      <c r="CZZ347" s="444" t="s">
        <v>1127</v>
      </c>
      <c r="DAA347" s="444">
        <v>6</v>
      </c>
      <c r="DAB347" s="444" t="s">
        <v>1127</v>
      </c>
      <c r="DAC347" s="444">
        <v>6</v>
      </c>
      <c r="DAD347" s="444" t="s">
        <v>1127</v>
      </c>
      <c r="DAE347" s="444">
        <v>6</v>
      </c>
      <c r="DAF347" s="444" t="s">
        <v>1127</v>
      </c>
      <c r="DAG347" s="444">
        <v>6</v>
      </c>
      <c r="DAH347" s="444" t="s">
        <v>1127</v>
      </c>
      <c r="DAI347" s="444">
        <v>6</v>
      </c>
      <c r="DAJ347" s="444" t="s">
        <v>1127</v>
      </c>
      <c r="DAK347" s="444">
        <v>6</v>
      </c>
      <c r="DAL347" s="444" t="s">
        <v>1127</v>
      </c>
      <c r="DAM347" s="444">
        <v>6</v>
      </c>
      <c r="DAN347" s="444" t="s">
        <v>1127</v>
      </c>
      <c r="DAO347" s="444">
        <v>6</v>
      </c>
      <c r="DAP347" s="444" t="s">
        <v>1127</v>
      </c>
      <c r="DAQ347" s="444">
        <v>6</v>
      </c>
      <c r="DAR347" s="444" t="s">
        <v>1127</v>
      </c>
      <c r="DAS347" s="444">
        <v>6</v>
      </c>
      <c r="DAT347" s="444" t="s">
        <v>1127</v>
      </c>
      <c r="DAU347" s="444">
        <v>6</v>
      </c>
      <c r="DAV347" s="444" t="s">
        <v>1127</v>
      </c>
      <c r="DAW347" s="444">
        <v>6</v>
      </c>
      <c r="DAX347" s="444" t="s">
        <v>1127</v>
      </c>
      <c r="DAY347" s="444">
        <v>6</v>
      </c>
      <c r="DAZ347" s="444" t="s">
        <v>1127</v>
      </c>
      <c r="DBA347" s="444">
        <v>6</v>
      </c>
      <c r="DBB347" s="444" t="s">
        <v>1127</v>
      </c>
      <c r="DBC347" s="444">
        <v>6</v>
      </c>
      <c r="DBD347" s="444" t="s">
        <v>1127</v>
      </c>
      <c r="DBE347" s="444">
        <v>6</v>
      </c>
      <c r="DBF347" s="444" t="s">
        <v>1127</v>
      </c>
      <c r="DBG347" s="444">
        <v>6</v>
      </c>
      <c r="DBH347" s="444" t="s">
        <v>1127</v>
      </c>
      <c r="DBI347" s="444">
        <v>6</v>
      </c>
      <c r="DBJ347" s="444" t="s">
        <v>1127</v>
      </c>
      <c r="DBK347" s="444">
        <v>6</v>
      </c>
      <c r="DBL347" s="444" t="s">
        <v>1127</v>
      </c>
      <c r="DBM347" s="444">
        <v>6</v>
      </c>
      <c r="DBN347" s="444" t="s">
        <v>1127</v>
      </c>
      <c r="DBO347" s="444">
        <v>6</v>
      </c>
      <c r="DBP347" s="444" t="s">
        <v>1127</v>
      </c>
      <c r="DBQ347" s="444">
        <v>6</v>
      </c>
      <c r="DBR347" s="444" t="s">
        <v>1127</v>
      </c>
      <c r="DBS347" s="444">
        <v>6</v>
      </c>
      <c r="DBT347" s="444" t="s">
        <v>1127</v>
      </c>
      <c r="DBU347" s="444">
        <v>6</v>
      </c>
      <c r="DBV347" s="444" t="s">
        <v>1127</v>
      </c>
      <c r="DBW347" s="444">
        <v>6</v>
      </c>
      <c r="DBX347" s="444" t="s">
        <v>1127</v>
      </c>
      <c r="DBY347" s="444">
        <v>6</v>
      </c>
      <c r="DBZ347" s="444" t="s">
        <v>1127</v>
      </c>
      <c r="DCA347" s="444">
        <v>6</v>
      </c>
      <c r="DCB347" s="444" t="s">
        <v>1127</v>
      </c>
      <c r="DCC347" s="444">
        <v>6</v>
      </c>
      <c r="DCD347" s="444" t="s">
        <v>1127</v>
      </c>
      <c r="DCE347" s="444">
        <v>6</v>
      </c>
      <c r="DCF347" s="444" t="s">
        <v>1127</v>
      </c>
      <c r="DCG347" s="444">
        <v>6</v>
      </c>
      <c r="DCH347" s="444" t="s">
        <v>1127</v>
      </c>
      <c r="DCI347" s="444">
        <v>6</v>
      </c>
      <c r="DCJ347" s="444" t="s">
        <v>1127</v>
      </c>
      <c r="DCK347" s="444">
        <v>6</v>
      </c>
      <c r="DCL347" s="444" t="s">
        <v>1127</v>
      </c>
      <c r="DCM347" s="444">
        <v>6</v>
      </c>
      <c r="DCN347" s="444" t="s">
        <v>1127</v>
      </c>
      <c r="DCO347" s="444">
        <v>6</v>
      </c>
      <c r="DCP347" s="444" t="s">
        <v>1127</v>
      </c>
      <c r="DCQ347" s="444">
        <v>6</v>
      </c>
      <c r="DCR347" s="444" t="s">
        <v>1127</v>
      </c>
      <c r="DCS347" s="444">
        <v>6</v>
      </c>
      <c r="DCT347" s="444" t="s">
        <v>1127</v>
      </c>
      <c r="DCU347" s="444">
        <v>6</v>
      </c>
      <c r="DCV347" s="444" t="s">
        <v>1127</v>
      </c>
      <c r="DCW347" s="444">
        <v>6</v>
      </c>
      <c r="DCX347" s="444" t="s">
        <v>1127</v>
      </c>
      <c r="DCY347" s="444">
        <v>6</v>
      </c>
      <c r="DCZ347" s="444" t="s">
        <v>1127</v>
      </c>
      <c r="DDA347" s="444">
        <v>6</v>
      </c>
      <c r="DDB347" s="444" t="s">
        <v>1127</v>
      </c>
      <c r="DDC347" s="444">
        <v>6</v>
      </c>
      <c r="DDD347" s="444" t="s">
        <v>1127</v>
      </c>
      <c r="DDE347" s="444">
        <v>6</v>
      </c>
      <c r="DDF347" s="444" t="s">
        <v>1127</v>
      </c>
      <c r="DDG347" s="444">
        <v>6</v>
      </c>
      <c r="DDH347" s="444" t="s">
        <v>1127</v>
      </c>
      <c r="DDI347" s="444">
        <v>6</v>
      </c>
      <c r="DDJ347" s="444" t="s">
        <v>1127</v>
      </c>
      <c r="DDK347" s="444">
        <v>6</v>
      </c>
      <c r="DDL347" s="444" t="s">
        <v>1127</v>
      </c>
      <c r="DDM347" s="444">
        <v>6</v>
      </c>
      <c r="DDN347" s="444" t="s">
        <v>1127</v>
      </c>
      <c r="DDO347" s="444">
        <v>6</v>
      </c>
      <c r="DDP347" s="444" t="s">
        <v>1127</v>
      </c>
      <c r="DDQ347" s="444">
        <v>6</v>
      </c>
      <c r="DDR347" s="444" t="s">
        <v>1127</v>
      </c>
      <c r="DDS347" s="444">
        <v>6</v>
      </c>
      <c r="DDT347" s="444" t="s">
        <v>1127</v>
      </c>
      <c r="DDU347" s="444">
        <v>6</v>
      </c>
      <c r="DDV347" s="444" t="s">
        <v>1127</v>
      </c>
      <c r="DDW347" s="444">
        <v>6</v>
      </c>
      <c r="DDX347" s="444" t="s">
        <v>1127</v>
      </c>
      <c r="DDY347" s="444">
        <v>6</v>
      </c>
      <c r="DDZ347" s="444" t="s">
        <v>1127</v>
      </c>
      <c r="DEA347" s="444">
        <v>6</v>
      </c>
      <c r="DEB347" s="444" t="s">
        <v>1127</v>
      </c>
      <c r="DEC347" s="444">
        <v>6</v>
      </c>
      <c r="DED347" s="444" t="s">
        <v>1127</v>
      </c>
      <c r="DEE347" s="444">
        <v>6</v>
      </c>
      <c r="DEF347" s="444" t="s">
        <v>1127</v>
      </c>
      <c r="DEG347" s="444">
        <v>6</v>
      </c>
      <c r="DEH347" s="444" t="s">
        <v>1127</v>
      </c>
      <c r="DEI347" s="444">
        <v>6</v>
      </c>
      <c r="DEJ347" s="444" t="s">
        <v>1127</v>
      </c>
      <c r="DEK347" s="444">
        <v>6</v>
      </c>
      <c r="DEL347" s="444" t="s">
        <v>1127</v>
      </c>
      <c r="DEM347" s="444">
        <v>6</v>
      </c>
      <c r="DEN347" s="444" t="s">
        <v>1127</v>
      </c>
      <c r="DEO347" s="444">
        <v>6</v>
      </c>
      <c r="DEP347" s="444" t="s">
        <v>1127</v>
      </c>
      <c r="DEQ347" s="444">
        <v>6</v>
      </c>
      <c r="DER347" s="444" t="s">
        <v>1127</v>
      </c>
      <c r="DES347" s="444">
        <v>6</v>
      </c>
      <c r="DET347" s="444" t="s">
        <v>1127</v>
      </c>
      <c r="DEU347" s="444">
        <v>6</v>
      </c>
      <c r="DEV347" s="444" t="s">
        <v>1127</v>
      </c>
      <c r="DEW347" s="444">
        <v>6</v>
      </c>
      <c r="DEX347" s="444" t="s">
        <v>1127</v>
      </c>
      <c r="DEY347" s="444">
        <v>6</v>
      </c>
      <c r="DEZ347" s="444" t="s">
        <v>1127</v>
      </c>
      <c r="DFA347" s="444">
        <v>6</v>
      </c>
      <c r="DFB347" s="444" t="s">
        <v>1127</v>
      </c>
      <c r="DFC347" s="444">
        <v>6</v>
      </c>
      <c r="DFD347" s="444" t="s">
        <v>1127</v>
      </c>
      <c r="DFE347" s="444">
        <v>6</v>
      </c>
      <c r="DFF347" s="444" t="s">
        <v>1127</v>
      </c>
      <c r="DFG347" s="444">
        <v>6</v>
      </c>
      <c r="DFH347" s="444" t="s">
        <v>1127</v>
      </c>
      <c r="DFI347" s="444">
        <v>6</v>
      </c>
      <c r="DFJ347" s="444" t="s">
        <v>1127</v>
      </c>
      <c r="DFK347" s="444">
        <v>6</v>
      </c>
      <c r="DFL347" s="444" t="s">
        <v>1127</v>
      </c>
      <c r="DFM347" s="444">
        <v>6</v>
      </c>
      <c r="DFN347" s="444" t="s">
        <v>1127</v>
      </c>
      <c r="DFO347" s="444">
        <v>6</v>
      </c>
      <c r="DFP347" s="444" t="s">
        <v>1127</v>
      </c>
      <c r="DFQ347" s="444">
        <v>6</v>
      </c>
      <c r="DFR347" s="444" t="s">
        <v>1127</v>
      </c>
      <c r="DFS347" s="444">
        <v>6</v>
      </c>
      <c r="DFT347" s="444" t="s">
        <v>1127</v>
      </c>
      <c r="DFU347" s="444">
        <v>6</v>
      </c>
      <c r="DFV347" s="444" t="s">
        <v>1127</v>
      </c>
      <c r="DFW347" s="444">
        <v>6</v>
      </c>
      <c r="DFX347" s="444" t="s">
        <v>1127</v>
      </c>
      <c r="DFY347" s="444">
        <v>6</v>
      </c>
      <c r="DFZ347" s="444" t="s">
        <v>1127</v>
      </c>
      <c r="DGA347" s="444">
        <v>6</v>
      </c>
      <c r="DGB347" s="444" t="s">
        <v>1127</v>
      </c>
      <c r="DGC347" s="444">
        <v>6</v>
      </c>
      <c r="DGD347" s="444" t="s">
        <v>1127</v>
      </c>
      <c r="DGE347" s="444">
        <v>6</v>
      </c>
      <c r="DGF347" s="444" t="s">
        <v>1127</v>
      </c>
      <c r="DGG347" s="444">
        <v>6</v>
      </c>
      <c r="DGH347" s="444" t="s">
        <v>1127</v>
      </c>
      <c r="DGI347" s="444">
        <v>6</v>
      </c>
      <c r="DGJ347" s="444" t="s">
        <v>1127</v>
      </c>
      <c r="DGK347" s="444">
        <v>6</v>
      </c>
      <c r="DGL347" s="444" t="s">
        <v>1127</v>
      </c>
      <c r="DGM347" s="444">
        <v>6</v>
      </c>
      <c r="DGN347" s="444" t="s">
        <v>1127</v>
      </c>
      <c r="DGO347" s="444">
        <v>6</v>
      </c>
      <c r="DGP347" s="444" t="s">
        <v>1127</v>
      </c>
      <c r="DGQ347" s="444">
        <v>6</v>
      </c>
      <c r="DGR347" s="444" t="s">
        <v>1127</v>
      </c>
      <c r="DGS347" s="444">
        <v>6</v>
      </c>
      <c r="DGT347" s="444" t="s">
        <v>1127</v>
      </c>
      <c r="DGU347" s="444">
        <v>6</v>
      </c>
      <c r="DGV347" s="444" t="s">
        <v>1127</v>
      </c>
      <c r="DGW347" s="444">
        <v>6</v>
      </c>
      <c r="DGX347" s="444" t="s">
        <v>1127</v>
      </c>
      <c r="DGY347" s="444">
        <v>6</v>
      </c>
      <c r="DGZ347" s="444" t="s">
        <v>1127</v>
      </c>
      <c r="DHA347" s="444">
        <v>6</v>
      </c>
      <c r="DHB347" s="444" t="s">
        <v>1127</v>
      </c>
      <c r="DHC347" s="444">
        <v>6</v>
      </c>
      <c r="DHD347" s="444" t="s">
        <v>1127</v>
      </c>
      <c r="DHE347" s="444">
        <v>6</v>
      </c>
      <c r="DHF347" s="444" t="s">
        <v>1127</v>
      </c>
      <c r="DHG347" s="444">
        <v>6</v>
      </c>
      <c r="DHH347" s="444" t="s">
        <v>1127</v>
      </c>
      <c r="DHI347" s="444">
        <v>6</v>
      </c>
      <c r="DHJ347" s="444" t="s">
        <v>1127</v>
      </c>
      <c r="DHK347" s="444">
        <v>6</v>
      </c>
      <c r="DHL347" s="444" t="s">
        <v>1127</v>
      </c>
      <c r="DHM347" s="444">
        <v>6</v>
      </c>
      <c r="DHN347" s="444" t="s">
        <v>1127</v>
      </c>
      <c r="DHO347" s="444">
        <v>6</v>
      </c>
      <c r="DHP347" s="444" t="s">
        <v>1127</v>
      </c>
      <c r="DHQ347" s="444">
        <v>6</v>
      </c>
      <c r="DHR347" s="444" t="s">
        <v>1127</v>
      </c>
      <c r="DHS347" s="444">
        <v>6</v>
      </c>
      <c r="DHT347" s="444" t="s">
        <v>1127</v>
      </c>
      <c r="DHU347" s="444">
        <v>6</v>
      </c>
      <c r="DHV347" s="444" t="s">
        <v>1127</v>
      </c>
      <c r="DHW347" s="444">
        <v>6</v>
      </c>
      <c r="DHX347" s="444" t="s">
        <v>1127</v>
      </c>
      <c r="DHY347" s="444">
        <v>6</v>
      </c>
      <c r="DHZ347" s="444" t="s">
        <v>1127</v>
      </c>
      <c r="DIA347" s="444">
        <v>6</v>
      </c>
      <c r="DIB347" s="444" t="s">
        <v>1127</v>
      </c>
      <c r="DIC347" s="444">
        <v>6</v>
      </c>
      <c r="DID347" s="444" t="s">
        <v>1127</v>
      </c>
      <c r="DIE347" s="444">
        <v>6</v>
      </c>
      <c r="DIF347" s="444" t="s">
        <v>1127</v>
      </c>
      <c r="DIG347" s="444">
        <v>6</v>
      </c>
      <c r="DIH347" s="444" t="s">
        <v>1127</v>
      </c>
      <c r="DII347" s="444">
        <v>6</v>
      </c>
      <c r="DIJ347" s="444" t="s">
        <v>1127</v>
      </c>
      <c r="DIK347" s="444">
        <v>6</v>
      </c>
      <c r="DIL347" s="444" t="s">
        <v>1127</v>
      </c>
      <c r="DIM347" s="444">
        <v>6</v>
      </c>
      <c r="DIN347" s="444" t="s">
        <v>1127</v>
      </c>
      <c r="DIO347" s="444">
        <v>6</v>
      </c>
      <c r="DIP347" s="444" t="s">
        <v>1127</v>
      </c>
      <c r="DIQ347" s="444">
        <v>6</v>
      </c>
      <c r="DIR347" s="444" t="s">
        <v>1127</v>
      </c>
      <c r="DIS347" s="444">
        <v>6</v>
      </c>
      <c r="DIT347" s="444" t="s">
        <v>1127</v>
      </c>
      <c r="DIU347" s="444">
        <v>6</v>
      </c>
      <c r="DIV347" s="444" t="s">
        <v>1127</v>
      </c>
      <c r="DIW347" s="444">
        <v>6</v>
      </c>
      <c r="DIX347" s="444" t="s">
        <v>1127</v>
      </c>
      <c r="DIY347" s="444">
        <v>6</v>
      </c>
      <c r="DIZ347" s="444" t="s">
        <v>1127</v>
      </c>
      <c r="DJA347" s="444">
        <v>6</v>
      </c>
      <c r="DJB347" s="444" t="s">
        <v>1127</v>
      </c>
      <c r="DJC347" s="444">
        <v>6</v>
      </c>
      <c r="DJD347" s="444" t="s">
        <v>1127</v>
      </c>
      <c r="DJE347" s="444">
        <v>6</v>
      </c>
      <c r="DJF347" s="444" t="s">
        <v>1127</v>
      </c>
      <c r="DJG347" s="444">
        <v>6</v>
      </c>
      <c r="DJH347" s="444" t="s">
        <v>1127</v>
      </c>
      <c r="DJI347" s="444">
        <v>6</v>
      </c>
      <c r="DJJ347" s="444" t="s">
        <v>1127</v>
      </c>
      <c r="DJK347" s="444">
        <v>6</v>
      </c>
      <c r="DJL347" s="444" t="s">
        <v>1127</v>
      </c>
      <c r="DJM347" s="444">
        <v>6</v>
      </c>
      <c r="DJN347" s="444" t="s">
        <v>1127</v>
      </c>
      <c r="DJO347" s="444">
        <v>6</v>
      </c>
      <c r="DJP347" s="444" t="s">
        <v>1127</v>
      </c>
      <c r="DJQ347" s="444">
        <v>6</v>
      </c>
      <c r="DJR347" s="444" t="s">
        <v>1127</v>
      </c>
      <c r="DJS347" s="444">
        <v>6</v>
      </c>
      <c r="DJT347" s="444" t="s">
        <v>1127</v>
      </c>
      <c r="DJU347" s="444">
        <v>6</v>
      </c>
      <c r="DJV347" s="444" t="s">
        <v>1127</v>
      </c>
      <c r="DJW347" s="444">
        <v>6</v>
      </c>
      <c r="DJX347" s="444" t="s">
        <v>1127</v>
      </c>
      <c r="DJY347" s="444">
        <v>6</v>
      </c>
      <c r="DJZ347" s="444" t="s">
        <v>1127</v>
      </c>
      <c r="DKA347" s="444">
        <v>6</v>
      </c>
      <c r="DKB347" s="444" t="s">
        <v>1127</v>
      </c>
      <c r="DKC347" s="444">
        <v>6</v>
      </c>
      <c r="DKD347" s="444" t="s">
        <v>1127</v>
      </c>
      <c r="DKE347" s="444">
        <v>6</v>
      </c>
      <c r="DKF347" s="444" t="s">
        <v>1127</v>
      </c>
      <c r="DKG347" s="444">
        <v>6</v>
      </c>
      <c r="DKH347" s="444" t="s">
        <v>1127</v>
      </c>
      <c r="DKI347" s="444">
        <v>6</v>
      </c>
      <c r="DKJ347" s="444" t="s">
        <v>1127</v>
      </c>
      <c r="DKK347" s="444">
        <v>6</v>
      </c>
      <c r="DKL347" s="444" t="s">
        <v>1127</v>
      </c>
      <c r="DKM347" s="444">
        <v>6</v>
      </c>
      <c r="DKN347" s="444" t="s">
        <v>1127</v>
      </c>
      <c r="DKO347" s="444">
        <v>6</v>
      </c>
      <c r="DKP347" s="444" t="s">
        <v>1127</v>
      </c>
      <c r="DKQ347" s="444">
        <v>6</v>
      </c>
      <c r="DKR347" s="444" t="s">
        <v>1127</v>
      </c>
      <c r="DKS347" s="444">
        <v>6</v>
      </c>
      <c r="DKT347" s="444" t="s">
        <v>1127</v>
      </c>
      <c r="DKU347" s="444">
        <v>6</v>
      </c>
      <c r="DKV347" s="444" t="s">
        <v>1127</v>
      </c>
      <c r="DKW347" s="444">
        <v>6</v>
      </c>
      <c r="DKX347" s="444" t="s">
        <v>1127</v>
      </c>
      <c r="DKY347" s="444">
        <v>6</v>
      </c>
      <c r="DKZ347" s="444" t="s">
        <v>1127</v>
      </c>
      <c r="DLA347" s="444">
        <v>6</v>
      </c>
      <c r="DLB347" s="444" t="s">
        <v>1127</v>
      </c>
      <c r="DLC347" s="444">
        <v>6</v>
      </c>
      <c r="DLD347" s="444" t="s">
        <v>1127</v>
      </c>
      <c r="DLE347" s="444">
        <v>6</v>
      </c>
      <c r="DLF347" s="444" t="s">
        <v>1127</v>
      </c>
      <c r="DLG347" s="444">
        <v>6</v>
      </c>
      <c r="DLH347" s="444" t="s">
        <v>1127</v>
      </c>
      <c r="DLI347" s="444">
        <v>6</v>
      </c>
      <c r="DLJ347" s="444" t="s">
        <v>1127</v>
      </c>
      <c r="DLK347" s="444">
        <v>6</v>
      </c>
      <c r="DLL347" s="444" t="s">
        <v>1127</v>
      </c>
      <c r="DLM347" s="444">
        <v>6</v>
      </c>
      <c r="DLN347" s="444" t="s">
        <v>1127</v>
      </c>
      <c r="DLO347" s="444">
        <v>6</v>
      </c>
      <c r="DLP347" s="444" t="s">
        <v>1127</v>
      </c>
      <c r="DLQ347" s="444">
        <v>6</v>
      </c>
      <c r="DLR347" s="444" t="s">
        <v>1127</v>
      </c>
      <c r="DLS347" s="444">
        <v>6</v>
      </c>
      <c r="DLT347" s="444" t="s">
        <v>1127</v>
      </c>
      <c r="DLU347" s="444">
        <v>6</v>
      </c>
      <c r="DLV347" s="444" t="s">
        <v>1127</v>
      </c>
      <c r="DLW347" s="444">
        <v>6</v>
      </c>
      <c r="DLX347" s="444" t="s">
        <v>1127</v>
      </c>
      <c r="DLY347" s="444">
        <v>6</v>
      </c>
      <c r="DLZ347" s="444" t="s">
        <v>1127</v>
      </c>
      <c r="DMA347" s="444">
        <v>6</v>
      </c>
      <c r="DMB347" s="444" t="s">
        <v>1127</v>
      </c>
      <c r="DMC347" s="444">
        <v>6</v>
      </c>
      <c r="DMD347" s="444" t="s">
        <v>1127</v>
      </c>
      <c r="DME347" s="444">
        <v>6</v>
      </c>
      <c r="DMF347" s="444" t="s">
        <v>1127</v>
      </c>
      <c r="DMG347" s="444">
        <v>6</v>
      </c>
      <c r="DMH347" s="444" t="s">
        <v>1127</v>
      </c>
      <c r="DMI347" s="444">
        <v>6</v>
      </c>
      <c r="DMJ347" s="444" t="s">
        <v>1127</v>
      </c>
      <c r="DMK347" s="444">
        <v>6</v>
      </c>
      <c r="DML347" s="444" t="s">
        <v>1127</v>
      </c>
      <c r="DMM347" s="444">
        <v>6</v>
      </c>
      <c r="DMN347" s="444" t="s">
        <v>1127</v>
      </c>
      <c r="DMO347" s="444">
        <v>6</v>
      </c>
      <c r="DMP347" s="444" t="s">
        <v>1127</v>
      </c>
      <c r="DMQ347" s="444">
        <v>6</v>
      </c>
      <c r="DMR347" s="444" t="s">
        <v>1127</v>
      </c>
      <c r="DMS347" s="444">
        <v>6</v>
      </c>
      <c r="DMT347" s="444" t="s">
        <v>1127</v>
      </c>
      <c r="DMU347" s="444">
        <v>6</v>
      </c>
      <c r="DMV347" s="444" t="s">
        <v>1127</v>
      </c>
      <c r="DMW347" s="444">
        <v>6</v>
      </c>
      <c r="DMX347" s="444" t="s">
        <v>1127</v>
      </c>
      <c r="DMY347" s="444">
        <v>6</v>
      </c>
      <c r="DMZ347" s="444" t="s">
        <v>1127</v>
      </c>
      <c r="DNA347" s="444">
        <v>6</v>
      </c>
      <c r="DNB347" s="444" t="s">
        <v>1127</v>
      </c>
      <c r="DNC347" s="444">
        <v>6</v>
      </c>
      <c r="DND347" s="444" t="s">
        <v>1127</v>
      </c>
      <c r="DNE347" s="444">
        <v>6</v>
      </c>
      <c r="DNF347" s="444" t="s">
        <v>1127</v>
      </c>
      <c r="DNG347" s="444">
        <v>6</v>
      </c>
      <c r="DNH347" s="444" t="s">
        <v>1127</v>
      </c>
      <c r="DNI347" s="444">
        <v>6</v>
      </c>
      <c r="DNJ347" s="444" t="s">
        <v>1127</v>
      </c>
      <c r="DNK347" s="444">
        <v>6</v>
      </c>
      <c r="DNL347" s="444" t="s">
        <v>1127</v>
      </c>
      <c r="DNM347" s="444">
        <v>6</v>
      </c>
      <c r="DNN347" s="444" t="s">
        <v>1127</v>
      </c>
      <c r="DNO347" s="444">
        <v>6</v>
      </c>
      <c r="DNP347" s="444" t="s">
        <v>1127</v>
      </c>
      <c r="DNQ347" s="444">
        <v>6</v>
      </c>
      <c r="DNR347" s="444" t="s">
        <v>1127</v>
      </c>
      <c r="DNS347" s="444">
        <v>6</v>
      </c>
      <c r="DNT347" s="444" t="s">
        <v>1127</v>
      </c>
      <c r="DNU347" s="444">
        <v>6</v>
      </c>
      <c r="DNV347" s="444" t="s">
        <v>1127</v>
      </c>
      <c r="DNW347" s="444">
        <v>6</v>
      </c>
      <c r="DNX347" s="444" t="s">
        <v>1127</v>
      </c>
      <c r="DNY347" s="444">
        <v>6</v>
      </c>
      <c r="DNZ347" s="444" t="s">
        <v>1127</v>
      </c>
      <c r="DOA347" s="444">
        <v>6</v>
      </c>
      <c r="DOB347" s="444" t="s">
        <v>1127</v>
      </c>
      <c r="DOC347" s="444">
        <v>6</v>
      </c>
      <c r="DOD347" s="444" t="s">
        <v>1127</v>
      </c>
      <c r="DOE347" s="444">
        <v>6</v>
      </c>
      <c r="DOF347" s="444" t="s">
        <v>1127</v>
      </c>
      <c r="DOG347" s="444">
        <v>6</v>
      </c>
      <c r="DOH347" s="444" t="s">
        <v>1127</v>
      </c>
      <c r="DOI347" s="444">
        <v>6</v>
      </c>
      <c r="DOJ347" s="444" t="s">
        <v>1127</v>
      </c>
      <c r="DOK347" s="444">
        <v>6</v>
      </c>
      <c r="DOL347" s="444" t="s">
        <v>1127</v>
      </c>
      <c r="DOM347" s="444">
        <v>6</v>
      </c>
      <c r="DON347" s="444" t="s">
        <v>1127</v>
      </c>
      <c r="DOO347" s="444">
        <v>6</v>
      </c>
      <c r="DOP347" s="444" t="s">
        <v>1127</v>
      </c>
      <c r="DOQ347" s="444">
        <v>6</v>
      </c>
      <c r="DOR347" s="444" t="s">
        <v>1127</v>
      </c>
      <c r="DOS347" s="444">
        <v>6</v>
      </c>
      <c r="DOT347" s="444" t="s">
        <v>1127</v>
      </c>
      <c r="DOU347" s="444">
        <v>6</v>
      </c>
      <c r="DOV347" s="444" t="s">
        <v>1127</v>
      </c>
      <c r="DOW347" s="444">
        <v>6</v>
      </c>
      <c r="DOX347" s="444" t="s">
        <v>1127</v>
      </c>
      <c r="DOY347" s="444">
        <v>6</v>
      </c>
      <c r="DOZ347" s="444" t="s">
        <v>1127</v>
      </c>
      <c r="DPA347" s="444">
        <v>6</v>
      </c>
      <c r="DPB347" s="444" t="s">
        <v>1127</v>
      </c>
      <c r="DPC347" s="444">
        <v>6</v>
      </c>
      <c r="DPD347" s="444" t="s">
        <v>1127</v>
      </c>
      <c r="DPE347" s="444">
        <v>6</v>
      </c>
      <c r="DPF347" s="444" t="s">
        <v>1127</v>
      </c>
      <c r="DPG347" s="444">
        <v>6</v>
      </c>
      <c r="DPH347" s="444" t="s">
        <v>1127</v>
      </c>
      <c r="DPI347" s="444">
        <v>6</v>
      </c>
      <c r="DPJ347" s="444" t="s">
        <v>1127</v>
      </c>
      <c r="DPK347" s="444">
        <v>6</v>
      </c>
      <c r="DPL347" s="444" t="s">
        <v>1127</v>
      </c>
      <c r="DPM347" s="444">
        <v>6</v>
      </c>
      <c r="DPN347" s="444" t="s">
        <v>1127</v>
      </c>
      <c r="DPO347" s="444">
        <v>6</v>
      </c>
      <c r="DPP347" s="444" t="s">
        <v>1127</v>
      </c>
      <c r="DPQ347" s="444">
        <v>6</v>
      </c>
      <c r="DPR347" s="444" t="s">
        <v>1127</v>
      </c>
      <c r="DPS347" s="444">
        <v>6</v>
      </c>
      <c r="DPT347" s="444" t="s">
        <v>1127</v>
      </c>
      <c r="DPU347" s="444">
        <v>6</v>
      </c>
      <c r="DPV347" s="444" t="s">
        <v>1127</v>
      </c>
      <c r="DPW347" s="444">
        <v>6</v>
      </c>
      <c r="DPX347" s="444" t="s">
        <v>1127</v>
      </c>
      <c r="DPY347" s="444">
        <v>6</v>
      </c>
      <c r="DPZ347" s="444" t="s">
        <v>1127</v>
      </c>
      <c r="DQA347" s="444">
        <v>6</v>
      </c>
      <c r="DQB347" s="444" t="s">
        <v>1127</v>
      </c>
      <c r="DQC347" s="444">
        <v>6</v>
      </c>
      <c r="DQD347" s="444" t="s">
        <v>1127</v>
      </c>
      <c r="DQE347" s="444">
        <v>6</v>
      </c>
      <c r="DQF347" s="444" t="s">
        <v>1127</v>
      </c>
      <c r="DQG347" s="444">
        <v>6</v>
      </c>
      <c r="DQH347" s="444" t="s">
        <v>1127</v>
      </c>
      <c r="DQI347" s="444">
        <v>6</v>
      </c>
      <c r="DQJ347" s="444" t="s">
        <v>1127</v>
      </c>
      <c r="DQK347" s="444">
        <v>6</v>
      </c>
      <c r="DQL347" s="444" t="s">
        <v>1127</v>
      </c>
      <c r="DQM347" s="444">
        <v>6</v>
      </c>
      <c r="DQN347" s="444" t="s">
        <v>1127</v>
      </c>
      <c r="DQO347" s="444">
        <v>6</v>
      </c>
      <c r="DQP347" s="444" t="s">
        <v>1127</v>
      </c>
      <c r="DQQ347" s="444">
        <v>6</v>
      </c>
      <c r="DQR347" s="444" t="s">
        <v>1127</v>
      </c>
      <c r="DQS347" s="444">
        <v>6</v>
      </c>
      <c r="DQT347" s="444" t="s">
        <v>1127</v>
      </c>
      <c r="DQU347" s="444">
        <v>6</v>
      </c>
      <c r="DQV347" s="444" t="s">
        <v>1127</v>
      </c>
      <c r="DQW347" s="444">
        <v>6</v>
      </c>
      <c r="DQX347" s="444" t="s">
        <v>1127</v>
      </c>
      <c r="DQY347" s="444">
        <v>6</v>
      </c>
      <c r="DQZ347" s="444" t="s">
        <v>1127</v>
      </c>
      <c r="DRA347" s="444">
        <v>6</v>
      </c>
      <c r="DRB347" s="444" t="s">
        <v>1127</v>
      </c>
      <c r="DRC347" s="444">
        <v>6</v>
      </c>
      <c r="DRD347" s="444" t="s">
        <v>1127</v>
      </c>
      <c r="DRE347" s="444">
        <v>6</v>
      </c>
      <c r="DRF347" s="444" t="s">
        <v>1127</v>
      </c>
      <c r="DRG347" s="444">
        <v>6</v>
      </c>
      <c r="DRH347" s="444" t="s">
        <v>1127</v>
      </c>
      <c r="DRI347" s="444">
        <v>6</v>
      </c>
      <c r="DRJ347" s="444" t="s">
        <v>1127</v>
      </c>
      <c r="DRK347" s="444">
        <v>6</v>
      </c>
      <c r="DRL347" s="444" t="s">
        <v>1127</v>
      </c>
      <c r="DRM347" s="444">
        <v>6</v>
      </c>
      <c r="DRN347" s="444" t="s">
        <v>1127</v>
      </c>
      <c r="DRO347" s="444">
        <v>6</v>
      </c>
      <c r="DRP347" s="444" t="s">
        <v>1127</v>
      </c>
      <c r="DRQ347" s="444">
        <v>6</v>
      </c>
      <c r="DRR347" s="444" t="s">
        <v>1127</v>
      </c>
      <c r="DRS347" s="444">
        <v>6</v>
      </c>
      <c r="DRT347" s="444" t="s">
        <v>1127</v>
      </c>
      <c r="DRU347" s="444">
        <v>6</v>
      </c>
      <c r="DRV347" s="444" t="s">
        <v>1127</v>
      </c>
      <c r="DRW347" s="444">
        <v>6</v>
      </c>
      <c r="DRX347" s="444" t="s">
        <v>1127</v>
      </c>
      <c r="DRY347" s="444">
        <v>6</v>
      </c>
      <c r="DRZ347" s="444" t="s">
        <v>1127</v>
      </c>
      <c r="DSA347" s="444">
        <v>6</v>
      </c>
      <c r="DSB347" s="444" t="s">
        <v>1127</v>
      </c>
      <c r="DSC347" s="444">
        <v>6</v>
      </c>
      <c r="DSD347" s="444" t="s">
        <v>1127</v>
      </c>
      <c r="DSE347" s="444">
        <v>6</v>
      </c>
      <c r="DSF347" s="444" t="s">
        <v>1127</v>
      </c>
      <c r="DSG347" s="444">
        <v>6</v>
      </c>
      <c r="DSH347" s="444" t="s">
        <v>1127</v>
      </c>
      <c r="DSI347" s="444">
        <v>6</v>
      </c>
      <c r="DSJ347" s="444" t="s">
        <v>1127</v>
      </c>
      <c r="DSK347" s="444">
        <v>6</v>
      </c>
      <c r="DSL347" s="444" t="s">
        <v>1127</v>
      </c>
      <c r="DSM347" s="444">
        <v>6</v>
      </c>
      <c r="DSN347" s="444" t="s">
        <v>1127</v>
      </c>
      <c r="DSO347" s="444">
        <v>6</v>
      </c>
      <c r="DSP347" s="444" t="s">
        <v>1127</v>
      </c>
      <c r="DSQ347" s="444">
        <v>6</v>
      </c>
      <c r="DSR347" s="444" t="s">
        <v>1127</v>
      </c>
      <c r="DSS347" s="444">
        <v>6</v>
      </c>
      <c r="DST347" s="444" t="s">
        <v>1127</v>
      </c>
      <c r="DSU347" s="444">
        <v>6</v>
      </c>
      <c r="DSV347" s="444" t="s">
        <v>1127</v>
      </c>
      <c r="DSW347" s="444">
        <v>6</v>
      </c>
      <c r="DSX347" s="444" t="s">
        <v>1127</v>
      </c>
      <c r="DSY347" s="444">
        <v>6</v>
      </c>
      <c r="DSZ347" s="444" t="s">
        <v>1127</v>
      </c>
      <c r="DTA347" s="444">
        <v>6</v>
      </c>
      <c r="DTB347" s="444" t="s">
        <v>1127</v>
      </c>
      <c r="DTC347" s="444">
        <v>6</v>
      </c>
      <c r="DTD347" s="444" t="s">
        <v>1127</v>
      </c>
      <c r="DTE347" s="444">
        <v>6</v>
      </c>
      <c r="DTF347" s="444" t="s">
        <v>1127</v>
      </c>
      <c r="DTG347" s="444">
        <v>6</v>
      </c>
      <c r="DTH347" s="444" t="s">
        <v>1127</v>
      </c>
      <c r="DTI347" s="444">
        <v>6</v>
      </c>
      <c r="DTJ347" s="444" t="s">
        <v>1127</v>
      </c>
      <c r="DTK347" s="444">
        <v>6</v>
      </c>
      <c r="DTL347" s="444" t="s">
        <v>1127</v>
      </c>
      <c r="DTM347" s="444">
        <v>6</v>
      </c>
      <c r="DTN347" s="444" t="s">
        <v>1127</v>
      </c>
      <c r="DTO347" s="444">
        <v>6</v>
      </c>
      <c r="DTP347" s="444" t="s">
        <v>1127</v>
      </c>
      <c r="DTQ347" s="444">
        <v>6</v>
      </c>
      <c r="DTR347" s="444" t="s">
        <v>1127</v>
      </c>
      <c r="DTS347" s="444">
        <v>6</v>
      </c>
      <c r="DTT347" s="444" t="s">
        <v>1127</v>
      </c>
      <c r="DTU347" s="444">
        <v>6</v>
      </c>
      <c r="DTV347" s="444" t="s">
        <v>1127</v>
      </c>
      <c r="DTW347" s="444">
        <v>6</v>
      </c>
      <c r="DTX347" s="444" t="s">
        <v>1127</v>
      </c>
      <c r="DTY347" s="444">
        <v>6</v>
      </c>
      <c r="DTZ347" s="444" t="s">
        <v>1127</v>
      </c>
      <c r="DUA347" s="444">
        <v>6</v>
      </c>
      <c r="DUB347" s="444" t="s">
        <v>1127</v>
      </c>
      <c r="DUC347" s="444">
        <v>6</v>
      </c>
      <c r="DUD347" s="444" t="s">
        <v>1127</v>
      </c>
      <c r="DUE347" s="444">
        <v>6</v>
      </c>
      <c r="DUF347" s="444" t="s">
        <v>1127</v>
      </c>
      <c r="DUG347" s="444">
        <v>6</v>
      </c>
      <c r="DUH347" s="444" t="s">
        <v>1127</v>
      </c>
      <c r="DUI347" s="444">
        <v>6</v>
      </c>
      <c r="DUJ347" s="444" t="s">
        <v>1127</v>
      </c>
      <c r="DUK347" s="444">
        <v>6</v>
      </c>
      <c r="DUL347" s="444" t="s">
        <v>1127</v>
      </c>
      <c r="DUM347" s="444">
        <v>6</v>
      </c>
      <c r="DUN347" s="444" t="s">
        <v>1127</v>
      </c>
      <c r="DUO347" s="444">
        <v>6</v>
      </c>
      <c r="DUP347" s="444" t="s">
        <v>1127</v>
      </c>
      <c r="DUQ347" s="444">
        <v>6</v>
      </c>
      <c r="DUR347" s="444" t="s">
        <v>1127</v>
      </c>
      <c r="DUS347" s="444">
        <v>6</v>
      </c>
      <c r="DUT347" s="444" t="s">
        <v>1127</v>
      </c>
      <c r="DUU347" s="444">
        <v>6</v>
      </c>
      <c r="DUV347" s="444" t="s">
        <v>1127</v>
      </c>
      <c r="DUW347" s="444">
        <v>6</v>
      </c>
      <c r="DUX347" s="444" t="s">
        <v>1127</v>
      </c>
      <c r="DUY347" s="444">
        <v>6</v>
      </c>
      <c r="DUZ347" s="444" t="s">
        <v>1127</v>
      </c>
      <c r="DVA347" s="444">
        <v>6</v>
      </c>
      <c r="DVB347" s="444" t="s">
        <v>1127</v>
      </c>
      <c r="DVC347" s="444">
        <v>6</v>
      </c>
      <c r="DVD347" s="444" t="s">
        <v>1127</v>
      </c>
      <c r="DVE347" s="444">
        <v>6</v>
      </c>
      <c r="DVF347" s="444" t="s">
        <v>1127</v>
      </c>
      <c r="DVG347" s="444">
        <v>6</v>
      </c>
      <c r="DVH347" s="444" t="s">
        <v>1127</v>
      </c>
      <c r="DVI347" s="444">
        <v>6</v>
      </c>
      <c r="DVJ347" s="444" t="s">
        <v>1127</v>
      </c>
      <c r="DVK347" s="444">
        <v>6</v>
      </c>
      <c r="DVL347" s="444" t="s">
        <v>1127</v>
      </c>
      <c r="DVM347" s="444">
        <v>6</v>
      </c>
      <c r="DVN347" s="444" t="s">
        <v>1127</v>
      </c>
      <c r="DVO347" s="444">
        <v>6</v>
      </c>
      <c r="DVP347" s="444" t="s">
        <v>1127</v>
      </c>
      <c r="DVQ347" s="444">
        <v>6</v>
      </c>
      <c r="DVR347" s="444" t="s">
        <v>1127</v>
      </c>
      <c r="DVS347" s="444">
        <v>6</v>
      </c>
      <c r="DVT347" s="444" t="s">
        <v>1127</v>
      </c>
      <c r="DVU347" s="444">
        <v>6</v>
      </c>
      <c r="DVV347" s="444" t="s">
        <v>1127</v>
      </c>
      <c r="DVW347" s="444">
        <v>6</v>
      </c>
      <c r="DVX347" s="444" t="s">
        <v>1127</v>
      </c>
      <c r="DVY347" s="444">
        <v>6</v>
      </c>
      <c r="DVZ347" s="444" t="s">
        <v>1127</v>
      </c>
      <c r="DWA347" s="444">
        <v>6</v>
      </c>
      <c r="DWB347" s="444" t="s">
        <v>1127</v>
      </c>
      <c r="DWC347" s="444">
        <v>6</v>
      </c>
      <c r="DWD347" s="444" t="s">
        <v>1127</v>
      </c>
      <c r="DWE347" s="444">
        <v>6</v>
      </c>
      <c r="DWF347" s="444" t="s">
        <v>1127</v>
      </c>
      <c r="DWG347" s="444">
        <v>6</v>
      </c>
      <c r="DWH347" s="444" t="s">
        <v>1127</v>
      </c>
      <c r="DWI347" s="444">
        <v>6</v>
      </c>
      <c r="DWJ347" s="444" t="s">
        <v>1127</v>
      </c>
      <c r="DWK347" s="444">
        <v>6</v>
      </c>
      <c r="DWL347" s="444" t="s">
        <v>1127</v>
      </c>
      <c r="DWM347" s="444">
        <v>6</v>
      </c>
      <c r="DWN347" s="444" t="s">
        <v>1127</v>
      </c>
      <c r="DWO347" s="444">
        <v>6</v>
      </c>
      <c r="DWP347" s="444" t="s">
        <v>1127</v>
      </c>
      <c r="DWQ347" s="444">
        <v>6</v>
      </c>
      <c r="DWR347" s="444" t="s">
        <v>1127</v>
      </c>
      <c r="DWS347" s="444">
        <v>6</v>
      </c>
      <c r="DWT347" s="444" t="s">
        <v>1127</v>
      </c>
      <c r="DWU347" s="444">
        <v>6</v>
      </c>
      <c r="DWV347" s="444" t="s">
        <v>1127</v>
      </c>
      <c r="DWW347" s="444">
        <v>6</v>
      </c>
      <c r="DWX347" s="444" t="s">
        <v>1127</v>
      </c>
      <c r="DWY347" s="444">
        <v>6</v>
      </c>
      <c r="DWZ347" s="444" t="s">
        <v>1127</v>
      </c>
      <c r="DXA347" s="444">
        <v>6</v>
      </c>
      <c r="DXB347" s="444" t="s">
        <v>1127</v>
      </c>
      <c r="DXC347" s="444">
        <v>6</v>
      </c>
      <c r="DXD347" s="444" t="s">
        <v>1127</v>
      </c>
      <c r="DXE347" s="444">
        <v>6</v>
      </c>
      <c r="DXF347" s="444" t="s">
        <v>1127</v>
      </c>
      <c r="DXG347" s="444">
        <v>6</v>
      </c>
      <c r="DXH347" s="444" t="s">
        <v>1127</v>
      </c>
      <c r="DXI347" s="444">
        <v>6</v>
      </c>
      <c r="DXJ347" s="444" t="s">
        <v>1127</v>
      </c>
      <c r="DXK347" s="444">
        <v>6</v>
      </c>
      <c r="DXL347" s="444" t="s">
        <v>1127</v>
      </c>
      <c r="DXM347" s="444">
        <v>6</v>
      </c>
      <c r="DXN347" s="444" t="s">
        <v>1127</v>
      </c>
      <c r="DXO347" s="444">
        <v>6</v>
      </c>
      <c r="DXP347" s="444" t="s">
        <v>1127</v>
      </c>
      <c r="DXQ347" s="444">
        <v>6</v>
      </c>
      <c r="DXR347" s="444" t="s">
        <v>1127</v>
      </c>
      <c r="DXS347" s="444">
        <v>6</v>
      </c>
      <c r="DXT347" s="444" t="s">
        <v>1127</v>
      </c>
      <c r="DXU347" s="444">
        <v>6</v>
      </c>
      <c r="DXV347" s="444" t="s">
        <v>1127</v>
      </c>
      <c r="DXW347" s="444">
        <v>6</v>
      </c>
      <c r="DXX347" s="444" t="s">
        <v>1127</v>
      </c>
      <c r="DXY347" s="444">
        <v>6</v>
      </c>
      <c r="DXZ347" s="444" t="s">
        <v>1127</v>
      </c>
      <c r="DYA347" s="444">
        <v>6</v>
      </c>
      <c r="DYB347" s="444" t="s">
        <v>1127</v>
      </c>
      <c r="DYC347" s="444">
        <v>6</v>
      </c>
      <c r="DYD347" s="444" t="s">
        <v>1127</v>
      </c>
      <c r="DYE347" s="444">
        <v>6</v>
      </c>
      <c r="DYF347" s="444" t="s">
        <v>1127</v>
      </c>
      <c r="DYG347" s="444">
        <v>6</v>
      </c>
      <c r="DYH347" s="444" t="s">
        <v>1127</v>
      </c>
      <c r="DYI347" s="444">
        <v>6</v>
      </c>
      <c r="DYJ347" s="444" t="s">
        <v>1127</v>
      </c>
      <c r="DYK347" s="444">
        <v>6</v>
      </c>
      <c r="DYL347" s="444" t="s">
        <v>1127</v>
      </c>
      <c r="DYM347" s="444">
        <v>6</v>
      </c>
      <c r="DYN347" s="444" t="s">
        <v>1127</v>
      </c>
      <c r="DYO347" s="444">
        <v>6</v>
      </c>
      <c r="DYP347" s="444" t="s">
        <v>1127</v>
      </c>
      <c r="DYQ347" s="444">
        <v>6</v>
      </c>
      <c r="DYR347" s="444" t="s">
        <v>1127</v>
      </c>
      <c r="DYS347" s="444">
        <v>6</v>
      </c>
      <c r="DYT347" s="444" t="s">
        <v>1127</v>
      </c>
      <c r="DYU347" s="444">
        <v>6</v>
      </c>
      <c r="DYV347" s="444" t="s">
        <v>1127</v>
      </c>
      <c r="DYW347" s="444">
        <v>6</v>
      </c>
      <c r="DYX347" s="444" t="s">
        <v>1127</v>
      </c>
      <c r="DYY347" s="444">
        <v>6</v>
      </c>
      <c r="DYZ347" s="444" t="s">
        <v>1127</v>
      </c>
      <c r="DZA347" s="444">
        <v>6</v>
      </c>
      <c r="DZB347" s="444" t="s">
        <v>1127</v>
      </c>
      <c r="DZC347" s="444">
        <v>6</v>
      </c>
      <c r="DZD347" s="444" t="s">
        <v>1127</v>
      </c>
      <c r="DZE347" s="444">
        <v>6</v>
      </c>
      <c r="DZF347" s="444" t="s">
        <v>1127</v>
      </c>
      <c r="DZG347" s="444">
        <v>6</v>
      </c>
      <c r="DZH347" s="444" t="s">
        <v>1127</v>
      </c>
      <c r="DZI347" s="444">
        <v>6</v>
      </c>
      <c r="DZJ347" s="444" t="s">
        <v>1127</v>
      </c>
      <c r="DZK347" s="444">
        <v>6</v>
      </c>
      <c r="DZL347" s="444" t="s">
        <v>1127</v>
      </c>
      <c r="DZM347" s="444">
        <v>6</v>
      </c>
      <c r="DZN347" s="444" t="s">
        <v>1127</v>
      </c>
      <c r="DZO347" s="444">
        <v>6</v>
      </c>
      <c r="DZP347" s="444" t="s">
        <v>1127</v>
      </c>
      <c r="DZQ347" s="444">
        <v>6</v>
      </c>
      <c r="DZR347" s="444" t="s">
        <v>1127</v>
      </c>
      <c r="DZS347" s="444">
        <v>6</v>
      </c>
      <c r="DZT347" s="444" t="s">
        <v>1127</v>
      </c>
      <c r="DZU347" s="444">
        <v>6</v>
      </c>
      <c r="DZV347" s="444" t="s">
        <v>1127</v>
      </c>
      <c r="DZW347" s="444">
        <v>6</v>
      </c>
      <c r="DZX347" s="444" t="s">
        <v>1127</v>
      </c>
      <c r="DZY347" s="444">
        <v>6</v>
      </c>
      <c r="DZZ347" s="444" t="s">
        <v>1127</v>
      </c>
      <c r="EAA347" s="444">
        <v>6</v>
      </c>
      <c r="EAB347" s="444" t="s">
        <v>1127</v>
      </c>
      <c r="EAC347" s="444">
        <v>6</v>
      </c>
      <c r="EAD347" s="444" t="s">
        <v>1127</v>
      </c>
      <c r="EAE347" s="444">
        <v>6</v>
      </c>
      <c r="EAF347" s="444" t="s">
        <v>1127</v>
      </c>
      <c r="EAG347" s="444">
        <v>6</v>
      </c>
      <c r="EAH347" s="444" t="s">
        <v>1127</v>
      </c>
      <c r="EAI347" s="444">
        <v>6</v>
      </c>
      <c r="EAJ347" s="444" t="s">
        <v>1127</v>
      </c>
      <c r="EAK347" s="444">
        <v>6</v>
      </c>
      <c r="EAL347" s="444" t="s">
        <v>1127</v>
      </c>
      <c r="EAM347" s="444">
        <v>6</v>
      </c>
      <c r="EAN347" s="444" t="s">
        <v>1127</v>
      </c>
      <c r="EAO347" s="444">
        <v>6</v>
      </c>
      <c r="EAP347" s="444" t="s">
        <v>1127</v>
      </c>
      <c r="EAQ347" s="444">
        <v>6</v>
      </c>
      <c r="EAR347" s="444" t="s">
        <v>1127</v>
      </c>
      <c r="EAS347" s="444">
        <v>6</v>
      </c>
      <c r="EAT347" s="444" t="s">
        <v>1127</v>
      </c>
      <c r="EAU347" s="444">
        <v>6</v>
      </c>
      <c r="EAV347" s="444" t="s">
        <v>1127</v>
      </c>
      <c r="EAW347" s="444">
        <v>6</v>
      </c>
      <c r="EAX347" s="444" t="s">
        <v>1127</v>
      </c>
      <c r="EAY347" s="444">
        <v>6</v>
      </c>
      <c r="EAZ347" s="444" t="s">
        <v>1127</v>
      </c>
      <c r="EBA347" s="444">
        <v>6</v>
      </c>
      <c r="EBB347" s="444" t="s">
        <v>1127</v>
      </c>
      <c r="EBC347" s="444">
        <v>6</v>
      </c>
      <c r="EBD347" s="444" t="s">
        <v>1127</v>
      </c>
      <c r="EBE347" s="444">
        <v>6</v>
      </c>
      <c r="EBF347" s="444" t="s">
        <v>1127</v>
      </c>
      <c r="EBG347" s="444">
        <v>6</v>
      </c>
      <c r="EBH347" s="444" t="s">
        <v>1127</v>
      </c>
      <c r="EBI347" s="444">
        <v>6</v>
      </c>
      <c r="EBJ347" s="444" t="s">
        <v>1127</v>
      </c>
      <c r="EBK347" s="444">
        <v>6</v>
      </c>
      <c r="EBL347" s="444" t="s">
        <v>1127</v>
      </c>
      <c r="EBM347" s="444">
        <v>6</v>
      </c>
      <c r="EBN347" s="444" t="s">
        <v>1127</v>
      </c>
      <c r="EBO347" s="444">
        <v>6</v>
      </c>
      <c r="EBP347" s="444" t="s">
        <v>1127</v>
      </c>
      <c r="EBQ347" s="444">
        <v>6</v>
      </c>
      <c r="EBR347" s="444" t="s">
        <v>1127</v>
      </c>
      <c r="EBS347" s="444">
        <v>6</v>
      </c>
      <c r="EBT347" s="444" t="s">
        <v>1127</v>
      </c>
      <c r="EBU347" s="444">
        <v>6</v>
      </c>
      <c r="EBV347" s="444" t="s">
        <v>1127</v>
      </c>
      <c r="EBW347" s="444">
        <v>6</v>
      </c>
      <c r="EBX347" s="444" t="s">
        <v>1127</v>
      </c>
      <c r="EBY347" s="444">
        <v>6</v>
      </c>
      <c r="EBZ347" s="444" t="s">
        <v>1127</v>
      </c>
      <c r="ECA347" s="444">
        <v>6</v>
      </c>
      <c r="ECB347" s="444" t="s">
        <v>1127</v>
      </c>
      <c r="ECC347" s="444">
        <v>6</v>
      </c>
      <c r="ECD347" s="444" t="s">
        <v>1127</v>
      </c>
      <c r="ECE347" s="444">
        <v>6</v>
      </c>
      <c r="ECF347" s="444" t="s">
        <v>1127</v>
      </c>
      <c r="ECG347" s="444">
        <v>6</v>
      </c>
      <c r="ECH347" s="444" t="s">
        <v>1127</v>
      </c>
      <c r="ECI347" s="444">
        <v>6</v>
      </c>
      <c r="ECJ347" s="444" t="s">
        <v>1127</v>
      </c>
      <c r="ECK347" s="444">
        <v>6</v>
      </c>
      <c r="ECL347" s="444" t="s">
        <v>1127</v>
      </c>
      <c r="ECM347" s="444">
        <v>6</v>
      </c>
      <c r="ECN347" s="444" t="s">
        <v>1127</v>
      </c>
      <c r="ECO347" s="444">
        <v>6</v>
      </c>
      <c r="ECP347" s="444" t="s">
        <v>1127</v>
      </c>
      <c r="ECQ347" s="444">
        <v>6</v>
      </c>
      <c r="ECR347" s="444" t="s">
        <v>1127</v>
      </c>
      <c r="ECS347" s="444">
        <v>6</v>
      </c>
      <c r="ECT347" s="444" t="s">
        <v>1127</v>
      </c>
      <c r="ECU347" s="444">
        <v>6</v>
      </c>
      <c r="ECV347" s="444" t="s">
        <v>1127</v>
      </c>
      <c r="ECW347" s="444">
        <v>6</v>
      </c>
      <c r="ECX347" s="444" t="s">
        <v>1127</v>
      </c>
      <c r="ECY347" s="444">
        <v>6</v>
      </c>
      <c r="ECZ347" s="444" t="s">
        <v>1127</v>
      </c>
      <c r="EDA347" s="444">
        <v>6</v>
      </c>
      <c r="EDB347" s="444" t="s">
        <v>1127</v>
      </c>
      <c r="EDC347" s="444">
        <v>6</v>
      </c>
      <c r="EDD347" s="444" t="s">
        <v>1127</v>
      </c>
      <c r="EDE347" s="444">
        <v>6</v>
      </c>
      <c r="EDF347" s="444" t="s">
        <v>1127</v>
      </c>
      <c r="EDG347" s="444">
        <v>6</v>
      </c>
      <c r="EDH347" s="444" t="s">
        <v>1127</v>
      </c>
      <c r="EDI347" s="444">
        <v>6</v>
      </c>
      <c r="EDJ347" s="444" t="s">
        <v>1127</v>
      </c>
      <c r="EDK347" s="444">
        <v>6</v>
      </c>
      <c r="EDL347" s="444" t="s">
        <v>1127</v>
      </c>
      <c r="EDM347" s="444">
        <v>6</v>
      </c>
      <c r="EDN347" s="444" t="s">
        <v>1127</v>
      </c>
      <c r="EDO347" s="444">
        <v>6</v>
      </c>
      <c r="EDP347" s="444" t="s">
        <v>1127</v>
      </c>
      <c r="EDQ347" s="444">
        <v>6</v>
      </c>
      <c r="EDR347" s="444" t="s">
        <v>1127</v>
      </c>
      <c r="EDS347" s="444">
        <v>6</v>
      </c>
      <c r="EDT347" s="444" t="s">
        <v>1127</v>
      </c>
      <c r="EDU347" s="444">
        <v>6</v>
      </c>
      <c r="EDV347" s="444" t="s">
        <v>1127</v>
      </c>
      <c r="EDW347" s="444">
        <v>6</v>
      </c>
      <c r="EDX347" s="444" t="s">
        <v>1127</v>
      </c>
      <c r="EDY347" s="444">
        <v>6</v>
      </c>
      <c r="EDZ347" s="444" t="s">
        <v>1127</v>
      </c>
      <c r="EEA347" s="444">
        <v>6</v>
      </c>
      <c r="EEB347" s="444" t="s">
        <v>1127</v>
      </c>
      <c r="EEC347" s="444">
        <v>6</v>
      </c>
      <c r="EED347" s="444" t="s">
        <v>1127</v>
      </c>
      <c r="EEE347" s="444">
        <v>6</v>
      </c>
      <c r="EEF347" s="444" t="s">
        <v>1127</v>
      </c>
      <c r="EEG347" s="444">
        <v>6</v>
      </c>
      <c r="EEH347" s="444" t="s">
        <v>1127</v>
      </c>
      <c r="EEI347" s="444">
        <v>6</v>
      </c>
      <c r="EEJ347" s="444" t="s">
        <v>1127</v>
      </c>
      <c r="EEK347" s="444">
        <v>6</v>
      </c>
      <c r="EEL347" s="444" t="s">
        <v>1127</v>
      </c>
      <c r="EEM347" s="444">
        <v>6</v>
      </c>
      <c r="EEN347" s="444" t="s">
        <v>1127</v>
      </c>
      <c r="EEO347" s="444">
        <v>6</v>
      </c>
      <c r="EEP347" s="444" t="s">
        <v>1127</v>
      </c>
      <c r="EEQ347" s="444">
        <v>6</v>
      </c>
      <c r="EER347" s="444" t="s">
        <v>1127</v>
      </c>
      <c r="EES347" s="444">
        <v>6</v>
      </c>
      <c r="EET347" s="444" t="s">
        <v>1127</v>
      </c>
      <c r="EEU347" s="444">
        <v>6</v>
      </c>
      <c r="EEV347" s="444" t="s">
        <v>1127</v>
      </c>
      <c r="EEW347" s="444">
        <v>6</v>
      </c>
      <c r="EEX347" s="444" t="s">
        <v>1127</v>
      </c>
      <c r="EEY347" s="444">
        <v>6</v>
      </c>
      <c r="EEZ347" s="444" t="s">
        <v>1127</v>
      </c>
      <c r="EFA347" s="444">
        <v>6</v>
      </c>
      <c r="EFB347" s="444" t="s">
        <v>1127</v>
      </c>
      <c r="EFC347" s="444">
        <v>6</v>
      </c>
      <c r="EFD347" s="444" t="s">
        <v>1127</v>
      </c>
      <c r="EFE347" s="444">
        <v>6</v>
      </c>
      <c r="EFF347" s="444" t="s">
        <v>1127</v>
      </c>
      <c r="EFG347" s="444">
        <v>6</v>
      </c>
      <c r="EFH347" s="444" t="s">
        <v>1127</v>
      </c>
      <c r="EFI347" s="444">
        <v>6</v>
      </c>
      <c r="EFJ347" s="444" t="s">
        <v>1127</v>
      </c>
      <c r="EFK347" s="444">
        <v>6</v>
      </c>
      <c r="EFL347" s="444" t="s">
        <v>1127</v>
      </c>
      <c r="EFM347" s="444">
        <v>6</v>
      </c>
      <c r="EFN347" s="444" t="s">
        <v>1127</v>
      </c>
      <c r="EFO347" s="444">
        <v>6</v>
      </c>
      <c r="EFP347" s="444" t="s">
        <v>1127</v>
      </c>
      <c r="EFQ347" s="444">
        <v>6</v>
      </c>
      <c r="EFR347" s="444" t="s">
        <v>1127</v>
      </c>
      <c r="EFS347" s="444">
        <v>6</v>
      </c>
      <c r="EFT347" s="444" t="s">
        <v>1127</v>
      </c>
      <c r="EFU347" s="444">
        <v>6</v>
      </c>
      <c r="EFV347" s="444" t="s">
        <v>1127</v>
      </c>
      <c r="EFW347" s="444">
        <v>6</v>
      </c>
      <c r="EFX347" s="444" t="s">
        <v>1127</v>
      </c>
      <c r="EFY347" s="444">
        <v>6</v>
      </c>
      <c r="EFZ347" s="444" t="s">
        <v>1127</v>
      </c>
      <c r="EGA347" s="444">
        <v>6</v>
      </c>
      <c r="EGB347" s="444" t="s">
        <v>1127</v>
      </c>
      <c r="EGC347" s="444">
        <v>6</v>
      </c>
      <c r="EGD347" s="444" t="s">
        <v>1127</v>
      </c>
      <c r="EGE347" s="444">
        <v>6</v>
      </c>
      <c r="EGF347" s="444" t="s">
        <v>1127</v>
      </c>
      <c r="EGG347" s="444">
        <v>6</v>
      </c>
      <c r="EGH347" s="444" t="s">
        <v>1127</v>
      </c>
      <c r="EGI347" s="444">
        <v>6</v>
      </c>
      <c r="EGJ347" s="444" t="s">
        <v>1127</v>
      </c>
      <c r="EGK347" s="444">
        <v>6</v>
      </c>
      <c r="EGL347" s="444" t="s">
        <v>1127</v>
      </c>
      <c r="EGM347" s="444">
        <v>6</v>
      </c>
      <c r="EGN347" s="444" t="s">
        <v>1127</v>
      </c>
      <c r="EGO347" s="444">
        <v>6</v>
      </c>
      <c r="EGP347" s="444" t="s">
        <v>1127</v>
      </c>
      <c r="EGQ347" s="444">
        <v>6</v>
      </c>
      <c r="EGR347" s="444" t="s">
        <v>1127</v>
      </c>
      <c r="EGS347" s="444">
        <v>6</v>
      </c>
      <c r="EGT347" s="444" t="s">
        <v>1127</v>
      </c>
      <c r="EGU347" s="444">
        <v>6</v>
      </c>
      <c r="EGV347" s="444" t="s">
        <v>1127</v>
      </c>
      <c r="EGW347" s="444">
        <v>6</v>
      </c>
      <c r="EGX347" s="444" t="s">
        <v>1127</v>
      </c>
      <c r="EGY347" s="444">
        <v>6</v>
      </c>
      <c r="EGZ347" s="444" t="s">
        <v>1127</v>
      </c>
      <c r="EHA347" s="444">
        <v>6</v>
      </c>
      <c r="EHB347" s="444" t="s">
        <v>1127</v>
      </c>
      <c r="EHC347" s="444">
        <v>6</v>
      </c>
      <c r="EHD347" s="444" t="s">
        <v>1127</v>
      </c>
      <c r="EHE347" s="444">
        <v>6</v>
      </c>
      <c r="EHF347" s="444" t="s">
        <v>1127</v>
      </c>
      <c r="EHG347" s="444">
        <v>6</v>
      </c>
      <c r="EHH347" s="444" t="s">
        <v>1127</v>
      </c>
      <c r="EHI347" s="444">
        <v>6</v>
      </c>
      <c r="EHJ347" s="444" t="s">
        <v>1127</v>
      </c>
      <c r="EHK347" s="444">
        <v>6</v>
      </c>
      <c r="EHL347" s="444" t="s">
        <v>1127</v>
      </c>
      <c r="EHM347" s="444">
        <v>6</v>
      </c>
      <c r="EHN347" s="444" t="s">
        <v>1127</v>
      </c>
      <c r="EHO347" s="444">
        <v>6</v>
      </c>
      <c r="EHP347" s="444" t="s">
        <v>1127</v>
      </c>
      <c r="EHQ347" s="444">
        <v>6</v>
      </c>
      <c r="EHR347" s="444" t="s">
        <v>1127</v>
      </c>
      <c r="EHS347" s="444">
        <v>6</v>
      </c>
      <c r="EHT347" s="444" t="s">
        <v>1127</v>
      </c>
      <c r="EHU347" s="444">
        <v>6</v>
      </c>
      <c r="EHV347" s="444" t="s">
        <v>1127</v>
      </c>
      <c r="EHW347" s="444">
        <v>6</v>
      </c>
      <c r="EHX347" s="444" t="s">
        <v>1127</v>
      </c>
      <c r="EHY347" s="444">
        <v>6</v>
      </c>
      <c r="EHZ347" s="444" t="s">
        <v>1127</v>
      </c>
      <c r="EIA347" s="444">
        <v>6</v>
      </c>
      <c r="EIB347" s="444" t="s">
        <v>1127</v>
      </c>
      <c r="EIC347" s="444">
        <v>6</v>
      </c>
      <c r="EID347" s="444" t="s">
        <v>1127</v>
      </c>
      <c r="EIE347" s="444">
        <v>6</v>
      </c>
      <c r="EIF347" s="444" t="s">
        <v>1127</v>
      </c>
      <c r="EIG347" s="444">
        <v>6</v>
      </c>
      <c r="EIH347" s="444" t="s">
        <v>1127</v>
      </c>
      <c r="EII347" s="444">
        <v>6</v>
      </c>
      <c r="EIJ347" s="444" t="s">
        <v>1127</v>
      </c>
      <c r="EIK347" s="444">
        <v>6</v>
      </c>
      <c r="EIL347" s="444" t="s">
        <v>1127</v>
      </c>
      <c r="EIM347" s="444">
        <v>6</v>
      </c>
      <c r="EIN347" s="444" t="s">
        <v>1127</v>
      </c>
      <c r="EIO347" s="444">
        <v>6</v>
      </c>
      <c r="EIP347" s="444" t="s">
        <v>1127</v>
      </c>
      <c r="EIQ347" s="444">
        <v>6</v>
      </c>
      <c r="EIR347" s="444" t="s">
        <v>1127</v>
      </c>
      <c r="EIS347" s="444">
        <v>6</v>
      </c>
      <c r="EIT347" s="444" t="s">
        <v>1127</v>
      </c>
      <c r="EIU347" s="444">
        <v>6</v>
      </c>
      <c r="EIV347" s="444" t="s">
        <v>1127</v>
      </c>
      <c r="EIW347" s="444">
        <v>6</v>
      </c>
      <c r="EIX347" s="444" t="s">
        <v>1127</v>
      </c>
      <c r="EIY347" s="444">
        <v>6</v>
      </c>
      <c r="EIZ347" s="444" t="s">
        <v>1127</v>
      </c>
      <c r="EJA347" s="444">
        <v>6</v>
      </c>
      <c r="EJB347" s="444" t="s">
        <v>1127</v>
      </c>
      <c r="EJC347" s="444">
        <v>6</v>
      </c>
      <c r="EJD347" s="444" t="s">
        <v>1127</v>
      </c>
      <c r="EJE347" s="444">
        <v>6</v>
      </c>
      <c r="EJF347" s="444" t="s">
        <v>1127</v>
      </c>
      <c r="EJG347" s="444">
        <v>6</v>
      </c>
      <c r="EJH347" s="444" t="s">
        <v>1127</v>
      </c>
      <c r="EJI347" s="444">
        <v>6</v>
      </c>
      <c r="EJJ347" s="444" t="s">
        <v>1127</v>
      </c>
      <c r="EJK347" s="444">
        <v>6</v>
      </c>
      <c r="EJL347" s="444" t="s">
        <v>1127</v>
      </c>
      <c r="EJM347" s="444">
        <v>6</v>
      </c>
      <c r="EJN347" s="444" t="s">
        <v>1127</v>
      </c>
      <c r="EJO347" s="444">
        <v>6</v>
      </c>
      <c r="EJP347" s="444" t="s">
        <v>1127</v>
      </c>
      <c r="EJQ347" s="444">
        <v>6</v>
      </c>
      <c r="EJR347" s="444" t="s">
        <v>1127</v>
      </c>
      <c r="EJS347" s="444">
        <v>6</v>
      </c>
      <c r="EJT347" s="444" t="s">
        <v>1127</v>
      </c>
      <c r="EJU347" s="444">
        <v>6</v>
      </c>
      <c r="EJV347" s="444" t="s">
        <v>1127</v>
      </c>
      <c r="EJW347" s="444">
        <v>6</v>
      </c>
      <c r="EJX347" s="444" t="s">
        <v>1127</v>
      </c>
      <c r="EJY347" s="444">
        <v>6</v>
      </c>
      <c r="EJZ347" s="444" t="s">
        <v>1127</v>
      </c>
      <c r="EKA347" s="444">
        <v>6</v>
      </c>
      <c r="EKB347" s="444" t="s">
        <v>1127</v>
      </c>
      <c r="EKC347" s="444">
        <v>6</v>
      </c>
      <c r="EKD347" s="444" t="s">
        <v>1127</v>
      </c>
      <c r="EKE347" s="444">
        <v>6</v>
      </c>
      <c r="EKF347" s="444" t="s">
        <v>1127</v>
      </c>
      <c r="EKG347" s="444">
        <v>6</v>
      </c>
      <c r="EKH347" s="444" t="s">
        <v>1127</v>
      </c>
      <c r="EKI347" s="444">
        <v>6</v>
      </c>
      <c r="EKJ347" s="444" t="s">
        <v>1127</v>
      </c>
      <c r="EKK347" s="444">
        <v>6</v>
      </c>
      <c r="EKL347" s="444" t="s">
        <v>1127</v>
      </c>
      <c r="EKM347" s="444">
        <v>6</v>
      </c>
      <c r="EKN347" s="444" t="s">
        <v>1127</v>
      </c>
      <c r="EKO347" s="444">
        <v>6</v>
      </c>
      <c r="EKP347" s="444" t="s">
        <v>1127</v>
      </c>
      <c r="EKQ347" s="444">
        <v>6</v>
      </c>
      <c r="EKR347" s="444" t="s">
        <v>1127</v>
      </c>
      <c r="EKS347" s="444">
        <v>6</v>
      </c>
      <c r="EKT347" s="444" t="s">
        <v>1127</v>
      </c>
      <c r="EKU347" s="444">
        <v>6</v>
      </c>
      <c r="EKV347" s="444" t="s">
        <v>1127</v>
      </c>
      <c r="EKW347" s="444">
        <v>6</v>
      </c>
      <c r="EKX347" s="444" t="s">
        <v>1127</v>
      </c>
      <c r="EKY347" s="444">
        <v>6</v>
      </c>
      <c r="EKZ347" s="444" t="s">
        <v>1127</v>
      </c>
      <c r="ELA347" s="444">
        <v>6</v>
      </c>
      <c r="ELB347" s="444" t="s">
        <v>1127</v>
      </c>
      <c r="ELC347" s="444">
        <v>6</v>
      </c>
      <c r="ELD347" s="444" t="s">
        <v>1127</v>
      </c>
      <c r="ELE347" s="444">
        <v>6</v>
      </c>
      <c r="ELF347" s="444" t="s">
        <v>1127</v>
      </c>
      <c r="ELG347" s="444">
        <v>6</v>
      </c>
      <c r="ELH347" s="444" t="s">
        <v>1127</v>
      </c>
      <c r="ELI347" s="444">
        <v>6</v>
      </c>
      <c r="ELJ347" s="444" t="s">
        <v>1127</v>
      </c>
      <c r="ELK347" s="444">
        <v>6</v>
      </c>
      <c r="ELL347" s="444" t="s">
        <v>1127</v>
      </c>
      <c r="ELM347" s="444">
        <v>6</v>
      </c>
      <c r="ELN347" s="444" t="s">
        <v>1127</v>
      </c>
      <c r="ELO347" s="444">
        <v>6</v>
      </c>
      <c r="ELP347" s="444" t="s">
        <v>1127</v>
      </c>
      <c r="ELQ347" s="444">
        <v>6</v>
      </c>
      <c r="ELR347" s="444" t="s">
        <v>1127</v>
      </c>
      <c r="ELS347" s="444">
        <v>6</v>
      </c>
      <c r="ELT347" s="444" t="s">
        <v>1127</v>
      </c>
      <c r="ELU347" s="444">
        <v>6</v>
      </c>
      <c r="ELV347" s="444" t="s">
        <v>1127</v>
      </c>
      <c r="ELW347" s="444">
        <v>6</v>
      </c>
      <c r="ELX347" s="444" t="s">
        <v>1127</v>
      </c>
      <c r="ELY347" s="444">
        <v>6</v>
      </c>
      <c r="ELZ347" s="444" t="s">
        <v>1127</v>
      </c>
      <c r="EMA347" s="444">
        <v>6</v>
      </c>
      <c r="EMB347" s="444" t="s">
        <v>1127</v>
      </c>
      <c r="EMC347" s="444">
        <v>6</v>
      </c>
      <c r="EMD347" s="444" t="s">
        <v>1127</v>
      </c>
      <c r="EME347" s="444">
        <v>6</v>
      </c>
      <c r="EMF347" s="444" t="s">
        <v>1127</v>
      </c>
      <c r="EMG347" s="444">
        <v>6</v>
      </c>
      <c r="EMH347" s="444" t="s">
        <v>1127</v>
      </c>
      <c r="EMI347" s="444">
        <v>6</v>
      </c>
      <c r="EMJ347" s="444" t="s">
        <v>1127</v>
      </c>
      <c r="EMK347" s="444">
        <v>6</v>
      </c>
      <c r="EML347" s="444" t="s">
        <v>1127</v>
      </c>
      <c r="EMM347" s="444">
        <v>6</v>
      </c>
      <c r="EMN347" s="444" t="s">
        <v>1127</v>
      </c>
      <c r="EMO347" s="444">
        <v>6</v>
      </c>
      <c r="EMP347" s="444" t="s">
        <v>1127</v>
      </c>
      <c r="EMQ347" s="444">
        <v>6</v>
      </c>
      <c r="EMR347" s="444" t="s">
        <v>1127</v>
      </c>
      <c r="EMS347" s="444">
        <v>6</v>
      </c>
      <c r="EMT347" s="444" t="s">
        <v>1127</v>
      </c>
      <c r="EMU347" s="444">
        <v>6</v>
      </c>
      <c r="EMV347" s="444" t="s">
        <v>1127</v>
      </c>
      <c r="EMW347" s="444">
        <v>6</v>
      </c>
      <c r="EMX347" s="444" t="s">
        <v>1127</v>
      </c>
      <c r="EMY347" s="444">
        <v>6</v>
      </c>
      <c r="EMZ347" s="444" t="s">
        <v>1127</v>
      </c>
      <c r="ENA347" s="444">
        <v>6</v>
      </c>
      <c r="ENB347" s="444" t="s">
        <v>1127</v>
      </c>
      <c r="ENC347" s="444">
        <v>6</v>
      </c>
      <c r="END347" s="444" t="s">
        <v>1127</v>
      </c>
      <c r="ENE347" s="444">
        <v>6</v>
      </c>
      <c r="ENF347" s="444" t="s">
        <v>1127</v>
      </c>
      <c r="ENG347" s="444">
        <v>6</v>
      </c>
      <c r="ENH347" s="444" t="s">
        <v>1127</v>
      </c>
      <c r="ENI347" s="444">
        <v>6</v>
      </c>
      <c r="ENJ347" s="444" t="s">
        <v>1127</v>
      </c>
      <c r="ENK347" s="444">
        <v>6</v>
      </c>
      <c r="ENL347" s="444" t="s">
        <v>1127</v>
      </c>
      <c r="ENM347" s="444">
        <v>6</v>
      </c>
      <c r="ENN347" s="444" t="s">
        <v>1127</v>
      </c>
      <c r="ENO347" s="444">
        <v>6</v>
      </c>
      <c r="ENP347" s="444" t="s">
        <v>1127</v>
      </c>
      <c r="ENQ347" s="444">
        <v>6</v>
      </c>
      <c r="ENR347" s="444" t="s">
        <v>1127</v>
      </c>
      <c r="ENS347" s="444">
        <v>6</v>
      </c>
      <c r="ENT347" s="444" t="s">
        <v>1127</v>
      </c>
      <c r="ENU347" s="444">
        <v>6</v>
      </c>
      <c r="ENV347" s="444" t="s">
        <v>1127</v>
      </c>
      <c r="ENW347" s="444">
        <v>6</v>
      </c>
      <c r="ENX347" s="444" t="s">
        <v>1127</v>
      </c>
      <c r="ENY347" s="444">
        <v>6</v>
      </c>
      <c r="ENZ347" s="444" t="s">
        <v>1127</v>
      </c>
      <c r="EOA347" s="444">
        <v>6</v>
      </c>
      <c r="EOB347" s="444" t="s">
        <v>1127</v>
      </c>
      <c r="EOC347" s="444">
        <v>6</v>
      </c>
      <c r="EOD347" s="444" t="s">
        <v>1127</v>
      </c>
      <c r="EOE347" s="444">
        <v>6</v>
      </c>
      <c r="EOF347" s="444" t="s">
        <v>1127</v>
      </c>
      <c r="EOG347" s="444">
        <v>6</v>
      </c>
      <c r="EOH347" s="444" t="s">
        <v>1127</v>
      </c>
      <c r="EOI347" s="444">
        <v>6</v>
      </c>
      <c r="EOJ347" s="444" t="s">
        <v>1127</v>
      </c>
      <c r="EOK347" s="444">
        <v>6</v>
      </c>
      <c r="EOL347" s="444" t="s">
        <v>1127</v>
      </c>
      <c r="EOM347" s="444">
        <v>6</v>
      </c>
      <c r="EON347" s="444" t="s">
        <v>1127</v>
      </c>
      <c r="EOO347" s="444">
        <v>6</v>
      </c>
      <c r="EOP347" s="444" t="s">
        <v>1127</v>
      </c>
      <c r="EOQ347" s="444">
        <v>6</v>
      </c>
      <c r="EOR347" s="444" t="s">
        <v>1127</v>
      </c>
      <c r="EOS347" s="444">
        <v>6</v>
      </c>
      <c r="EOT347" s="444" t="s">
        <v>1127</v>
      </c>
      <c r="EOU347" s="444">
        <v>6</v>
      </c>
      <c r="EOV347" s="444" t="s">
        <v>1127</v>
      </c>
      <c r="EOW347" s="444">
        <v>6</v>
      </c>
      <c r="EOX347" s="444" t="s">
        <v>1127</v>
      </c>
      <c r="EOY347" s="444">
        <v>6</v>
      </c>
      <c r="EOZ347" s="444" t="s">
        <v>1127</v>
      </c>
      <c r="EPA347" s="444">
        <v>6</v>
      </c>
      <c r="EPB347" s="444" t="s">
        <v>1127</v>
      </c>
      <c r="EPC347" s="444">
        <v>6</v>
      </c>
      <c r="EPD347" s="444" t="s">
        <v>1127</v>
      </c>
      <c r="EPE347" s="444">
        <v>6</v>
      </c>
      <c r="EPF347" s="444" t="s">
        <v>1127</v>
      </c>
      <c r="EPG347" s="444">
        <v>6</v>
      </c>
      <c r="EPH347" s="444" t="s">
        <v>1127</v>
      </c>
      <c r="EPI347" s="444">
        <v>6</v>
      </c>
      <c r="EPJ347" s="444" t="s">
        <v>1127</v>
      </c>
      <c r="EPK347" s="444">
        <v>6</v>
      </c>
      <c r="EPL347" s="444" t="s">
        <v>1127</v>
      </c>
      <c r="EPM347" s="444">
        <v>6</v>
      </c>
      <c r="EPN347" s="444" t="s">
        <v>1127</v>
      </c>
      <c r="EPO347" s="444">
        <v>6</v>
      </c>
      <c r="EPP347" s="444" t="s">
        <v>1127</v>
      </c>
      <c r="EPQ347" s="444">
        <v>6</v>
      </c>
      <c r="EPR347" s="444" t="s">
        <v>1127</v>
      </c>
      <c r="EPS347" s="444">
        <v>6</v>
      </c>
      <c r="EPT347" s="444" t="s">
        <v>1127</v>
      </c>
      <c r="EPU347" s="444">
        <v>6</v>
      </c>
      <c r="EPV347" s="444" t="s">
        <v>1127</v>
      </c>
      <c r="EPW347" s="444">
        <v>6</v>
      </c>
      <c r="EPX347" s="444" t="s">
        <v>1127</v>
      </c>
      <c r="EPY347" s="444">
        <v>6</v>
      </c>
      <c r="EPZ347" s="444" t="s">
        <v>1127</v>
      </c>
      <c r="EQA347" s="444">
        <v>6</v>
      </c>
      <c r="EQB347" s="444" t="s">
        <v>1127</v>
      </c>
      <c r="EQC347" s="444">
        <v>6</v>
      </c>
      <c r="EQD347" s="444" t="s">
        <v>1127</v>
      </c>
      <c r="EQE347" s="444">
        <v>6</v>
      </c>
      <c r="EQF347" s="444" t="s">
        <v>1127</v>
      </c>
      <c r="EQG347" s="444">
        <v>6</v>
      </c>
      <c r="EQH347" s="444" t="s">
        <v>1127</v>
      </c>
      <c r="EQI347" s="444">
        <v>6</v>
      </c>
      <c r="EQJ347" s="444" t="s">
        <v>1127</v>
      </c>
      <c r="EQK347" s="444">
        <v>6</v>
      </c>
      <c r="EQL347" s="444" t="s">
        <v>1127</v>
      </c>
      <c r="EQM347" s="444">
        <v>6</v>
      </c>
      <c r="EQN347" s="444" t="s">
        <v>1127</v>
      </c>
      <c r="EQO347" s="444">
        <v>6</v>
      </c>
      <c r="EQP347" s="444" t="s">
        <v>1127</v>
      </c>
      <c r="EQQ347" s="444">
        <v>6</v>
      </c>
      <c r="EQR347" s="444" t="s">
        <v>1127</v>
      </c>
      <c r="EQS347" s="444">
        <v>6</v>
      </c>
      <c r="EQT347" s="444" t="s">
        <v>1127</v>
      </c>
      <c r="EQU347" s="444">
        <v>6</v>
      </c>
      <c r="EQV347" s="444" t="s">
        <v>1127</v>
      </c>
      <c r="EQW347" s="444">
        <v>6</v>
      </c>
      <c r="EQX347" s="444" t="s">
        <v>1127</v>
      </c>
      <c r="EQY347" s="444">
        <v>6</v>
      </c>
      <c r="EQZ347" s="444" t="s">
        <v>1127</v>
      </c>
      <c r="ERA347" s="444">
        <v>6</v>
      </c>
      <c r="ERB347" s="444" t="s">
        <v>1127</v>
      </c>
      <c r="ERC347" s="444">
        <v>6</v>
      </c>
      <c r="ERD347" s="444" t="s">
        <v>1127</v>
      </c>
      <c r="ERE347" s="444">
        <v>6</v>
      </c>
      <c r="ERF347" s="444" t="s">
        <v>1127</v>
      </c>
      <c r="ERG347" s="444">
        <v>6</v>
      </c>
      <c r="ERH347" s="444" t="s">
        <v>1127</v>
      </c>
      <c r="ERI347" s="444">
        <v>6</v>
      </c>
      <c r="ERJ347" s="444" t="s">
        <v>1127</v>
      </c>
      <c r="ERK347" s="444">
        <v>6</v>
      </c>
      <c r="ERL347" s="444" t="s">
        <v>1127</v>
      </c>
      <c r="ERM347" s="444">
        <v>6</v>
      </c>
      <c r="ERN347" s="444" t="s">
        <v>1127</v>
      </c>
      <c r="ERO347" s="444">
        <v>6</v>
      </c>
      <c r="ERP347" s="444" t="s">
        <v>1127</v>
      </c>
      <c r="ERQ347" s="444">
        <v>6</v>
      </c>
      <c r="ERR347" s="444" t="s">
        <v>1127</v>
      </c>
      <c r="ERS347" s="444">
        <v>6</v>
      </c>
      <c r="ERT347" s="444" t="s">
        <v>1127</v>
      </c>
      <c r="ERU347" s="444">
        <v>6</v>
      </c>
      <c r="ERV347" s="444" t="s">
        <v>1127</v>
      </c>
      <c r="ERW347" s="444">
        <v>6</v>
      </c>
      <c r="ERX347" s="444" t="s">
        <v>1127</v>
      </c>
      <c r="ERY347" s="444">
        <v>6</v>
      </c>
      <c r="ERZ347" s="444" t="s">
        <v>1127</v>
      </c>
      <c r="ESA347" s="444">
        <v>6</v>
      </c>
      <c r="ESB347" s="444" t="s">
        <v>1127</v>
      </c>
      <c r="ESC347" s="444">
        <v>6</v>
      </c>
      <c r="ESD347" s="444" t="s">
        <v>1127</v>
      </c>
      <c r="ESE347" s="444">
        <v>6</v>
      </c>
      <c r="ESF347" s="444" t="s">
        <v>1127</v>
      </c>
      <c r="ESG347" s="444">
        <v>6</v>
      </c>
      <c r="ESH347" s="444" t="s">
        <v>1127</v>
      </c>
      <c r="ESI347" s="444">
        <v>6</v>
      </c>
      <c r="ESJ347" s="444" t="s">
        <v>1127</v>
      </c>
      <c r="ESK347" s="444">
        <v>6</v>
      </c>
      <c r="ESL347" s="444" t="s">
        <v>1127</v>
      </c>
      <c r="ESM347" s="444">
        <v>6</v>
      </c>
      <c r="ESN347" s="444" t="s">
        <v>1127</v>
      </c>
      <c r="ESO347" s="444">
        <v>6</v>
      </c>
      <c r="ESP347" s="444" t="s">
        <v>1127</v>
      </c>
      <c r="ESQ347" s="444">
        <v>6</v>
      </c>
      <c r="ESR347" s="444" t="s">
        <v>1127</v>
      </c>
      <c r="ESS347" s="444">
        <v>6</v>
      </c>
      <c r="EST347" s="444" t="s">
        <v>1127</v>
      </c>
      <c r="ESU347" s="444">
        <v>6</v>
      </c>
      <c r="ESV347" s="444" t="s">
        <v>1127</v>
      </c>
      <c r="ESW347" s="444">
        <v>6</v>
      </c>
      <c r="ESX347" s="444" t="s">
        <v>1127</v>
      </c>
      <c r="ESY347" s="444">
        <v>6</v>
      </c>
      <c r="ESZ347" s="444" t="s">
        <v>1127</v>
      </c>
      <c r="ETA347" s="444">
        <v>6</v>
      </c>
      <c r="ETB347" s="444" t="s">
        <v>1127</v>
      </c>
      <c r="ETC347" s="444">
        <v>6</v>
      </c>
      <c r="ETD347" s="444" t="s">
        <v>1127</v>
      </c>
      <c r="ETE347" s="444">
        <v>6</v>
      </c>
      <c r="ETF347" s="444" t="s">
        <v>1127</v>
      </c>
      <c r="ETG347" s="444">
        <v>6</v>
      </c>
      <c r="ETH347" s="444" t="s">
        <v>1127</v>
      </c>
      <c r="ETI347" s="444">
        <v>6</v>
      </c>
      <c r="ETJ347" s="444" t="s">
        <v>1127</v>
      </c>
      <c r="ETK347" s="444">
        <v>6</v>
      </c>
      <c r="ETL347" s="444" t="s">
        <v>1127</v>
      </c>
      <c r="ETM347" s="444">
        <v>6</v>
      </c>
      <c r="ETN347" s="444" t="s">
        <v>1127</v>
      </c>
      <c r="ETO347" s="444">
        <v>6</v>
      </c>
      <c r="ETP347" s="444" t="s">
        <v>1127</v>
      </c>
      <c r="ETQ347" s="444">
        <v>6</v>
      </c>
      <c r="ETR347" s="444" t="s">
        <v>1127</v>
      </c>
      <c r="ETS347" s="444">
        <v>6</v>
      </c>
      <c r="ETT347" s="444" t="s">
        <v>1127</v>
      </c>
      <c r="ETU347" s="444">
        <v>6</v>
      </c>
      <c r="ETV347" s="444" t="s">
        <v>1127</v>
      </c>
      <c r="ETW347" s="444">
        <v>6</v>
      </c>
      <c r="ETX347" s="444" t="s">
        <v>1127</v>
      </c>
      <c r="ETY347" s="444">
        <v>6</v>
      </c>
      <c r="ETZ347" s="444" t="s">
        <v>1127</v>
      </c>
      <c r="EUA347" s="444">
        <v>6</v>
      </c>
      <c r="EUB347" s="444" t="s">
        <v>1127</v>
      </c>
      <c r="EUC347" s="444">
        <v>6</v>
      </c>
      <c r="EUD347" s="444" t="s">
        <v>1127</v>
      </c>
      <c r="EUE347" s="444">
        <v>6</v>
      </c>
      <c r="EUF347" s="444" t="s">
        <v>1127</v>
      </c>
      <c r="EUG347" s="444">
        <v>6</v>
      </c>
      <c r="EUH347" s="444" t="s">
        <v>1127</v>
      </c>
      <c r="EUI347" s="444">
        <v>6</v>
      </c>
      <c r="EUJ347" s="444" t="s">
        <v>1127</v>
      </c>
      <c r="EUK347" s="444">
        <v>6</v>
      </c>
      <c r="EUL347" s="444" t="s">
        <v>1127</v>
      </c>
      <c r="EUM347" s="444">
        <v>6</v>
      </c>
      <c r="EUN347" s="444" t="s">
        <v>1127</v>
      </c>
      <c r="EUO347" s="444">
        <v>6</v>
      </c>
      <c r="EUP347" s="444" t="s">
        <v>1127</v>
      </c>
      <c r="EUQ347" s="444">
        <v>6</v>
      </c>
      <c r="EUR347" s="444" t="s">
        <v>1127</v>
      </c>
      <c r="EUS347" s="444">
        <v>6</v>
      </c>
      <c r="EUT347" s="444" t="s">
        <v>1127</v>
      </c>
      <c r="EUU347" s="444">
        <v>6</v>
      </c>
      <c r="EUV347" s="444" t="s">
        <v>1127</v>
      </c>
      <c r="EUW347" s="444">
        <v>6</v>
      </c>
      <c r="EUX347" s="444" t="s">
        <v>1127</v>
      </c>
      <c r="EUY347" s="444">
        <v>6</v>
      </c>
      <c r="EUZ347" s="444" t="s">
        <v>1127</v>
      </c>
      <c r="EVA347" s="444">
        <v>6</v>
      </c>
      <c r="EVB347" s="444" t="s">
        <v>1127</v>
      </c>
      <c r="EVC347" s="444">
        <v>6</v>
      </c>
      <c r="EVD347" s="444" t="s">
        <v>1127</v>
      </c>
      <c r="EVE347" s="444">
        <v>6</v>
      </c>
      <c r="EVF347" s="444" t="s">
        <v>1127</v>
      </c>
      <c r="EVG347" s="444">
        <v>6</v>
      </c>
      <c r="EVH347" s="444" t="s">
        <v>1127</v>
      </c>
      <c r="EVI347" s="444">
        <v>6</v>
      </c>
      <c r="EVJ347" s="444" t="s">
        <v>1127</v>
      </c>
      <c r="EVK347" s="444">
        <v>6</v>
      </c>
      <c r="EVL347" s="444" t="s">
        <v>1127</v>
      </c>
      <c r="EVM347" s="444">
        <v>6</v>
      </c>
      <c r="EVN347" s="444" t="s">
        <v>1127</v>
      </c>
      <c r="EVO347" s="444">
        <v>6</v>
      </c>
      <c r="EVP347" s="444" t="s">
        <v>1127</v>
      </c>
      <c r="EVQ347" s="444">
        <v>6</v>
      </c>
      <c r="EVR347" s="444" t="s">
        <v>1127</v>
      </c>
      <c r="EVS347" s="444">
        <v>6</v>
      </c>
      <c r="EVT347" s="444" t="s">
        <v>1127</v>
      </c>
      <c r="EVU347" s="444">
        <v>6</v>
      </c>
      <c r="EVV347" s="444" t="s">
        <v>1127</v>
      </c>
      <c r="EVW347" s="444">
        <v>6</v>
      </c>
      <c r="EVX347" s="444" t="s">
        <v>1127</v>
      </c>
      <c r="EVY347" s="444">
        <v>6</v>
      </c>
      <c r="EVZ347" s="444" t="s">
        <v>1127</v>
      </c>
      <c r="EWA347" s="444">
        <v>6</v>
      </c>
      <c r="EWB347" s="444" t="s">
        <v>1127</v>
      </c>
      <c r="EWC347" s="444">
        <v>6</v>
      </c>
      <c r="EWD347" s="444" t="s">
        <v>1127</v>
      </c>
      <c r="EWE347" s="444">
        <v>6</v>
      </c>
      <c r="EWF347" s="444" t="s">
        <v>1127</v>
      </c>
      <c r="EWG347" s="444">
        <v>6</v>
      </c>
      <c r="EWH347" s="444" t="s">
        <v>1127</v>
      </c>
      <c r="EWI347" s="444">
        <v>6</v>
      </c>
      <c r="EWJ347" s="444" t="s">
        <v>1127</v>
      </c>
      <c r="EWK347" s="444">
        <v>6</v>
      </c>
      <c r="EWL347" s="444" t="s">
        <v>1127</v>
      </c>
      <c r="EWM347" s="444">
        <v>6</v>
      </c>
      <c r="EWN347" s="444" t="s">
        <v>1127</v>
      </c>
      <c r="EWO347" s="444">
        <v>6</v>
      </c>
      <c r="EWP347" s="444" t="s">
        <v>1127</v>
      </c>
      <c r="EWQ347" s="444">
        <v>6</v>
      </c>
      <c r="EWR347" s="444" t="s">
        <v>1127</v>
      </c>
      <c r="EWS347" s="444">
        <v>6</v>
      </c>
      <c r="EWT347" s="444" t="s">
        <v>1127</v>
      </c>
      <c r="EWU347" s="444">
        <v>6</v>
      </c>
      <c r="EWV347" s="444" t="s">
        <v>1127</v>
      </c>
      <c r="EWW347" s="444">
        <v>6</v>
      </c>
      <c r="EWX347" s="444" t="s">
        <v>1127</v>
      </c>
      <c r="EWY347" s="444">
        <v>6</v>
      </c>
      <c r="EWZ347" s="444" t="s">
        <v>1127</v>
      </c>
      <c r="EXA347" s="444">
        <v>6</v>
      </c>
      <c r="EXB347" s="444" t="s">
        <v>1127</v>
      </c>
      <c r="EXC347" s="444">
        <v>6</v>
      </c>
      <c r="EXD347" s="444" t="s">
        <v>1127</v>
      </c>
      <c r="EXE347" s="444">
        <v>6</v>
      </c>
      <c r="EXF347" s="444" t="s">
        <v>1127</v>
      </c>
      <c r="EXG347" s="444">
        <v>6</v>
      </c>
      <c r="EXH347" s="444" t="s">
        <v>1127</v>
      </c>
      <c r="EXI347" s="444">
        <v>6</v>
      </c>
      <c r="EXJ347" s="444" t="s">
        <v>1127</v>
      </c>
      <c r="EXK347" s="444">
        <v>6</v>
      </c>
      <c r="EXL347" s="444" t="s">
        <v>1127</v>
      </c>
      <c r="EXM347" s="444">
        <v>6</v>
      </c>
      <c r="EXN347" s="444" t="s">
        <v>1127</v>
      </c>
      <c r="EXO347" s="444">
        <v>6</v>
      </c>
      <c r="EXP347" s="444" t="s">
        <v>1127</v>
      </c>
      <c r="EXQ347" s="444">
        <v>6</v>
      </c>
      <c r="EXR347" s="444" t="s">
        <v>1127</v>
      </c>
      <c r="EXS347" s="444">
        <v>6</v>
      </c>
      <c r="EXT347" s="444" t="s">
        <v>1127</v>
      </c>
      <c r="EXU347" s="444">
        <v>6</v>
      </c>
      <c r="EXV347" s="444" t="s">
        <v>1127</v>
      </c>
      <c r="EXW347" s="444">
        <v>6</v>
      </c>
      <c r="EXX347" s="444" t="s">
        <v>1127</v>
      </c>
      <c r="EXY347" s="444">
        <v>6</v>
      </c>
      <c r="EXZ347" s="444" t="s">
        <v>1127</v>
      </c>
      <c r="EYA347" s="444">
        <v>6</v>
      </c>
      <c r="EYB347" s="444" t="s">
        <v>1127</v>
      </c>
      <c r="EYC347" s="444">
        <v>6</v>
      </c>
      <c r="EYD347" s="444" t="s">
        <v>1127</v>
      </c>
      <c r="EYE347" s="444">
        <v>6</v>
      </c>
      <c r="EYF347" s="444" t="s">
        <v>1127</v>
      </c>
      <c r="EYG347" s="444">
        <v>6</v>
      </c>
      <c r="EYH347" s="444" t="s">
        <v>1127</v>
      </c>
      <c r="EYI347" s="444">
        <v>6</v>
      </c>
      <c r="EYJ347" s="444" t="s">
        <v>1127</v>
      </c>
      <c r="EYK347" s="444">
        <v>6</v>
      </c>
      <c r="EYL347" s="444" t="s">
        <v>1127</v>
      </c>
      <c r="EYM347" s="444">
        <v>6</v>
      </c>
      <c r="EYN347" s="444" t="s">
        <v>1127</v>
      </c>
      <c r="EYO347" s="444">
        <v>6</v>
      </c>
      <c r="EYP347" s="444" t="s">
        <v>1127</v>
      </c>
      <c r="EYQ347" s="444">
        <v>6</v>
      </c>
      <c r="EYR347" s="444" t="s">
        <v>1127</v>
      </c>
      <c r="EYS347" s="444">
        <v>6</v>
      </c>
      <c r="EYT347" s="444" t="s">
        <v>1127</v>
      </c>
      <c r="EYU347" s="444">
        <v>6</v>
      </c>
      <c r="EYV347" s="444" t="s">
        <v>1127</v>
      </c>
      <c r="EYW347" s="444">
        <v>6</v>
      </c>
      <c r="EYX347" s="444" t="s">
        <v>1127</v>
      </c>
      <c r="EYY347" s="444">
        <v>6</v>
      </c>
      <c r="EYZ347" s="444" t="s">
        <v>1127</v>
      </c>
      <c r="EZA347" s="444">
        <v>6</v>
      </c>
      <c r="EZB347" s="444" t="s">
        <v>1127</v>
      </c>
      <c r="EZC347" s="444">
        <v>6</v>
      </c>
      <c r="EZD347" s="444" t="s">
        <v>1127</v>
      </c>
      <c r="EZE347" s="444">
        <v>6</v>
      </c>
      <c r="EZF347" s="444" t="s">
        <v>1127</v>
      </c>
      <c r="EZG347" s="444">
        <v>6</v>
      </c>
      <c r="EZH347" s="444" t="s">
        <v>1127</v>
      </c>
      <c r="EZI347" s="444">
        <v>6</v>
      </c>
      <c r="EZJ347" s="444" t="s">
        <v>1127</v>
      </c>
      <c r="EZK347" s="444">
        <v>6</v>
      </c>
      <c r="EZL347" s="444" t="s">
        <v>1127</v>
      </c>
      <c r="EZM347" s="444">
        <v>6</v>
      </c>
      <c r="EZN347" s="444" t="s">
        <v>1127</v>
      </c>
      <c r="EZO347" s="444">
        <v>6</v>
      </c>
      <c r="EZP347" s="444" t="s">
        <v>1127</v>
      </c>
      <c r="EZQ347" s="444">
        <v>6</v>
      </c>
      <c r="EZR347" s="444" t="s">
        <v>1127</v>
      </c>
      <c r="EZS347" s="444">
        <v>6</v>
      </c>
      <c r="EZT347" s="444" t="s">
        <v>1127</v>
      </c>
      <c r="EZU347" s="444">
        <v>6</v>
      </c>
      <c r="EZV347" s="444" t="s">
        <v>1127</v>
      </c>
      <c r="EZW347" s="444">
        <v>6</v>
      </c>
      <c r="EZX347" s="444" t="s">
        <v>1127</v>
      </c>
      <c r="EZY347" s="444">
        <v>6</v>
      </c>
      <c r="EZZ347" s="444" t="s">
        <v>1127</v>
      </c>
      <c r="FAA347" s="444">
        <v>6</v>
      </c>
      <c r="FAB347" s="444" t="s">
        <v>1127</v>
      </c>
      <c r="FAC347" s="444">
        <v>6</v>
      </c>
      <c r="FAD347" s="444" t="s">
        <v>1127</v>
      </c>
      <c r="FAE347" s="444">
        <v>6</v>
      </c>
      <c r="FAF347" s="444" t="s">
        <v>1127</v>
      </c>
      <c r="FAG347" s="444">
        <v>6</v>
      </c>
      <c r="FAH347" s="444" t="s">
        <v>1127</v>
      </c>
      <c r="FAI347" s="444">
        <v>6</v>
      </c>
      <c r="FAJ347" s="444" t="s">
        <v>1127</v>
      </c>
      <c r="FAK347" s="444">
        <v>6</v>
      </c>
      <c r="FAL347" s="444" t="s">
        <v>1127</v>
      </c>
      <c r="FAM347" s="444">
        <v>6</v>
      </c>
      <c r="FAN347" s="444" t="s">
        <v>1127</v>
      </c>
      <c r="FAO347" s="444">
        <v>6</v>
      </c>
      <c r="FAP347" s="444" t="s">
        <v>1127</v>
      </c>
      <c r="FAQ347" s="444">
        <v>6</v>
      </c>
      <c r="FAR347" s="444" t="s">
        <v>1127</v>
      </c>
      <c r="FAS347" s="444">
        <v>6</v>
      </c>
      <c r="FAT347" s="444" t="s">
        <v>1127</v>
      </c>
      <c r="FAU347" s="444">
        <v>6</v>
      </c>
      <c r="FAV347" s="444" t="s">
        <v>1127</v>
      </c>
      <c r="FAW347" s="444">
        <v>6</v>
      </c>
      <c r="FAX347" s="444" t="s">
        <v>1127</v>
      </c>
      <c r="FAY347" s="444">
        <v>6</v>
      </c>
      <c r="FAZ347" s="444" t="s">
        <v>1127</v>
      </c>
      <c r="FBA347" s="444">
        <v>6</v>
      </c>
      <c r="FBB347" s="444" t="s">
        <v>1127</v>
      </c>
      <c r="FBC347" s="444">
        <v>6</v>
      </c>
      <c r="FBD347" s="444" t="s">
        <v>1127</v>
      </c>
      <c r="FBE347" s="444">
        <v>6</v>
      </c>
      <c r="FBF347" s="444" t="s">
        <v>1127</v>
      </c>
      <c r="FBG347" s="444">
        <v>6</v>
      </c>
      <c r="FBH347" s="444" t="s">
        <v>1127</v>
      </c>
      <c r="FBI347" s="444">
        <v>6</v>
      </c>
      <c r="FBJ347" s="444" t="s">
        <v>1127</v>
      </c>
      <c r="FBK347" s="444">
        <v>6</v>
      </c>
      <c r="FBL347" s="444" t="s">
        <v>1127</v>
      </c>
      <c r="FBM347" s="444">
        <v>6</v>
      </c>
      <c r="FBN347" s="444" t="s">
        <v>1127</v>
      </c>
      <c r="FBO347" s="444">
        <v>6</v>
      </c>
      <c r="FBP347" s="444" t="s">
        <v>1127</v>
      </c>
      <c r="FBQ347" s="444">
        <v>6</v>
      </c>
      <c r="FBR347" s="444" t="s">
        <v>1127</v>
      </c>
      <c r="FBS347" s="444">
        <v>6</v>
      </c>
      <c r="FBT347" s="444" t="s">
        <v>1127</v>
      </c>
      <c r="FBU347" s="444">
        <v>6</v>
      </c>
      <c r="FBV347" s="444" t="s">
        <v>1127</v>
      </c>
      <c r="FBW347" s="444">
        <v>6</v>
      </c>
      <c r="FBX347" s="444" t="s">
        <v>1127</v>
      </c>
      <c r="FBY347" s="444">
        <v>6</v>
      </c>
      <c r="FBZ347" s="444" t="s">
        <v>1127</v>
      </c>
      <c r="FCA347" s="444">
        <v>6</v>
      </c>
      <c r="FCB347" s="444" t="s">
        <v>1127</v>
      </c>
      <c r="FCC347" s="444">
        <v>6</v>
      </c>
      <c r="FCD347" s="444" t="s">
        <v>1127</v>
      </c>
      <c r="FCE347" s="444">
        <v>6</v>
      </c>
      <c r="FCF347" s="444" t="s">
        <v>1127</v>
      </c>
      <c r="FCG347" s="444">
        <v>6</v>
      </c>
      <c r="FCH347" s="444" t="s">
        <v>1127</v>
      </c>
      <c r="FCI347" s="444">
        <v>6</v>
      </c>
      <c r="FCJ347" s="444" t="s">
        <v>1127</v>
      </c>
      <c r="FCK347" s="444">
        <v>6</v>
      </c>
      <c r="FCL347" s="444" t="s">
        <v>1127</v>
      </c>
      <c r="FCM347" s="444">
        <v>6</v>
      </c>
      <c r="FCN347" s="444" t="s">
        <v>1127</v>
      </c>
      <c r="FCO347" s="444">
        <v>6</v>
      </c>
      <c r="FCP347" s="444" t="s">
        <v>1127</v>
      </c>
      <c r="FCQ347" s="444">
        <v>6</v>
      </c>
      <c r="FCR347" s="444" t="s">
        <v>1127</v>
      </c>
      <c r="FCS347" s="444">
        <v>6</v>
      </c>
      <c r="FCT347" s="444" t="s">
        <v>1127</v>
      </c>
      <c r="FCU347" s="444">
        <v>6</v>
      </c>
      <c r="FCV347" s="444" t="s">
        <v>1127</v>
      </c>
      <c r="FCW347" s="444">
        <v>6</v>
      </c>
      <c r="FCX347" s="444" t="s">
        <v>1127</v>
      </c>
      <c r="FCY347" s="444">
        <v>6</v>
      </c>
      <c r="FCZ347" s="444" t="s">
        <v>1127</v>
      </c>
      <c r="FDA347" s="444">
        <v>6</v>
      </c>
      <c r="FDB347" s="444" t="s">
        <v>1127</v>
      </c>
      <c r="FDC347" s="444">
        <v>6</v>
      </c>
      <c r="FDD347" s="444" t="s">
        <v>1127</v>
      </c>
      <c r="FDE347" s="444">
        <v>6</v>
      </c>
      <c r="FDF347" s="444" t="s">
        <v>1127</v>
      </c>
      <c r="FDG347" s="444">
        <v>6</v>
      </c>
      <c r="FDH347" s="444" t="s">
        <v>1127</v>
      </c>
      <c r="FDI347" s="444">
        <v>6</v>
      </c>
      <c r="FDJ347" s="444" t="s">
        <v>1127</v>
      </c>
      <c r="FDK347" s="444">
        <v>6</v>
      </c>
      <c r="FDL347" s="444" t="s">
        <v>1127</v>
      </c>
      <c r="FDM347" s="444">
        <v>6</v>
      </c>
      <c r="FDN347" s="444" t="s">
        <v>1127</v>
      </c>
      <c r="FDO347" s="444">
        <v>6</v>
      </c>
      <c r="FDP347" s="444" t="s">
        <v>1127</v>
      </c>
      <c r="FDQ347" s="444">
        <v>6</v>
      </c>
      <c r="FDR347" s="444" t="s">
        <v>1127</v>
      </c>
      <c r="FDS347" s="444">
        <v>6</v>
      </c>
      <c r="FDT347" s="444" t="s">
        <v>1127</v>
      </c>
      <c r="FDU347" s="444">
        <v>6</v>
      </c>
      <c r="FDV347" s="444" t="s">
        <v>1127</v>
      </c>
      <c r="FDW347" s="444">
        <v>6</v>
      </c>
      <c r="FDX347" s="444" t="s">
        <v>1127</v>
      </c>
      <c r="FDY347" s="444">
        <v>6</v>
      </c>
      <c r="FDZ347" s="444" t="s">
        <v>1127</v>
      </c>
      <c r="FEA347" s="444">
        <v>6</v>
      </c>
      <c r="FEB347" s="444" t="s">
        <v>1127</v>
      </c>
      <c r="FEC347" s="444">
        <v>6</v>
      </c>
      <c r="FED347" s="444" t="s">
        <v>1127</v>
      </c>
      <c r="FEE347" s="444">
        <v>6</v>
      </c>
      <c r="FEF347" s="444" t="s">
        <v>1127</v>
      </c>
      <c r="FEG347" s="444">
        <v>6</v>
      </c>
      <c r="FEH347" s="444" t="s">
        <v>1127</v>
      </c>
      <c r="FEI347" s="444">
        <v>6</v>
      </c>
      <c r="FEJ347" s="444" t="s">
        <v>1127</v>
      </c>
      <c r="FEK347" s="444">
        <v>6</v>
      </c>
      <c r="FEL347" s="444" t="s">
        <v>1127</v>
      </c>
      <c r="FEM347" s="444">
        <v>6</v>
      </c>
      <c r="FEN347" s="444" t="s">
        <v>1127</v>
      </c>
      <c r="FEO347" s="444">
        <v>6</v>
      </c>
      <c r="FEP347" s="444" t="s">
        <v>1127</v>
      </c>
      <c r="FEQ347" s="444">
        <v>6</v>
      </c>
      <c r="FER347" s="444" t="s">
        <v>1127</v>
      </c>
      <c r="FES347" s="444">
        <v>6</v>
      </c>
      <c r="FET347" s="444" t="s">
        <v>1127</v>
      </c>
      <c r="FEU347" s="444">
        <v>6</v>
      </c>
      <c r="FEV347" s="444" t="s">
        <v>1127</v>
      </c>
      <c r="FEW347" s="444">
        <v>6</v>
      </c>
      <c r="FEX347" s="444" t="s">
        <v>1127</v>
      </c>
      <c r="FEY347" s="444">
        <v>6</v>
      </c>
      <c r="FEZ347" s="444" t="s">
        <v>1127</v>
      </c>
      <c r="FFA347" s="444">
        <v>6</v>
      </c>
      <c r="FFB347" s="444" t="s">
        <v>1127</v>
      </c>
      <c r="FFC347" s="444">
        <v>6</v>
      </c>
      <c r="FFD347" s="444" t="s">
        <v>1127</v>
      </c>
      <c r="FFE347" s="444">
        <v>6</v>
      </c>
      <c r="FFF347" s="444" t="s">
        <v>1127</v>
      </c>
      <c r="FFG347" s="444">
        <v>6</v>
      </c>
      <c r="FFH347" s="444" t="s">
        <v>1127</v>
      </c>
      <c r="FFI347" s="444">
        <v>6</v>
      </c>
      <c r="FFJ347" s="444" t="s">
        <v>1127</v>
      </c>
      <c r="FFK347" s="444">
        <v>6</v>
      </c>
      <c r="FFL347" s="444" t="s">
        <v>1127</v>
      </c>
      <c r="FFM347" s="444">
        <v>6</v>
      </c>
      <c r="FFN347" s="444" t="s">
        <v>1127</v>
      </c>
      <c r="FFO347" s="444">
        <v>6</v>
      </c>
      <c r="FFP347" s="444" t="s">
        <v>1127</v>
      </c>
      <c r="FFQ347" s="444">
        <v>6</v>
      </c>
      <c r="FFR347" s="444" t="s">
        <v>1127</v>
      </c>
      <c r="FFS347" s="444">
        <v>6</v>
      </c>
      <c r="FFT347" s="444" t="s">
        <v>1127</v>
      </c>
      <c r="FFU347" s="444">
        <v>6</v>
      </c>
      <c r="FFV347" s="444" t="s">
        <v>1127</v>
      </c>
      <c r="FFW347" s="444">
        <v>6</v>
      </c>
      <c r="FFX347" s="444" t="s">
        <v>1127</v>
      </c>
      <c r="FFY347" s="444">
        <v>6</v>
      </c>
      <c r="FFZ347" s="444" t="s">
        <v>1127</v>
      </c>
      <c r="FGA347" s="444">
        <v>6</v>
      </c>
      <c r="FGB347" s="444" t="s">
        <v>1127</v>
      </c>
      <c r="FGC347" s="444">
        <v>6</v>
      </c>
      <c r="FGD347" s="444" t="s">
        <v>1127</v>
      </c>
      <c r="FGE347" s="444">
        <v>6</v>
      </c>
      <c r="FGF347" s="444" t="s">
        <v>1127</v>
      </c>
      <c r="FGG347" s="444">
        <v>6</v>
      </c>
      <c r="FGH347" s="444" t="s">
        <v>1127</v>
      </c>
      <c r="FGI347" s="444">
        <v>6</v>
      </c>
      <c r="FGJ347" s="444" t="s">
        <v>1127</v>
      </c>
      <c r="FGK347" s="444">
        <v>6</v>
      </c>
      <c r="FGL347" s="444" t="s">
        <v>1127</v>
      </c>
      <c r="FGM347" s="444">
        <v>6</v>
      </c>
      <c r="FGN347" s="444" t="s">
        <v>1127</v>
      </c>
      <c r="FGO347" s="444">
        <v>6</v>
      </c>
      <c r="FGP347" s="444" t="s">
        <v>1127</v>
      </c>
      <c r="FGQ347" s="444">
        <v>6</v>
      </c>
      <c r="FGR347" s="444" t="s">
        <v>1127</v>
      </c>
      <c r="FGS347" s="444">
        <v>6</v>
      </c>
      <c r="FGT347" s="444" t="s">
        <v>1127</v>
      </c>
      <c r="FGU347" s="444">
        <v>6</v>
      </c>
      <c r="FGV347" s="444" t="s">
        <v>1127</v>
      </c>
      <c r="FGW347" s="444">
        <v>6</v>
      </c>
      <c r="FGX347" s="444" t="s">
        <v>1127</v>
      </c>
      <c r="FGY347" s="444">
        <v>6</v>
      </c>
      <c r="FGZ347" s="444" t="s">
        <v>1127</v>
      </c>
      <c r="FHA347" s="444">
        <v>6</v>
      </c>
      <c r="FHB347" s="444" t="s">
        <v>1127</v>
      </c>
      <c r="FHC347" s="444">
        <v>6</v>
      </c>
      <c r="FHD347" s="444" t="s">
        <v>1127</v>
      </c>
      <c r="FHE347" s="444">
        <v>6</v>
      </c>
      <c r="FHF347" s="444" t="s">
        <v>1127</v>
      </c>
      <c r="FHG347" s="444">
        <v>6</v>
      </c>
      <c r="FHH347" s="444" t="s">
        <v>1127</v>
      </c>
      <c r="FHI347" s="444">
        <v>6</v>
      </c>
      <c r="FHJ347" s="444" t="s">
        <v>1127</v>
      </c>
      <c r="FHK347" s="444">
        <v>6</v>
      </c>
      <c r="FHL347" s="444" t="s">
        <v>1127</v>
      </c>
      <c r="FHM347" s="444">
        <v>6</v>
      </c>
      <c r="FHN347" s="444" t="s">
        <v>1127</v>
      </c>
      <c r="FHO347" s="444">
        <v>6</v>
      </c>
      <c r="FHP347" s="444" t="s">
        <v>1127</v>
      </c>
      <c r="FHQ347" s="444">
        <v>6</v>
      </c>
      <c r="FHR347" s="444" t="s">
        <v>1127</v>
      </c>
      <c r="FHS347" s="444">
        <v>6</v>
      </c>
      <c r="FHT347" s="444" t="s">
        <v>1127</v>
      </c>
      <c r="FHU347" s="444">
        <v>6</v>
      </c>
      <c r="FHV347" s="444" t="s">
        <v>1127</v>
      </c>
      <c r="FHW347" s="444">
        <v>6</v>
      </c>
      <c r="FHX347" s="444" t="s">
        <v>1127</v>
      </c>
      <c r="FHY347" s="444">
        <v>6</v>
      </c>
      <c r="FHZ347" s="444" t="s">
        <v>1127</v>
      </c>
      <c r="FIA347" s="444">
        <v>6</v>
      </c>
      <c r="FIB347" s="444" t="s">
        <v>1127</v>
      </c>
      <c r="FIC347" s="444">
        <v>6</v>
      </c>
      <c r="FID347" s="444" t="s">
        <v>1127</v>
      </c>
      <c r="FIE347" s="444">
        <v>6</v>
      </c>
      <c r="FIF347" s="444" t="s">
        <v>1127</v>
      </c>
      <c r="FIG347" s="444">
        <v>6</v>
      </c>
      <c r="FIH347" s="444" t="s">
        <v>1127</v>
      </c>
      <c r="FII347" s="444">
        <v>6</v>
      </c>
      <c r="FIJ347" s="444" t="s">
        <v>1127</v>
      </c>
      <c r="FIK347" s="444">
        <v>6</v>
      </c>
      <c r="FIL347" s="444" t="s">
        <v>1127</v>
      </c>
      <c r="FIM347" s="444">
        <v>6</v>
      </c>
      <c r="FIN347" s="444" t="s">
        <v>1127</v>
      </c>
      <c r="FIO347" s="444">
        <v>6</v>
      </c>
      <c r="FIP347" s="444" t="s">
        <v>1127</v>
      </c>
      <c r="FIQ347" s="444">
        <v>6</v>
      </c>
      <c r="FIR347" s="444" t="s">
        <v>1127</v>
      </c>
      <c r="FIS347" s="444">
        <v>6</v>
      </c>
      <c r="FIT347" s="444" t="s">
        <v>1127</v>
      </c>
      <c r="FIU347" s="444">
        <v>6</v>
      </c>
      <c r="FIV347" s="444" t="s">
        <v>1127</v>
      </c>
      <c r="FIW347" s="444">
        <v>6</v>
      </c>
      <c r="FIX347" s="444" t="s">
        <v>1127</v>
      </c>
      <c r="FIY347" s="444">
        <v>6</v>
      </c>
      <c r="FIZ347" s="444" t="s">
        <v>1127</v>
      </c>
      <c r="FJA347" s="444">
        <v>6</v>
      </c>
      <c r="FJB347" s="444" t="s">
        <v>1127</v>
      </c>
      <c r="FJC347" s="444">
        <v>6</v>
      </c>
      <c r="FJD347" s="444" t="s">
        <v>1127</v>
      </c>
      <c r="FJE347" s="444">
        <v>6</v>
      </c>
      <c r="FJF347" s="444" t="s">
        <v>1127</v>
      </c>
      <c r="FJG347" s="444">
        <v>6</v>
      </c>
      <c r="FJH347" s="444" t="s">
        <v>1127</v>
      </c>
      <c r="FJI347" s="444">
        <v>6</v>
      </c>
      <c r="FJJ347" s="444" t="s">
        <v>1127</v>
      </c>
      <c r="FJK347" s="444">
        <v>6</v>
      </c>
      <c r="FJL347" s="444" t="s">
        <v>1127</v>
      </c>
      <c r="FJM347" s="444">
        <v>6</v>
      </c>
      <c r="FJN347" s="444" t="s">
        <v>1127</v>
      </c>
      <c r="FJO347" s="444">
        <v>6</v>
      </c>
      <c r="FJP347" s="444" t="s">
        <v>1127</v>
      </c>
      <c r="FJQ347" s="444">
        <v>6</v>
      </c>
      <c r="FJR347" s="444" t="s">
        <v>1127</v>
      </c>
      <c r="FJS347" s="444">
        <v>6</v>
      </c>
      <c r="FJT347" s="444" t="s">
        <v>1127</v>
      </c>
      <c r="FJU347" s="444">
        <v>6</v>
      </c>
      <c r="FJV347" s="444" t="s">
        <v>1127</v>
      </c>
      <c r="FJW347" s="444">
        <v>6</v>
      </c>
      <c r="FJX347" s="444" t="s">
        <v>1127</v>
      </c>
      <c r="FJY347" s="444">
        <v>6</v>
      </c>
      <c r="FJZ347" s="444" t="s">
        <v>1127</v>
      </c>
      <c r="FKA347" s="444">
        <v>6</v>
      </c>
      <c r="FKB347" s="444" t="s">
        <v>1127</v>
      </c>
      <c r="FKC347" s="444">
        <v>6</v>
      </c>
      <c r="FKD347" s="444" t="s">
        <v>1127</v>
      </c>
      <c r="FKE347" s="444">
        <v>6</v>
      </c>
      <c r="FKF347" s="444" t="s">
        <v>1127</v>
      </c>
      <c r="FKG347" s="444">
        <v>6</v>
      </c>
      <c r="FKH347" s="444" t="s">
        <v>1127</v>
      </c>
      <c r="FKI347" s="444">
        <v>6</v>
      </c>
      <c r="FKJ347" s="444" t="s">
        <v>1127</v>
      </c>
      <c r="FKK347" s="444">
        <v>6</v>
      </c>
      <c r="FKL347" s="444" t="s">
        <v>1127</v>
      </c>
      <c r="FKM347" s="444">
        <v>6</v>
      </c>
      <c r="FKN347" s="444" t="s">
        <v>1127</v>
      </c>
      <c r="FKO347" s="444">
        <v>6</v>
      </c>
      <c r="FKP347" s="444" t="s">
        <v>1127</v>
      </c>
      <c r="FKQ347" s="444">
        <v>6</v>
      </c>
      <c r="FKR347" s="444" t="s">
        <v>1127</v>
      </c>
      <c r="FKS347" s="444">
        <v>6</v>
      </c>
      <c r="FKT347" s="444" t="s">
        <v>1127</v>
      </c>
      <c r="FKU347" s="444">
        <v>6</v>
      </c>
      <c r="FKV347" s="444" t="s">
        <v>1127</v>
      </c>
      <c r="FKW347" s="444">
        <v>6</v>
      </c>
      <c r="FKX347" s="444" t="s">
        <v>1127</v>
      </c>
      <c r="FKY347" s="444">
        <v>6</v>
      </c>
      <c r="FKZ347" s="444" t="s">
        <v>1127</v>
      </c>
      <c r="FLA347" s="444">
        <v>6</v>
      </c>
      <c r="FLB347" s="444" t="s">
        <v>1127</v>
      </c>
      <c r="FLC347" s="444">
        <v>6</v>
      </c>
      <c r="FLD347" s="444" t="s">
        <v>1127</v>
      </c>
      <c r="FLE347" s="444">
        <v>6</v>
      </c>
      <c r="FLF347" s="444" t="s">
        <v>1127</v>
      </c>
      <c r="FLG347" s="444">
        <v>6</v>
      </c>
      <c r="FLH347" s="444" t="s">
        <v>1127</v>
      </c>
      <c r="FLI347" s="444">
        <v>6</v>
      </c>
      <c r="FLJ347" s="444" t="s">
        <v>1127</v>
      </c>
      <c r="FLK347" s="444">
        <v>6</v>
      </c>
      <c r="FLL347" s="444" t="s">
        <v>1127</v>
      </c>
      <c r="FLM347" s="444">
        <v>6</v>
      </c>
      <c r="FLN347" s="444" t="s">
        <v>1127</v>
      </c>
      <c r="FLO347" s="444">
        <v>6</v>
      </c>
      <c r="FLP347" s="444" t="s">
        <v>1127</v>
      </c>
      <c r="FLQ347" s="444">
        <v>6</v>
      </c>
      <c r="FLR347" s="444" t="s">
        <v>1127</v>
      </c>
      <c r="FLS347" s="444">
        <v>6</v>
      </c>
      <c r="FLT347" s="444" t="s">
        <v>1127</v>
      </c>
      <c r="FLU347" s="444">
        <v>6</v>
      </c>
      <c r="FLV347" s="444" t="s">
        <v>1127</v>
      </c>
      <c r="FLW347" s="444">
        <v>6</v>
      </c>
      <c r="FLX347" s="444" t="s">
        <v>1127</v>
      </c>
      <c r="FLY347" s="444">
        <v>6</v>
      </c>
      <c r="FLZ347" s="444" t="s">
        <v>1127</v>
      </c>
      <c r="FMA347" s="444">
        <v>6</v>
      </c>
      <c r="FMB347" s="444" t="s">
        <v>1127</v>
      </c>
      <c r="FMC347" s="444">
        <v>6</v>
      </c>
      <c r="FMD347" s="444" t="s">
        <v>1127</v>
      </c>
      <c r="FME347" s="444">
        <v>6</v>
      </c>
      <c r="FMF347" s="444" t="s">
        <v>1127</v>
      </c>
      <c r="FMG347" s="444">
        <v>6</v>
      </c>
      <c r="FMH347" s="444" t="s">
        <v>1127</v>
      </c>
      <c r="FMI347" s="444">
        <v>6</v>
      </c>
      <c r="FMJ347" s="444" t="s">
        <v>1127</v>
      </c>
      <c r="FMK347" s="444">
        <v>6</v>
      </c>
      <c r="FML347" s="444" t="s">
        <v>1127</v>
      </c>
      <c r="FMM347" s="444">
        <v>6</v>
      </c>
      <c r="FMN347" s="444" t="s">
        <v>1127</v>
      </c>
      <c r="FMO347" s="444">
        <v>6</v>
      </c>
      <c r="FMP347" s="444" t="s">
        <v>1127</v>
      </c>
      <c r="FMQ347" s="444">
        <v>6</v>
      </c>
      <c r="FMR347" s="444" t="s">
        <v>1127</v>
      </c>
      <c r="FMS347" s="444">
        <v>6</v>
      </c>
      <c r="FMT347" s="444" t="s">
        <v>1127</v>
      </c>
      <c r="FMU347" s="444">
        <v>6</v>
      </c>
      <c r="FMV347" s="444" t="s">
        <v>1127</v>
      </c>
      <c r="FMW347" s="444">
        <v>6</v>
      </c>
      <c r="FMX347" s="444" t="s">
        <v>1127</v>
      </c>
      <c r="FMY347" s="444">
        <v>6</v>
      </c>
      <c r="FMZ347" s="444" t="s">
        <v>1127</v>
      </c>
      <c r="FNA347" s="444">
        <v>6</v>
      </c>
      <c r="FNB347" s="444" t="s">
        <v>1127</v>
      </c>
      <c r="FNC347" s="444">
        <v>6</v>
      </c>
      <c r="FND347" s="444" t="s">
        <v>1127</v>
      </c>
      <c r="FNE347" s="444">
        <v>6</v>
      </c>
      <c r="FNF347" s="444" t="s">
        <v>1127</v>
      </c>
      <c r="FNG347" s="444">
        <v>6</v>
      </c>
      <c r="FNH347" s="444" t="s">
        <v>1127</v>
      </c>
      <c r="FNI347" s="444">
        <v>6</v>
      </c>
      <c r="FNJ347" s="444" t="s">
        <v>1127</v>
      </c>
      <c r="FNK347" s="444">
        <v>6</v>
      </c>
      <c r="FNL347" s="444" t="s">
        <v>1127</v>
      </c>
      <c r="FNM347" s="444">
        <v>6</v>
      </c>
      <c r="FNN347" s="444" t="s">
        <v>1127</v>
      </c>
      <c r="FNO347" s="444">
        <v>6</v>
      </c>
      <c r="FNP347" s="444" t="s">
        <v>1127</v>
      </c>
      <c r="FNQ347" s="444">
        <v>6</v>
      </c>
      <c r="FNR347" s="444" t="s">
        <v>1127</v>
      </c>
      <c r="FNS347" s="444">
        <v>6</v>
      </c>
      <c r="FNT347" s="444" t="s">
        <v>1127</v>
      </c>
      <c r="FNU347" s="444">
        <v>6</v>
      </c>
      <c r="FNV347" s="444" t="s">
        <v>1127</v>
      </c>
      <c r="FNW347" s="444">
        <v>6</v>
      </c>
      <c r="FNX347" s="444" t="s">
        <v>1127</v>
      </c>
      <c r="FNY347" s="444">
        <v>6</v>
      </c>
      <c r="FNZ347" s="444" t="s">
        <v>1127</v>
      </c>
      <c r="FOA347" s="444">
        <v>6</v>
      </c>
      <c r="FOB347" s="444" t="s">
        <v>1127</v>
      </c>
      <c r="FOC347" s="444">
        <v>6</v>
      </c>
      <c r="FOD347" s="444" t="s">
        <v>1127</v>
      </c>
      <c r="FOE347" s="444">
        <v>6</v>
      </c>
      <c r="FOF347" s="444" t="s">
        <v>1127</v>
      </c>
      <c r="FOG347" s="444">
        <v>6</v>
      </c>
      <c r="FOH347" s="444" t="s">
        <v>1127</v>
      </c>
      <c r="FOI347" s="444">
        <v>6</v>
      </c>
      <c r="FOJ347" s="444" t="s">
        <v>1127</v>
      </c>
      <c r="FOK347" s="444">
        <v>6</v>
      </c>
      <c r="FOL347" s="444" t="s">
        <v>1127</v>
      </c>
      <c r="FOM347" s="444">
        <v>6</v>
      </c>
      <c r="FON347" s="444" t="s">
        <v>1127</v>
      </c>
      <c r="FOO347" s="444">
        <v>6</v>
      </c>
      <c r="FOP347" s="444" t="s">
        <v>1127</v>
      </c>
      <c r="FOQ347" s="444">
        <v>6</v>
      </c>
      <c r="FOR347" s="444" t="s">
        <v>1127</v>
      </c>
      <c r="FOS347" s="444">
        <v>6</v>
      </c>
      <c r="FOT347" s="444" t="s">
        <v>1127</v>
      </c>
      <c r="FOU347" s="444">
        <v>6</v>
      </c>
      <c r="FOV347" s="444" t="s">
        <v>1127</v>
      </c>
      <c r="FOW347" s="444">
        <v>6</v>
      </c>
      <c r="FOX347" s="444" t="s">
        <v>1127</v>
      </c>
      <c r="FOY347" s="444">
        <v>6</v>
      </c>
      <c r="FOZ347" s="444" t="s">
        <v>1127</v>
      </c>
      <c r="FPA347" s="444">
        <v>6</v>
      </c>
      <c r="FPB347" s="444" t="s">
        <v>1127</v>
      </c>
      <c r="FPC347" s="444">
        <v>6</v>
      </c>
      <c r="FPD347" s="444" t="s">
        <v>1127</v>
      </c>
      <c r="FPE347" s="444">
        <v>6</v>
      </c>
      <c r="FPF347" s="444" t="s">
        <v>1127</v>
      </c>
      <c r="FPG347" s="444">
        <v>6</v>
      </c>
      <c r="FPH347" s="444" t="s">
        <v>1127</v>
      </c>
      <c r="FPI347" s="444">
        <v>6</v>
      </c>
      <c r="FPJ347" s="444" t="s">
        <v>1127</v>
      </c>
      <c r="FPK347" s="444">
        <v>6</v>
      </c>
      <c r="FPL347" s="444" t="s">
        <v>1127</v>
      </c>
      <c r="FPM347" s="444">
        <v>6</v>
      </c>
      <c r="FPN347" s="444" t="s">
        <v>1127</v>
      </c>
      <c r="FPO347" s="444">
        <v>6</v>
      </c>
      <c r="FPP347" s="444" t="s">
        <v>1127</v>
      </c>
      <c r="FPQ347" s="444">
        <v>6</v>
      </c>
      <c r="FPR347" s="444" t="s">
        <v>1127</v>
      </c>
      <c r="FPS347" s="444">
        <v>6</v>
      </c>
      <c r="FPT347" s="444" t="s">
        <v>1127</v>
      </c>
      <c r="FPU347" s="444">
        <v>6</v>
      </c>
      <c r="FPV347" s="444" t="s">
        <v>1127</v>
      </c>
      <c r="FPW347" s="444">
        <v>6</v>
      </c>
      <c r="FPX347" s="444" t="s">
        <v>1127</v>
      </c>
      <c r="FPY347" s="444">
        <v>6</v>
      </c>
      <c r="FPZ347" s="444" t="s">
        <v>1127</v>
      </c>
      <c r="FQA347" s="444">
        <v>6</v>
      </c>
      <c r="FQB347" s="444" t="s">
        <v>1127</v>
      </c>
      <c r="FQC347" s="444">
        <v>6</v>
      </c>
      <c r="FQD347" s="444" t="s">
        <v>1127</v>
      </c>
      <c r="FQE347" s="444">
        <v>6</v>
      </c>
      <c r="FQF347" s="444" t="s">
        <v>1127</v>
      </c>
      <c r="FQG347" s="444">
        <v>6</v>
      </c>
      <c r="FQH347" s="444" t="s">
        <v>1127</v>
      </c>
      <c r="FQI347" s="444">
        <v>6</v>
      </c>
      <c r="FQJ347" s="444" t="s">
        <v>1127</v>
      </c>
      <c r="FQK347" s="444">
        <v>6</v>
      </c>
      <c r="FQL347" s="444" t="s">
        <v>1127</v>
      </c>
      <c r="FQM347" s="444">
        <v>6</v>
      </c>
      <c r="FQN347" s="444" t="s">
        <v>1127</v>
      </c>
      <c r="FQO347" s="444">
        <v>6</v>
      </c>
      <c r="FQP347" s="444" t="s">
        <v>1127</v>
      </c>
      <c r="FQQ347" s="444">
        <v>6</v>
      </c>
      <c r="FQR347" s="444" t="s">
        <v>1127</v>
      </c>
      <c r="FQS347" s="444">
        <v>6</v>
      </c>
      <c r="FQT347" s="444" t="s">
        <v>1127</v>
      </c>
      <c r="FQU347" s="444">
        <v>6</v>
      </c>
      <c r="FQV347" s="444" t="s">
        <v>1127</v>
      </c>
      <c r="FQW347" s="444">
        <v>6</v>
      </c>
      <c r="FQX347" s="444" t="s">
        <v>1127</v>
      </c>
      <c r="FQY347" s="444">
        <v>6</v>
      </c>
      <c r="FQZ347" s="444" t="s">
        <v>1127</v>
      </c>
      <c r="FRA347" s="444">
        <v>6</v>
      </c>
      <c r="FRB347" s="444" t="s">
        <v>1127</v>
      </c>
      <c r="FRC347" s="444">
        <v>6</v>
      </c>
      <c r="FRD347" s="444" t="s">
        <v>1127</v>
      </c>
      <c r="FRE347" s="444">
        <v>6</v>
      </c>
      <c r="FRF347" s="444" t="s">
        <v>1127</v>
      </c>
      <c r="FRG347" s="444">
        <v>6</v>
      </c>
      <c r="FRH347" s="444" t="s">
        <v>1127</v>
      </c>
      <c r="FRI347" s="444">
        <v>6</v>
      </c>
      <c r="FRJ347" s="444" t="s">
        <v>1127</v>
      </c>
      <c r="FRK347" s="444">
        <v>6</v>
      </c>
      <c r="FRL347" s="444" t="s">
        <v>1127</v>
      </c>
      <c r="FRM347" s="444">
        <v>6</v>
      </c>
      <c r="FRN347" s="444" t="s">
        <v>1127</v>
      </c>
      <c r="FRO347" s="444">
        <v>6</v>
      </c>
      <c r="FRP347" s="444" t="s">
        <v>1127</v>
      </c>
      <c r="FRQ347" s="444">
        <v>6</v>
      </c>
      <c r="FRR347" s="444" t="s">
        <v>1127</v>
      </c>
      <c r="FRS347" s="444">
        <v>6</v>
      </c>
      <c r="FRT347" s="444" t="s">
        <v>1127</v>
      </c>
      <c r="FRU347" s="444">
        <v>6</v>
      </c>
      <c r="FRV347" s="444" t="s">
        <v>1127</v>
      </c>
      <c r="FRW347" s="444">
        <v>6</v>
      </c>
      <c r="FRX347" s="444" t="s">
        <v>1127</v>
      </c>
      <c r="FRY347" s="444">
        <v>6</v>
      </c>
      <c r="FRZ347" s="444" t="s">
        <v>1127</v>
      </c>
      <c r="FSA347" s="444">
        <v>6</v>
      </c>
      <c r="FSB347" s="444" t="s">
        <v>1127</v>
      </c>
      <c r="FSC347" s="444">
        <v>6</v>
      </c>
      <c r="FSD347" s="444" t="s">
        <v>1127</v>
      </c>
      <c r="FSE347" s="444">
        <v>6</v>
      </c>
      <c r="FSF347" s="444" t="s">
        <v>1127</v>
      </c>
      <c r="FSG347" s="444">
        <v>6</v>
      </c>
      <c r="FSH347" s="444" t="s">
        <v>1127</v>
      </c>
      <c r="FSI347" s="444">
        <v>6</v>
      </c>
      <c r="FSJ347" s="444" t="s">
        <v>1127</v>
      </c>
      <c r="FSK347" s="444">
        <v>6</v>
      </c>
      <c r="FSL347" s="444" t="s">
        <v>1127</v>
      </c>
      <c r="FSM347" s="444">
        <v>6</v>
      </c>
      <c r="FSN347" s="444" t="s">
        <v>1127</v>
      </c>
      <c r="FSO347" s="444">
        <v>6</v>
      </c>
      <c r="FSP347" s="444" t="s">
        <v>1127</v>
      </c>
      <c r="FSQ347" s="444">
        <v>6</v>
      </c>
      <c r="FSR347" s="444" t="s">
        <v>1127</v>
      </c>
      <c r="FSS347" s="444">
        <v>6</v>
      </c>
      <c r="FST347" s="444" t="s">
        <v>1127</v>
      </c>
      <c r="FSU347" s="444">
        <v>6</v>
      </c>
      <c r="FSV347" s="444" t="s">
        <v>1127</v>
      </c>
      <c r="FSW347" s="444">
        <v>6</v>
      </c>
      <c r="FSX347" s="444" t="s">
        <v>1127</v>
      </c>
      <c r="FSY347" s="444">
        <v>6</v>
      </c>
      <c r="FSZ347" s="444" t="s">
        <v>1127</v>
      </c>
      <c r="FTA347" s="444">
        <v>6</v>
      </c>
      <c r="FTB347" s="444" t="s">
        <v>1127</v>
      </c>
      <c r="FTC347" s="444">
        <v>6</v>
      </c>
      <c r="FTD347" s="444" t="s">
        <v>1127</v>
      </c>
      <c r="FTE347" s="444">
        <v>6</v>
      </c>
      <c r="FTF347" s="444" t="s">
        <v>1127</v>
      </c>
      <c r="FTG347" s="444">
        <v>6</v>
      </c>
      <c r="FTH347" s="444" t="s">
        <v>1127</v>
      </c>
      <c r="FTI347" s="444">
        <v>6</v>
      </c>
      <c r="FTJ347" s="444" t="s">
        <v>1127</v>
      </c>
      <c r="FTK347" s="444">
        <v>6</v>
      </c>
      <c r="FTL347" s="444" t="s">
        <v>1127</v>
      </c>
      <c r="FTM347" s="444">
        <v>6</v>
      </c>
      <c r="FTN347" s="444" t="s">
        <v>1127</v>
      </c>
      <c r="FTO347" s="444">
        <v>6</v>
      </c>
      <c r="FTP347" s="444" t="s">
        <v>1127</v>
      </c>
      <c r="FTQ347" s="444">
        <v>6</v>
      </c>
      <c r="FTR347" s="444" t="s">
        <v>1127</v>
      </c>
      <c r="FTS347" s="444">
        <v>6</v>
      </c>
      <c r="FTT347" s="444" t="s">
        <v>1127</v>
      </c>
      <c r="FTU347" s="444">
        <v>6</v>
      </c>
      <c r="FTV347" s="444" t="s">
        <v>1127</v>
      </c>
      <c r="FTW347" s="444">
        <v>6</v>
      </c>
      <c r="FTX347" s="444" t="s">
        <v>1127</v>
      </c>
      <c r="FTY347" s="444">
        <v>6</v>
      </c>
      <c r="FTZ347" s="444" t="s">
        <v>1127</v>
      </c>
      <c r="FUA347" s="444">
        <v>6</v>
      </c>
      <c r="FUB347" s="444" t="s">
        <v>1127</v>
      </c>
      <c r="FUC347" s="444">
        <v>6</v>
      </c>
      <c r="FUD347" s="444" t="s">
        <v>1127</v>
      </c>
      <c r="FUE347" s="444">
        <v>6</v>
      </c>
      <c r="FUF347" s="444" t="s">
        <v>1127</v>
      </c>
      <c r="FUG347" s="444">
        <v>6</v>
      </c>
      <c r="FUH347" s="444" t="s">
        <v>1127</v>
      </c>
      <c r="FUI347" s="444">
        <v>6</v>
      </c>
      <c r="FUJ347" s="444" t="s">
        <v>1127</v>
      </c>
      <c r="FUK347" s="444">
        <v>6</v>
      </c>
      <c r="FUL347" s="444" t="s">
        <v>1127</v>
      </c>
      <c r="FUM347" s="444">
        <v>6</v>
      </c>
      <c r="FUN347" s="444" t="s">
        <v>1127</v>
      </c>
      <c r="FUO347" s="444">
        <v>6</v>
      </c>
      <c r="FUP347" s="444" t="s">
        <v>1127</v>
      </c>
      <c r="FUQ347" s="444">
        <v>6</v>
      </c>
      <c r="FUR347" s="444" t="s">
        <v>1127</v>
      </c>
      <c r="FUS347" s="444">
        <v>6</v>
      </c>
      <c r="FUT347" s="444" t="s">
        <v>1127</v>
      </c>
      <c r="FUU347" s="444">
        <v>6</v>
      </c>
      <c r="FUV347" s="444" t="s">
        <v>1127</v>
      </c>
      <c r="FUW347" s="444">
        <v>6</v>
      </c>
      <c r="FUX347" s="444" t="s">
        <v>1127</v>
      </c>
      <c r="FUY347" s="444">
        <v>6</v>
      </c>
      <c r="FUZ347" s="444" t="s">
        <v>1127</v>
      </c>
      <c r="FVA347" s="444">
        <v>6</v>
      </c>
      <c r="FVB347" s="444" t="s">
        <v>1127</v>
      </c>
      <c r="FVC347" s="444">
        <v>6</v>
      </c>
      <c r="FVD347" s="444" t="s">
        <v>1127</v>
      </c>
      <c r="FVE347" s="444">
        <v>6</v>
      </c>
      <c r="FVF347" s="444" t="s">
        <v>1127</v>
      </c>
      <c r="FVG347" s="444">
        <v>6</v>
      </c>
      <c r="FVH347" s="444" t="s">
        <v>1127</v>
      </c>
      <c r="FVI347" s="444">
        <v>6</v>
      </c>
      <c r="FVJ347" s="444" t="s">
        <v>1127</v>
      </c>
      <c r="FVK347" s="444">
        <v>6</v>
      </c>
      <c r="FVL347" s="444" t="s">
        <v>1127</v>
      </c>
      <c r="FVM347" s="444">
        <v>6</v>
      </c>
      <c r="FVN347" s="444" t="s">
        <v>1127</v>
      </c>
      <c r="FVO347" s="444">
        <v>6</v>
      </c>
      <c r="FVP347" s="444" t="s">
        <v>1127</v>
      </c>
      <c r="FVQ347" s="444">
        <v>6</v>
      </c>
      <c r="FVR347" s="444" t="s">
        <v>1127</v>
      </c>
      <c r="FVS347" s="444">
        <v>6</v>
      </c>
      <c r="FVT347" s="444" t="s">
        <v>1127</v>
      </c>
      <c r="FVU347" s="444">
        <v>6</v>
      </c>
      <c r="FVV347" s="444" t="s">
        <v>1127</v>
      </c>
      <c r="FVW347" s="444">
        <v>6</v>
      </c>
      <c r="FVX347" s="444" t="s">
        <v>1127</v>
      </c>
      <c r="FVY347" s="444">
        <v>6</v>
      </c>
      <c r="FVZ347" s="444" t="s">
        <v>1127</v>
      </c>
      <c r="FWA347" s="444">
        <v>6</v>
      </c>
      <c r="FWB347" s="444" t="s">
        <v>1127</v>
      </c>
      <c r="FWC347" s="444">
        <v>6</v>
      </c>
      <c r="FWD347" s="444" t="s">
        <v>1127</v>
      </c>
      <c r="FWE347" s="444">
        <v>6</v>
      </c>
      <c r="FWF347" s="444" t="s">
        <v>1127</v>
      </c>
      <c r="FWG347" s="444">
        <v>6</v>
      </c>
      <c r="FWH347" s="444" t="s">
        <v>1127</v>
      </c>
      <c r="FWI347" s="444">
        <v>6</v>
      </c>
      <c r="FWJ347" s="444" t="s">
        <v>1127</v>
      </c>
      <c r="FWK347" s="444">
        <v>6</v>
      </c>
      <c r="FWL347" s="444" t="s">
        <v>1127</v>
      </c>
      <c r="FWM347" s="444">
        <v>6</v>
      </c>
      <c r="FWN347" s="444" t="s">
        <v>1127</v>
      </c>
      <c r="FWO347" s="444">
        <v>6</v>
      </c>
      <c r="FWP347" s="444" t="s">
        <v>1127</v>
      </c>
      <c r="FWQ347" s="444">
        <v>6</v>
      </c>
      <c r="FWR347" s="444" t="s">
        <v>1127</v>
      </c>
      <c r="FWS347" s="444">
        <v>6</v>
      </c>
      <c r="FWT347" s="444" t="s">
        <v>1127</v>
      </c>
      <c r="FWU347" s="444">
        <v>6</v>
      </c>
      <c r="FWV347" s="444" t="s">
        <v>1127</v>
      </c>
      <c r="FWW347" s="444">
        <v>6</v>
      </c>
      <c r="FWX347" s="444" t="s">
        <v>1127</v>
      </c>
      <c r="FWY347" s="444">
        <v>6</v>
      </c>
      <c r="FWZ347" s="444" t="s">
        <v>1127</v>
      </c>
      <c r="FXA347" s="444">
        <v>6</v>
      </c>
      <c r="FXB347" s="444" t="s">
        <v>1127</v>
      </c>
      <c r="FXC347" s="444">
        <v>6</v>
      </c>
      <c r="FXD347" s="444" t="s">
        <v>1127</v>
      </c>
      <c r="FXE347" s="444">
        <v>6</v>
      </c>
      <c r="FXF347" s="444" t="s">
        <v>1127</v>
      </c>
      <c r="FXG347" s="444">
        <v>6</v>
      </c>
      <c r="FXH347" s="444" t="s">
        <v>1127</v>
      </c>
      <c r="FXI347" s="444">
        <v>6</v>
      </c>
      <c r="FXJ347" s="444" t="s">
        <v>1127</v>
      </c>
      <c r="FXK347" s="444">
        <v>6</v>
      </c>
      <c r="FXL347" s="444" t="s">
        <v>1127</v>
      </c>
      <c r="FXM347" s="444">
        <v>6</v>
      </c>
      <c r="FXN347" s="444" t="s">
        <v>1127</v>
      </c>
      <c r="FXO347" s="444">
        <v>6</v>
      </c>
      <c r="FXP347" s="444" t="s">
        <v>1127</v>
      </c>
      <c r="FXQ347" s="444">
        <v>6</v>
      </c>
      <c r="FXR347" s="444" t="s">
        <v>1127</v>
      </c>
      <c r="FXS347" s="444">
        <v>6</v>
      </c>
      <c r="FXT347" s="444" t="s">
        <v>1127</v>
      </c>
      <c r="FXU347" s="444">
        <v>6</v>
      </c>
      <c r="FXV347" s="444" t="s">
        <v>1127</v>
      </c>
      <c r="FXW347" s="444">
        <v>6</v>
      </c>
      <c r="FXX347" s="444" t="s">
        <v>1127</v>
      </c>
      <c r="FXY347" s="444">
        <v>6</v>
      </c>
      <c r="FXZ347" s="444" t="s">
        <v>1127</v>
      </c>
      <c r="FYA347" s="444">
        <v>6</v>
      </c>
      <c r="FYB347" s="444" t="s">
        <v>1127</v>
      </c>
      <c r="FYC347" s="444">
        <v>6</v>
      </c>
      <c r="FYD347" s="444" t="s">
        <v>1127</v>
      </c>
      <c r="FYE347" s="444">
        <v>6</v>
      </c>
      <c r="FYF347" s="444" t="s">
        <v>1127</v>
      </c>
      <c r="FYG347" s="444">
        <v>6</v>
      </c>
      <c r="FYH347" s="444" t="s">
        <v>1127</v>
      </c>
      <c r="FYI347" s="444">
        <v>6</v>
      </c>
      <c r="FYJ347" s="444" t="s">
        <v>1127</v>
      </c>
      <c r="FYK347" s="444">
        <v>6</v>
      </c>
      <c r="FYL347" s="444" t="s">
        <v>1127</v>
      </c>
      <c r="FYM347" s="444">
        <v>6</v>
      </c>
      <c r="FYN347" s="444" t="s">
        <v>1127</v>
      </c>
      <c r="FYO347" s="444">
        <v>6</v>
      </c>
      <c r="FYP347" s="444" t="s">
        <v>1127</v>
      </c>
      <c r="FYQ347" s="444">
        <v>6</v>
      </c>
      <c r="FYR347" s="444" t="s">
        <v>1127</v>
      </c>
      <c r="FYS347" s="444">
        <v>6</v>
      </c>
      <c r="FYT347" s="444" t="s">
        <v>1127</v>
      </c>
      <c r="FYU347" s="444">
        <v>6</v>
      </c>
      <c r="FYV347" s="444" t="s">
        <v>1127</v>
      </c>
      <c r="FYW347" s="444">
        <v>6</v>
      </c>
      <c r="FYX347" s="444" t="s">
        <v>1127</v>
      </c>
      <c r="FYY347" s="444">
        <v>6</v>
      </c>
      <c r="FYZ347" s="444" t="s">
        <v>1127</v>
      </c>
      <c r="FZA347" s="444">
        <v>6</v>
      </c>
      <c r="FZB347" s="444" t="s">
        <v>1127</v>
      </c>
      <c r="FZC347" s="444">
        <v>6</v>
      </c>
      <c r="FZD347" s="444" t="s">
        <v>1127</v>
      </c>
      <c r="FZE347" s="444">
        <v>6</v>
      </c>
      <c r="FZF347" s="444" t="s">
        <v>1127</v>
      </c>
      <c r="FZG347" s="444">
        <v>6</v>
      </c>
      <c r="FZH347" s="444" t="s">
        <v>1127</v>
      </c>
      <c r="FZI347" s="444">
        <v>6</v>
      </c>
      <c r="FZJ347" s="444" t="s">
        <v>1127</v>
      </c>
      <c r="FZK347" s="444">
        <v>6</v>
      </c>
      <c r="FZL347" s="444" t="s">
        <v>1127</v>
      </c>
      <c r="FZM347" s="444">
        <v>6</v>
      </c>
      <c r="FZN347" s="444" t="s">
        <v>1127</v>
      </c>
      <c r="FZO347" s="444">
        <v>6</v>
      </c>
      <c r="FZP347" s="444" t="s">
        <v>1127</v>
      </c>
      <c r="FZQ347" s="444">
        <v>6</v>
      </c>
      <c r="FZR347" s="444" t="s">
        <v>1127</v>
      </c>
      <c r="FZS347" s="444">
        <v>6</v>
      </c>
      <c r="FZT347" s="444" t="s">
        <v>1127</v>
      </c>
      <c r="FZU347" s="444">
        <v>6</v>
      </c>
      <c r="FZV347" s="444" t="s">
        <v>1127</v>
      </c>
      <c r="FZW347" s="444">
        <v>6</v>
      </c>
      <c r="FZX347" s="444" t="s">
        <v>1127</v>
      </c>
      <c r="FZY347" s="444">
        <v>6</v>
      </c>
      <c r="FZZ347" s="444" t="s">
        <v>1127</v>
      </c>
      <c r="GAA347" s="444">
        <v>6</v>
      </c>
      <c r="GAB347" s="444" t="s">
        <v>1127</v>
      </c>
      <c r="GAC347" s="444">
        <v>6</v>
      </c>
      <c r="GAD347" s="444" t="s">
        <v>1127</v>
      </c>
      <c r="GAE347" s="444">
        <v>6</v>
      </c>
      <c r="GAF347" s="444" t="s">
        <v>1127</v>
      </c>
      <c r="GAG347" s="444">
        <v>6</v>
      </c>
      <c r="GAH347" s="444" t="s">
        <v>1127</v>
      </c>
      <c r="GAI347" s="444">
        <v>6</v>
      </c>
      <c r="GAJ347" s="444" t="s">
        <v>1127</v>
      </c>
      <c r="GAK347" s="444">
        <v>6</v>
      </c>
      <c r="GAL347" s="444" t="s">
        <v>1127</v>
      </c>
      <c r="GAM347" s="444">
        <v>6</v>
      </c>
      <c r="GAN347" s="444" t="s">
        <v>1127</v>
      </c>
      <c r="GAO347" s="444">
        <v>6</v>
      </c>
      <c r="GAP347" s="444" t="s">
        <v>1127</v>
      </c>
      <c r="GAQ347" s="444">
        <v>6</v>
      </c>
      <c r="GAR347" s="444" t="s">
        <v>1127</v>
      </c>
      <c r="GAS347" s="444">
        <v>6</v>
      </c>
      <c r="GAT347" s="444" t="s">
        <v>1127</v>
      </c>
      <c r="GAU347" s="444">
        <v>6</v>
      </c>
      <c r="GAV347" s="444" t="s">
        <v>1127</v>
      </c>
      <c r="GAW347" s="444">
        <v>6</v>
      </c>
      <c r="GAX347" s="444" t="s">
        <v>1127</v>
      </c>
      <c r="GAY347" s="444">
        <v>6</v>
      </c>
      <c r="GAZ347" s="444" t="s">
        <v>1127</v>
      </c>
      <c r="GBA347" s="444">
        <v>6</v>
      </c>
      <c r="GBB347" s="444" t="s">
        <v>1127</v>
      </c>
      <c r="GBC347" s="444">
        <v>6</v>
      </c>
      <c r="GBD347" s="444" t="s">
        <v>1127</v>
      </c>
      <c r="GBE347" s="444">
        <v>6</v>
      </c>
      <c r="GBF347" s="444" t="s">
        <v>1127</v>
      </c>
      <c r="GBG347" s="444">
        <v>6</v>
      </c>
      <c r="GBH347" s="444" t="s">
        <v>1127</v>
      </c>
      <c r="GBI347" s="444">
        <v>6</v>
      </c>
      <c r="GBJ347" s="444" t="s">
        <v>1127</v>
      </c>
      <c r="GBK347" s="444">
        <v>6</v>
      </c>
      <c r="GBL347" s="444" t="s">
        <v>1127</v>
      </c>
      <c r="GBM347" s="444">
        <v>6</v>
      </c>
      <c r="GBN347" s="444" t="s">
        <v>1127</v>
      </c>
      <c r="GBO347" s="444">
        <v>6</v>
      </c>
      <c r="GBP347" s="444" t="s">
        <v>1127</v>
      </c>
      <c r="GBQ347" s="444">
        <v>6</v>
      </c>
      <c r="GBR347" s="444" t="s">
        <v>1127</v>
      </c>
      <c r="GBS347" s="444">
        <v>6</v>
      </c>
      <c r="GBT347" s="444" t="s">
        <v>1127</v>
      </c>
      <c r="GBU347" s="444">
        <v>6</v>
      </c>
      <c r="GBV347" s="444" t="s">
        <v>1127</v>
      </c>
      <c r="GBW347" s="444">
        <v>6</v>
      </c>
      <c r="GBX347" s="444" t="s">
        <v>1127</v>
      </c>
      <c r="GBY347" s="444">
        <v>6</v>
      </c>
      <c r="GBZ347" s="444" t="s">
        <v>1127</v>
      </c>
      <c r="GCA347" s="444">
        <v>6</v>
      </c>
      <c r="GCB347" s="444" t="s">
        <v>1127</v>
      </c>
      <c r="GCC347" s="444">
        <v>6</v>
      </c>
      <c r="GCD347" s="444" t="s">
        <v>1127</v>
      </c>
      <c r="GCE347" s="444">
        <v>6</v>
      </c>
      <c r="GCF347" s="444" t="s">
        <v>1127</v>
      </c>
      <c r="GCG347" s="444">
        <v>6</v>
      </c>
      <c r="GCH347" s="444" t="s">
        <v>1127</v>
      </c>
      <c r="GCI347" s="444">
        <v>6</v>
      </c>
      <c r="GCJ347" s="444" t="s">
        <v>1127</v>
      </c>
      <c r="GCK347" s="444">
        <v>6</v>
      </c>
      <c r="GCL347" s="444" t="s">
        <v>1127</v>
      </c>
      <c r="GCM347" s="444">
        <v>6</v>
      </c>
      <c r="GCN347" s="444" t="s">
        <v>1127</v>
      </c>
      <c r="GCO347" s="444">
        <v>6</v>
      </c>
      <c r="GCP347" s="444" t="s">
        <v>1127</v>
      </c>
      <c r="GCQ347" s="444">
        <v>6</v>
      </c>
      <c r="GCR347" s="444" t="s">
        <v>1127</v>
      </c>
      <c r="GCS347" s="444">
        <v>6</v>
      </c>
      <c r="GCT347" s="444" t="s">
        <v>1127</v>
      </c>
      <c r="GCU347" s="444">
        <v>6</v>
      </c>
      <c r="GCV347" s="444" t="s">
        <v>1127</v>
      </c>
      <c r="GCW347" s="444">
        <v>6</v>
      </c>
      <c r="GCX347" s="444" t="s">
        <v>1127</v>
      </c>
      <c r="GCY347" s="444">
        <v>6</v>
      </c>
      <c r="GCZ347" s="444" t="s">
        <v>1127</v>
      </c>
      <c r="GDA347" s="444">
        <v>6</v>
      </c>
      <c r="GDB347" s="444" t="s">
        <v>1127</v>
      </c>
      <c r="GDC347" s="444">
        <v>6</v>
      </c>
      <c r="GDD347" s="444" t="s">
        <v>1127</v>
      </c>
      <c r="GDE347" s="444">
        <v>6</v>
      </c>
      <c r="GDF347" s="444" t="s">
        <v>1127</v>
      </c>
      <c r="GDG347" s="444">
        <v>6</v>
      </c>
      <c r="GDH347" s="444" t="s">
        <v>1127</v>
      </c>
      <c r="GDI347" s="444">
        <v>6</v>
      </c>
      <c r="GDJ347" s="444" t="s">
        <v>1127</v>
      </c>
      <c r="GDK347" s="444">
        <v>6</v>
      </c>
      <c r="GDL347" s="444" t="s">
        <v>1127</v>
      </c>
      <c r="GDM347" s="444">
        <v>6</v>
      </c>
      <c r="GDN347" s="444" t="s">
        <v>1127</v>
      </c>
      <c r="GDO347" s="444">
        <v>6</v>
      </c>
      <c r="GDP347" s="444" t="s">
        <v>1127</v>
      </c>
      <c r="GDQ347" s="444">
        <v>6</v>
      </c>
      <c r="GDR347" s="444" t="s">
        <v>1127</v>
      </c>
      <c r="GDS347" s="444">
        <v>6</v>
      </c>
      <c r="GDT347" s="444" t="s">
        <v>1127</v>
      </c>
      <c r="GDU347" s="444">
        <v>6</v>
      </c>
      <c r="GDV347" s="444" t="s">
        <v>1127</v>
      </c>
      <c r="GDW347" s="444">
        <v>6</v>
      </c>
      <c r="GDX347" s="444" t="s">
        <v>1127</v>
      </c>
      <c r="GDY347" s="444">
        <v>6</v>
      </c>
      <c r="GDZ347" s="444" t="s">
        <v>1127</v>
      </c>
      <c r="GEA347" s="444">
        <v>6</v>
      </c>
      <c r="GEB347" s="444" t="s">
        <v>1127</v>
      </c>
      <c r="GEC347" s="444">
        <v>6</v>
      </c>
      <c r="GED347" s="444" t="s">
        <v>1127</v>
      </c>
      <c r="GEE347" s="444">
        <v>6</v>
      </c>
      <c r="GEF347" s="444" t="s">
        <v>1127</v>
      </c>
      <c r="GEG347" s="444">
        <v>6</v>
      </c>
      <c r="GEH347" s="444" t="s">
        <v>1127</v>
      </c>
      <c r="GEI347" s="444">
        <v>6</v>
      </c>
      <c r="GEJ347" s="444" t="s">
        <v>1127</v>
      </c>
      <c r="GEK347" s="444">
        <v>6</v>
      </c>
      <c r="GEL347" s="444" t="s">
        <v>1127</v>
      </c>
      <c r="GEM347" s="444">
        <v>6</v>
      </c>
      <c r="GEN347" s="444" t="s">
        <v>1127</v>
      </c>
      <c r="GEO347" s="444">
        <v>6</v>
      </c>
      <c r="GEP347" s="444" t="s">
        <v>1127</v>
      </c>
      <c r="GEQ347" s="444">
        <v>6</v>
      </c>
      <c r="GER347" s="444" t="s">
        <v>1127</v>
      </c>
      <c r="GES347" s="444">
        <v>6</v>
      </c>
      <c r="GET347" s="444" t="s">
        <v>1127</v>
      </c>
      <c r="GEU347" s="444">
        <v>6</v>
      </c>
      <c r="GEV347" s="444" t="s">
        <v>1127</v>
      </c>
      <c r="GEW347" s="444">
        <v>6</v>
      </c>
      <c r="GEX347" s="444" t="s">
        <v>1127</v>
      </c>
      <c r="GEY347" s="444">
        <v>6</v>
      </c>
      <c r="GEZ347" s="444" t="s">
        <v>1127</v>
      </c>
      <c r="GFA347" s="444">
        <v>6</v>
      </c>
      <c r="GFB347" s="444" t="s">
        <v>1127</v>
      </c>
      <c r="GFC347" s="444">
        <v>6</v>
      </c>
      <c r="GFD347" s="444" t="s">
        <v>1127</v>
      </c>
      <c r="GFE347" s="444">
        <v>6</v>
      </c>
      <c r="GFF347" s="444" t="s">
        <v>1127</v>
      </c>
      <c r="GFG347" s="444">
        <v>6</v>
      </c>
      <c r="GFH347" s="444" t="s">
        <v>1127</v>
      </c>
      <c r="GFI347" s="444">
        <v>6</v>
      </c>
      <c r="GFJ347" s="444" t="s">
        <v>1127</v>
      </c>
      <c r="GFK347" s="444">
        <v>6</v>
      </c>
      <c r="GFL347" s="444" t="s">
        <v>1127</v>
      </c>
      <c r="GFM347" s="444">
        <v>6</v>
      </c>
      <c r="GFN347" s="444" t="s">
        <v>1127</v>
      </c>
      <c r="GFO347" s="444">
        <v>6</v>
      </c>
      <c r="GFP347" s="444" t="s">
        <v>1127</v>
      </c>
      <c r="GFQ347" s="444">
        <v>6</v>
      </c>
      <c r="GFR347" s="444" t="s">
        <v>1127</v>
      </c>
      <c r="GFS347" s="444">
        <v>6</v>
      </c>
      <c r="GFT347" s="444" t="s">
        <v>1127</v>
      </c>
      <c r="GFU347" s="444">
        <v>6</v>
      </c>
      <c r="GFV347" s="444" t="s">
        <v>1127</v>
      </c>
      <c r="GFW347" s="444">
        <v>6</v>
      </c>
      <c r="GFX347" s="444" t="s">
        <v>1127</v>
      </c>
      <c r="GFY347" s="444">
        <v>6</v>
      </c>
      <c r="GFZ347" s="444" t="s">
        <v>1127</v>
      </c>
      <c r="GGA347" s="444">
        <v>6</v>
      </c>
      <c r="GGB347" s="444" t="s">
        <v>1127</v>
      </c>
      <c r="GGC347" s="444">
        <v>6</v>
      </c>
      <c r="GGD347" s="444" t="s">
        <v>1127</v>
      </c>
      <c r="GGE347" s="444">
        <v>6</v>
      </c>
      <c r="GGF347" s="444" t="s">
        <v>1127</v>
      </c>
      <c r="GGG347" s="444">
        <v>6</v>
      </c>
      <c r="GGH347" s="444" t="s">
        <v>1127</v>
      </c>
      <c r="GGI347" s="444">
        <v>6</v>
      </c>
      <c r="GGJ347" s="444" t="s">
        <v>1127</v>
      </c>
      <c r="GGK347" s="444">
        <v>6</v>
      </c>
      <c r="GGL347" s="444" t="s">
        <v>1127</v>
      </c>
      <c r="GGM347" s="444">
        <v>6</v>
      </c>
      <c r="GGN347" s="444" t="s">
        <v>1127</v>
      </c>
      <c r="GGO347" s="444">
        <v>6</v>
      </c>
      <c r="GGP347" s="444" t="s">
        <v>1127</v>
      </c>
      <c r="GGQ347" s="444">
        <v>6</v>
      </c>
      <c r="GGR347" s="444" t="s">
        <v>1127</v>
      </c>
      <c r="GGS347" s="444">
        <v>6</v>
      </c>
      <c r="GGT347" s="444" t="s">
        <v>1127</v>
      </c>
      <c r="GGU347" s="444">
        <v>6</v>
      </c>
      <c r="GGV347" s="444" t="s">
        <v>1127</v>
      </c>
      <c r="GGW347" s="444">
        <v>6</v>
      </c>
      <c r="GGX347" s="444" t="s">
        <v>1127</v>
      </c>
      <c r="GGY347" s="444">
        <v>6</v>
      </c>
      <c r="GGZ347" s="444" t="s">
        <v>1127</v>
      </c>
      <c r="GHA347" s="444">
        <v>6</v>
      </c>
      <c r="GHB347" s="444" t="s">
        <v>1127</v>
      </c>
      <c r="GHC347" s="444">
        <v>6</v>
      </c>
      <c r="GHD347" s="444" t="s">
        <v>1127</v>
      </c>
      <c r="GHE347" s="444">
        <v>6</v>
      </c>
      <c r="GHF347" s="444" t="s">
        <v>1127</v>
      </c>
      <c r="GHG347" s="444">
        <v>6</v>
      </c>
      <c r="GHH347" s="444" t="s">
        <v>1127</v>
      </c>
      <c r="GHI347" s="444">
        <v>6</v>
      </c>
      <c r="GHJ347" s="444" t="s">
        <v>1127</v>
      </c>
      <c r="GHK347" s="444">
        <v>6</v>
      </c>
      <c r="GHL347" s="444" t="s">
        <v>1127</v>
      </c>
      <c r="GHM347" s="444">
        <v>6</v>
      </c>
      <c r="GHN347" s="444" t="s">
        <v>1127</v>
      </c>
      <c r="GHO347" s="444">
        <v>6</v>
      </c>
      <c r="GHP347" s="444" t="s">
        <v>1127</v>
      </c>
      <c r="GHQ347" s="444">
        <v>6</v>
      </c>
      <c r="GHR347" s="444" t="s">
        <v>1127</v>
      </c>
      <c r="GHS347" s="444">
        <v>6</v>
      </c>
      <c r="GHT347" s="444" t="s">
        <v>1127</v>
      </c>
      <c r="GHU347" s="444">
        <v>6</v>
      </c>
      <c r="GHV347" s="444" t="s">
        <v>1127</v>
      </c>
      <c r="GHW347" s="444">
        <v>6</v>
      </c>
      <c r="GHX347" s="444" t="s">
        <v>1127</v>
      </c>
      <c r="GHY347" s="444">
        <v>6</v>
      </c>
      <c r="GHZ347" s="444" t="s">
        <v>1127</v>
      </c>
      <c r="GIA347" s="444">
        <v>6</v>
      </c>
      <c r="GIB347" s="444" t="s">
        <v>1127</v>
      </c>
      <c r="GIC347" s="444">
        <v>6</v>
      </c>
      <c r="GID347" s="444" t="s">
        <v>1127</v>
      </c>
      <c r="GIE347" s="444">
        <v>6</v>
      </c>
      <c r="GIF347" s="444" t="s">
        <v>1127</v>
      </c>
      <c r="GIG347" s="444">
        <v>6</v>
      </c>
      <c r="GIH347" s="444" t="s">
        <v>1127</v>
      </c>
      <c r="GII347" s="444">
        <v>6</v>
      </c>
      <c r="GIJ347" s="444" t="s">
        <v>1127</v>
      </c>
      <c r="GIK347" s="444">
        <v>6</v>
      </c>
      <c r="GIL347" s="444" t="s">
        <v>1127</v>
      </c>
      <c r="GIM347" s="444">
        <v>6</v>
      </c>
      <c r="GIN347" s="444" t="s">
        <v>1127</v>
      </c>
      <c r="GIO347" s="444">
        <v>6</v>
      </c>
      <c r="GIP347" s="444" t="s">
        <v>1127</v>
      </c>
      <c r="GIQ347" s="444">
        <v>6</v>
      </c>
      <c r="GIR347" s="444" t="s">
        <v>1127</v>
      </c>
      <c r="GIS347" s="444">
        <v>6</v>
      </c>
      <c r="GIT347" s="444" t="s">
        <v>1127</v>
      </c>
      <c r="GIU347" s="444">
        <v>6</v>
      </c>
      <c r="GIV347" s="444" t="s">
        <v>1127</v>
      </c>
      <c r="GIW347" s="444">
        <v>6</v>
      </c>
      <c r="GIX347" s="444" t="s">
        <v>1127</v>
      </c>
      <c r="GIY347" s="444">
        <v>6</v>
      </c>
      <c r="GIZ347" s="444" t="s">
        <v>1127</v>
      </c>
      <c r="GJA347" s="444">
        <v>6</v>
      </c>
      <c r="GJB347" s="444" t="s">
        <v>1127</v>
      </c>
      <c r="GJC347" s="444">
        <v>6</v>
      </c>
      <c r="GJD347" s="444" t="s">
        <v>1127</v>
      </c>
      <c r="GJE347" s="444">
        <v>6</v>
      </c>
      <c r="GJF347" s="444" t="s">
        <v>1127</v>
      </c>
      <c r="GJG347" s="444">
        <v>6</v>
      </c>
      <c r="GJH347" s="444" t="s">
        <v>1127</v>
      </c>
      <c r="GJI347" s="444">
        <v>6</v>
      </c>
      <c r="GJJ347" s="444" t="s">
        <v>1127</v>
      </c>
      <c r="GJK347" s="444">
        <v>6</v>
      </c>
      <c r="GJL347" s="444" t="s">
        <v>1127</v>
      </c>
      <c r="GJM347" s="444">
        <v>6</v>
      </c>
      <c r="GJN347" s="444" t="s">
        <v>1127</v>
      </c>
      <c r="GJO347" s="444">
        <v>6</v>
      </c>
      <c r="GJP347" s="444" t="s">
        <v>1127</v>
      </c>
      <c r="GJQ347" s="444">
        <v>6</v>
      </c>
      <c r="GJR347" s="444" t="s">
        <v>1127</v>
      </c>
      <c r="GJS347" s="444">
        <v>6</v>
      </c>
      <c r="GJT347" s="444" t="s">
        <v>1127</v>
      </c>
      <c r="GJU347" s="444">
        <v>6</v>
      </c>
      <c r="GJV347" s="444" t="s">
        <v>1127</v>
      </c>
      <c r="GJW347" s="444">
        <v>6</v>
      </c>
      <c r="GJX347" s="444" t="s">
        <v>1127</v>
      </c>
      <c r="GJY347" s="444">
        <v>6</v>
      </c>
      <c r="GJZ347" s="444" t="s">
        <v>1127</v>
      </c>
      <c r="GKA347" s="444">
        <v>6</v>
      </c>
      <c r="GKB347" s="444" t="s">
        <v>1127</v>
      </c>
      <c r="GKC347" s="444">
        <v>6</v>
      </c>
      <c r="GKD347" s="444" t="s">
        <v>1127</v>
      </c>
      <c r="GKE347" s="444">
        <v>6</v>
      </c>
      <c r="GKF347" s="444" t="s">
        <v>1127</v>
      </c>
      <c r="GKG347" s="444">
        <v>6</v>
      </c>
      <c r="GKH347" s="444" t="s">
        <v>1127</v>
      </c>
      <c r="GKI347" s="444">
        <v>6</v>
      </c>
      <c r="GKJ347" s="444" t="s">
        <v>1127</v>
      </c>
      <c r="GKK347" s="444">
        <v>6</v>
      </c>
      <c r="GKL347" s="444" t="s">
        <v>1127</v>
      </c>
      <c r="GKM347" s="444">
        <v>6</v>
      </c>
      <c r="GKN347" s="444" t="s">
        <v>1127</v>
      </c>
      <c r="GKO347" s="444">
        <v>6</v>
      </c>
      <c r="GKP347" s="444" t="s">
        <v>1127</v>
      </c>
      <c r="GKQ347" s="444">
        <v>6</v>
      </c>
      <c r="GKR347" s="444" t="s">
        <v>1127</v>
      </c>
      <c r="GKS347" s="444">
        <v>6</v>
      </c>
      <c r="GKT347" s="444" t="s">
        <v>1127</v>
      </c>
      <c r="GKU347" s="444">
        <v>6</v>
      </c>
      <c r="GKV347" s="444" t="s">
        <v>1127</v>
      </c>
      <c r="GKW347" s="444">
        <v>6</v>
      </c>
      <c r="GKX347" s="444" t="s">
        <v>1127</v>
      </c>
      <c r="GKY347" s="444">
        <v>6</v>
      </c>
      <c r="GKZ347" s="444" t="s">
        <v>1127</v>
      </c>
      <c r="GLA347" s="444">
        <v>6</v>
      </c>
      <c r="GLB347" s="444" t="s">
        <v>1127</v>
      </c>
      <c r="GLC347" s="444">
        <v>6</v>
      </c>
      <c r="GLD347" s="444" t="s">
        <v>1127</v>
      </c>
      <c r="GLE347" s="444">
        <v>6</v>
      </c>
      <c r="GLF347" s="444" t="s">
        <v>1127</v>
      </c>
      <c r="GLG347" s="444">
        <v>6</v>
      </c>
      <c r="GLH347" s="444" t="s">
        <v>1127</v>
      </c>
      <c r="GLI347" s="444">
        <v>6</v>
      </c>
      <c r="GLJ347" s="444" t="s">
        <v>1127</v>
      </c>
      <c r="GLK347" s="444">
        <v>6</v>
      </c>
      <c r="GLL347" s="444" t="s">
        <v>1127</v>
      </c>
      <c r="GLM347" s="444">
        <v>6</v>
      </c>
      <c r="GLN347" s="444" t="s">
        <v>1127</v>
      </c>
      <c r="GLO347" s="444">
        <v>6</v>
      </c>
      <c r="GLP347" s="444" t="s">
        <v>1127</v>
      </c>
      <c r="GLQ347" s="444">
        <v>6</v>
      </c>
      <c r="GLR347" s="444" t="s">
        <v>1127</v>
      </c>
      <c r="GLS347" s="444">
        <v>6</v>
      </c>
      <c r="GLT347" s="444" t="s">
        <v>1127</v>
      </c>
      <c r="GLU347" s="444">
        <v>6</v>
      </c>
      <c r="GLV347" s="444" t="s">
        <v>1127</v>
      </c>
      <c r="GLW347" s="444">
        <v>6</v>
      </c>
      <c r="GLX347" s="444" t="s">
        <v>1127</v>
      </c>
      <c r="GLY347" s="444">
        <v>6</v>
      </c>
      <c r="GLZ347" s="444" t="s">
        <v>1127</v>
      </c>
      <c r="GMA347" s="444">
        <v>6</v>
      </c>
      <c r="GMB347" s="444" t="s">
        <v>1127</v>
      </c>
      <c r="GMC347" s="444">
        <v>6</v>
      </c>
      <c r="GMD347" s="444" t="s">
        <v>1127</v>
      </c>
      <c r="GME347" s="444">
        <v>6</v>
      </c>
      <c r="GMF347" s="444" t="s">
        <v>1127</v>
      </c>
      <c r="GMG347" s="444">
        <v>6</v>
      </c>
      <c r="GMH347" s="444" t="s">
        <v>1127</v>
      </c>
      <c r="GMI347" s="444">
        <v>6</v>
      </c>
      <c r="GMJ347" s="444" t="s">
        <v>1127</v>
      </c>
      <c r="GMK347" s="444">
        <v>6</v>
      </c>
      <c r="GML347" s="444" t="s">
        <v>1127</v>
      </c>
      <c r="GMM347" s="444">
        <v>6</v>
      </c>
      <c r="GMN347" s="444" t="s">
        <v>1127</v>
      </c>
      <c r="GMO347" s="444">
        <v>6</v>
      </c>
      <c r="GMP347" s="444" t="s">
        <v>1127</v>
      </c>
      <c r="GMQ347" s="444">
        <v>6</v>
      </c>
      <c r="GMR347" s="444" t="s">
        <v>1127</v>
      </c>
      <c r="GMS347" s="444">
        <v>6</v>
      </c>
      <c r="GMT347" s="444" t="s">
        <v>1127</v>
      </c>
      <c r="GMU347" s="444">
        <v>6</v>
      </c>
      <c r="GMV347" s="444" t="s">
        <v>1127</v>
      </c>
      <c r="GMW347" s="444">
        <v>6</v>
      </c>
      <c r="GMX347" s="444" t="s">
        <v>1127</v>
      </c>
      <c r="GMY347" s="444">
        <v>6</v>
      </c>
      <c r="GMZ347" s="444" t="s">
        <v>1127</v>
      </c>
      <c r="GNA347" s="444">
        <v>6</v>
      </c>
      <c r="GNB347" s="444" t="s">
        <v>1127</v>
      </c>
      <c r="GNC347" s="444">
        <v>6</v>
      </c>
      <c r="GND347" s="444" t="s">
        <v>1127</v>
      </c>
      <c r="GNE347" s="444">
        <v>6</v>
      </c>
      <c r="GNF347" s="444" t="s">
        <v>1127</v>
      </c>
      <c r="GNG347" s="444">
        <v>6</v>
      </c>
      <c r="GNH347" s="444" t="s">
        <v>1127</v>
      </c>
      <c r="GNI347" s="444">
        <v>6</v>
      </c>
      <c r="GNJ347" s="444" t="s">
        <v>1127</v>
      </c>
      <c r="GNK347" s="444">
        <v>6</v>
      </c>
      <c r="GNL347" s="444" t="s">
        <v>1127</v>
      </c>
      <c r="GNM347" s="444">
        <v>6</v>
      </c>
      <c r="GNN347" s="444" t="s">
        <v>1127</v>
      </c>
      <c r="GNO347" s="444">
        <v>6</v>
      </c>
      <c r="GNP347" s="444" t="s">
        <v>1127</v>
      </c>
      <c r="GNQ347" s="444">
        <v>6</v>
      </c>
      <c r="GNR347" s="444" t="s">
        <v>1127</v>
      </c>
      <c r="GNS347" s="444">
        <v>6</v>
      </c>
      <c r="GNT347" s="444" t="s">
        <v>1127</v>
      </c>
      <c r="GNU347" s="444">
        <v>6</v>
      </c>
      <c r="GNV347" s="444" t="s">
        <v>1127</v>
      </c>
      <c r="GNW347" s="444">
        <v>6</v>
      </c>
      <c r="GNX347" s="444" t="s">
        <v>1127</v>
      </c>
      <c r="GNY347" s="444">
        <v>6</v>
      </c>
      <c r="GNZ347" s="444" t="s">
        <v>1127</v>
      </c>
      <c r="GOA347" s="444">
        <v>6</v>
      </c>
      <c r="GOB347" s="444" t="s">
        <v>1127</v>
      </c>
      <c r="GOC347" s="444">
        <v>6</v>
      </c>
      <c r="GOD347" s="444" t="s">
        <v>1127</v>
      </c>
      <c r="GOE347" s="444">
        <v>6</v>
      </c>
      <c r="GOF347" s="444" t="s">
        <v>1127</v>
      </c>
      <c r="GOG347" s="444">
        <v>6</v>
      </c>
      <c r="GOH347" s="444" t="s">
        <v>1127</v>
      </c>
      <c r="GOI347" s="444">
        <v>6</v>
      </c>
      <c r="GOJ347" s="444" t="s">
        <v>1127</v>
      </c>
      <c r="GOK347" s="444">
        <v>6</v>
      </c>
      <c r="GOL347" s="444" t="s">
        <v>1127</v>
      </c>
      <c r="GOM347" s="444">
        <v>6</v>
      </c>
      <c r="GON347" s="444" t="s">
        <v>1127</v>
      </c>
      <c r="GOO347" s="444">
        <v>6</v>
      </c>
      <c r="GOP347" s="444" t="s">
        <v>1127</v>
      </c>
      <c r="GOQ347" s="444">
        <v>6</v>
      </c>
      <c r="GOR347" s="444" t="s">
        <v>1127</v>
      </c>
      <c r="GOS347" s="444">
        <v>6</v>
      </c>
      <c r="GOT347" s="444" t="s">
        <v>1127</v>
      </c>
      <c r="GOU347" s="444">
        <v>6</v>
      </c>
      <c r="GOV347" s="444" t="s">
        <v>1127</v>
      </c>
      <c r="GOW347" s="444">
        <v>6</v>
      </c>
      <c r="GOX347" s="444" t="s">
        <v>1127</v>
      </c>
      <c r="GOY347" s="444">
        <v>6</v>
      </c>
      <c r="GOZ347" s="444" t="s">
        <v>1127</v>
      </c>
      <c r="GPA347" s="444">
        <v>6</v>
      </c>
      <c r="GPB347" s="444" t="s">
        <v>1127</v>
      </c>
      <c r="GPC347" s="444">
        <v>6</v>
      </c>
      <c r="GPD347" s="444" t="s">
        <v>1127</v>
      </c>
      <c r="GPE347" s="444">
        <v>6</v>
      </c>
      <c r="GPF347" s="444" t="s">
        <v>1127</v>
      </c>
      <c r="GPG347" s="444">
        <v>6</v>
      </c>
      <c r="GPH347" s="444" t="s">
        <v>1127</v>
      </c>
      <c r="GPI347" s="444">
        <v>6</v>
      </c>
      <c r="GPJ347" s="444" t="s">
        <v>1127</v>
      </c>
      <c r="GPK347" s="444">
        <v>6</v>
      </c>
      <c r="GPL347" s="444" t="s">
        <v>1127</v>
      </c>
      <c r="GPM347" s="444">
        <v>6</v>
      </c>
      <c r="GPN347" s="444" t="s">
        <v>1127</v>
      </c>
      <c r="GPO347" s="444">
        <v>6</v>
      </c>
      <c r="GPP347" s="444" t="s">
        <v>1127</v>
      </c>
      <c r="GPQ347" s="444">
        <v>6</v>
      </c>
      <c r="GPR347" s="444" t="s">
        <v>1127</v>
      </c>
      <c r="GPS347" s="444">
        <v>6</v>
      </c>
      <c r="GPT347" s="444" t="s">
        <v>1127</v>
      </c>
      <c r="GPU347" s="444">
        <v>6</v>
      </c>
      <c r="GPV347" s="444" t="s">
        <v>1127</v>
      </c>
      <c r="GPW347" s="444">
        <v>6</v>
      </c>
      <c r="GPX347" s="444" t="s">
        <v>1127</v>
      </c>
      <c r="GPY347" s="444">
        <v>6</v>
      </c>
      <c r="GPZ347" s="444" t="s">
        <v>1127</v>
      </c>
      <c r="GQA347" s="444">
        <v>6</v>
      </c>
      <c r="GQB347" s="444" t="s">
        <v>1127</v>
      </c>
      <c r="GQC347" s="444">
        <v>6</v>
      </c>
      <c r="GQD347" s="444" t="s">
        <v>1127</v>
      </c>
      <c r="GQE347" s="444">
        <v>6</v>
      </c>
      <c r="GQF347" s="444" t="s">
        <v>1127</v>
      </c>
      <c r="GQG347" s="444">
        <v>6</v>
      </c>
      <c r="GQH347" s="444" t="s">
        <v>1127</v>
      </c>
      <c r="GQI347" s="444">
        <v>6</v>
      </c>
      <c r="GQJ347" s="444" t="s">
        <v>1127</v>
      </c>
      <c r="GQK347" s="444">
        <v>6</v>
      </c>
      <c r="GQL347" s="444" t="s">
        <v>1127</v>
      </c>
      <c r="GQM347" s="444">
        <v>6</v>
      </c>
      <c r="GQN347" s="444" t="s">
        <v>1127</v>
      </c>
      <c r="GQO347" s="444">
        <v>6</v>
      </c>
      <c r="GQP347" s="444" t="s">
        <v>1127</v>
      </c>
      <c r="GQQ347" s="444">
        <v>6</v>
      </c>
      <c r="GQR347" s="444" t="s">
        <v>1127</v>
      </c>
      <c r="GQS347" s="444">
        <v>6</v>
      </c>
      <c r="GQT347" s="444" t="s">
        <v>1127</v>
      </c>
      <c r="GQU347" s="444">
        <v>6</v>
      </c>
      <c r="GQV347" s="444" t="s">
        <v>1127</v>
      </c>
      <c r="GQW347" s="444">
        <v>6</v>
      </c>
      <c r="GQX347" s="444" t="s">
        <v>1127</v>
      </c>
      <c r="GQY347" s="444">
        <v>6</v>
      </c>
      <c r="GQZ347" s="444" t="s">
        <v>1127</v>
      </c>
      <c r="GRA347" s="444">
        <v>6</v>
      </c>
      <c r="GRB347" s="444" t="s">
        <v>1127</v>
      </c>
      <c r="GRC347" s="444">
        <v>6</v>
      </c>
      <c r="GRD347" s="444" t="s">
        <v>1127</v>
      </c>
      <c r="GRE347" s="444">
        <v>6</v>
      </c>
      <c r="GRF347" s="444" t="s">
        <v>1127</v>
      </c>
      <c r="GRG347" s="444">
        <v>6</v>
      </c>
      <c r="GRH347" s="444" t="s">
        <v>1127</v>
      </c>
      <c r="GRI347" s="444">
        <v>6</v>
      </c>
      <c r="GRJ347" s="444" t="s">
        <v>1127</v>
      </c>
      <c r="GRK347" s="444">
        <v>6</v>
      </c>
      <c r="GRL347" s="444" t="s">
        <v>1127</v>
      </c>
      <c r="GRM347" s="444">
        <v>6</v>
      </c>
      <c r="GRN347" s="444" t="s">
        <v>1127</v>
      </c>
      <c r="GRO347" s="444">
        <v>6</v>
      </c>
      <c r="GRP347" s="444" t="s">
        <v>1127</v>
      </c>
      <c r="GRQ347" s="444">
        <v>6</v>
      </c>
      <c r="GRR347" s="444" t="s">
        <v>1127</v>
      </c>
      <c r="GRS347" s="444">
        <v>6</v>
      </c>
      <c r="GRT347" s="444" t="s">
        <v>1127</v>
      </c>
      <c r="GRU347" s="444">
        <v>6</v>
      </c>
      <c r="GRV347" s="444" t="s">
        <v>1127</v>
      </c>
      <c r="GRW347" s="444">
        <v>6</v>
      </c>
      <c r="GRX347" s="444" t="s">
        <v>1127</v>
      </c>
      <c r="GRY347" s="444">
        <v>6</v>
      </c>
      <c r="GRZ347" s="444" t="s">
        <v>1127</v>
      </c>
      <c r="GSA347" s="444">
        <v>6</v>
      </c>
      <c r="GSB347" s="444" t="s">
        <v>1127</v>
      </c>
      <c r="GSC347" s="444">
        <v>6</v>
      </c>
      <c r="GSD347" s="444" t="s">
        <v>1127</v>
      </c>
      <c r="GSE347" s="444">
        <v>6</v>
      </c>
      <c r="GSF347" s="444" t="s">
        <v>1127</v>
      </c>
      <c r="GSG347" s="444">
        <v>6</v>
      </c>
      <c r="GSH347" s="444" t="s">
        <v>1127</v>
      </c>
      <c r="GSI347" s="444">
        <v>6</v>
      </c>
      <c r="GSJ347" s="444" t="s">
        <v>1127</v>
      </c>
      <c r="GSK347" s="444">
        <v>6</v>
      </c>
      <c r="GSL347" s="444" t="s">
        <v>1127</v>
      </c>
      <c r="GSM347" s="444">
        <v>6</v>
      </c>
      <c r="GSN347" s="444" t="s">
        <v>1127</v>
      </c>
      <c r="GSO347" s="444">
        <v>6</v>
      </c>
      <c r="GSP347" s="444" t="s">
        <v>1127</v>
      </c>
      <c r="GSQ347" s="444">
        <v>6</v>
      </c>
      <c r="GSR347" s="444" t="s">
        <v>1127</v>
      </c>
      <c r="GSS347" s="444">
        <v>6</v>
      </c>
      <c r="GST347" s="444" t="s">
        <v>1127</v>
      </c>
      <c r="GSU347" s="444">
        <v>6</v>
      </c>
      <c r="GSV347" s="444" t="s">
        <v>1127</v>
      </c>
      <c r="GSW347" s="444">
        <v>6</v>
      </c>
      <c r="GSX347" s="444" t="s">
        <v>1127</v>
      </c>
      <c r="GSY347" s="444">
        <v>6</v>
      </c>
      <c r="GSZ347" s="444" t="s">
        <v>1127</v>
      </c>
      <c r="GTA347" s="444">
        <v>6</v>
      </c>
      <c r="GTB347" s="444" t="s">
        <v>1127</v>
      </c>
      <c r="GTC347" s="444">
        <v>6</v>
      </c>
      <c r="GTD347" s="444" t="s">
        <v>1127</v>
      </c>
      <c r="GTE347" s="444">
        <v>6</v>
      </c>
      <c r="GTF347" s="444" t="s">
        <v>1127</v>
      </c>
      <c r="GTG347" s="444">
        <v>6</v>
      </c>
      <c r="GTH347" s="444" t="s">
        <v>1127</v>
      </c>
      <c r="GTI347" s="444">
        <v>6</v>
      </c>
      <c r="GTJ347" s="444" t="s">
        <v>1127</v>
      </c>
      <c r="GTK347" s="444">
        <v>6</v>
      </c>
      <c r="GTL347" s="444" t="s">
        <v>1127</v>
      </c>
      <c r="GTM347" s="444">
        <v>6</v>
      </c>
      <c r="GTN347" s="444" t="s">
        <v>1127</v>
      </c>
      <c r="GTO347" s="444">
        <v>6</v>
      </c>
      <c r="GTP347" s="444" t="s">
        <v>1127</v>
      </c>
      <c r="GTQ347" s="444">
        <v>6</v>
      </c>
      <c r="GTR347" s="444" t="s">
        <v>1127</v>
      </c>
      <c r="GTS347" s="444">
        <v>6</v>
      </c>
      <c r="GTT347" s="444" t="s">
        <v>1127</v>
      </c>
      <c r="GTU347" s="444">
        <v>6</v>
      </c>
      <c r="GTV347" s="444" t="s">
        <v>1127</v>
      </c>
      <c r="GTW347" s="444">
        <v>6</v>
      </c>
      <c r="GTX347" s="444" t="s">
        <v>1127</v>
      </c>
      <c r="GTY347" s="444">
        <v>6</v>
      </c>
      <c r="GTZ347" s="444" t="s">
        <v>1127</v>
      </c>
      <c r="GUA347" s="444">
        <v>6</v>
      </c>
      <c r="GUB347" s="444" t="s">
        <v>1127</v>
      </c>
      <c r="GUC347" s="444">
        <v>6</v>
      </c>
      <c r="GUD347" s="444" t="s">
        <v>1127</v>
      </c>
      <c r="GUE347" s="444">
        <v>6</v>
      </c>
      <c r="GUF347" s="444" t="s">
        <v>1127</v>
      </c>
      <c r="GUG347" s="444">
        <v>6</v>
      </c>
      <c r="GUH347" s="444" t="s">
        <v>1127</v>
      </c>
      <c r="GUI347" s="444">
        <v>6</v>
      </c>
      <c r="GUJ347" s="444" t="s">
        <v>1127</v>
      </c>
      <c r="GUK347" s="444">
        <v>6</v>
      </c>
      <c r="GUL347" s="444" t="s">
        <v>1127</v>
      </c>
      <c r="GUM347" s="444">
        <v>6</v>
      </c>
      <c r="GUN347" s="444" t="s">
        <v>1127</v>
      </c>
      <c r="GUO347" s="444">
        <v>6</v>
      </c>
      <c r="GUP347" s="444" t="s">
        <v>1127</v>
      </c>
      <c r="GUQ347" s="444">
        <v>6</v>
      </c>
      <c r="GUR347" s="444" t="s">
        <v>1127</v>
      </c>
      <c r="GUS347" s="444">
        <v>6</v>
      </c>
      <c r="GUT347" s="444" t="s">
        <v>1127</v>
      </c>
      <c r="GUU347" s="444">
        <v>6</v>
      </c>
      <c r="GUV347" s="444" t="s">
        <v>1127</v>
      </c>
      <c r="GUW347" s="444">
        <v>6</v>
      </c>
      <c r="GUX347" s="444" t="s">
        <v>1127</v>
      </c>
      <c r="GUY347" s="444">
        <v>6</v>
      </c>
      <c r="GUZ347" s="444" t="s">
        <v>1127</v>
      </c>
      <c r="GVA347" s="444">
        <v>6</v>
      </c>
      <c r="GVB347" s="444" t="s">
        <v>1127</v>
      </c>
      <c r="GVC347" s="444">
        <v>6</v>
      </c>
      <c r="GVD347" s="444" t="s">
        <v>1127</v>
      </c>
      <c r="GVE347" s="444">
        <v>6</v>
      </c>
      <c r="GVF347" s="444" t="s">
        <v>1127</v>
      </c>
      <c r="GVG347" s="444">
        <v>6</v>
      </c>
      <c r="GVH347" s="444" t="s">
        <v>1127</v>
      </c>
      <c r="GVI347" s="444">
        <v>6</v>
      </c>
      <c r="GVJ347" s="444" t="s">
        <v>1127</v>
      </c>
      <c r="GVK347" s="444">
        <v>6</v>
      </c>
      <c r="GVL347" s="444" t="s">
        <v>1127</v>
      </c>
      <c r="GVM347" s="444">
        <v>6</v>
      </c>
      <c r="GVN347" s="444" t="s">
        <v>1127</v>
      </c>
      <c r="GVO347" s="444">
        <v>6</v>
      </c>
      <c r="GVP347" s="444" t="s">
        <v>1127</v>
      </c>
      <c r="GVQ347" s="444">
        <v>6</v>
      </c>
      <c r="GVR347" s="444" t="s">
        <v>1127</v>
      </c>
      <c r="GVS347" s="444">
        <v>6</v>
      </c>
      <c r="GVT347" s="444" t="s">
        <v>1127</v>
      </c>
      <c r="GVU347" s="444">
        <v>6</v>
      </c>
      <c r="GVV347" s="444" t="s">
        <v>1127</v>
      </c>
      <c r="GVW347" s="444">
        <v>6</v>
      </c>
      <c r="GVX347" s="444" t="s">
        <v>1127</v>
      </c>
      <c r="GVY347" s="444">
        <v>6</v>
      </c>
      <c r="GVZ347" s="444" t="s">
        <v>1127</v>
      </c>
      <c r="GWA347" s="444">
        <v>6</v>
      </c>
      <c r="GWB347" s="444" t="s">
        <v>1127</v>
      </c>
      <c r="GWC347" s="444">
        <v>6</v>
      </c>
      <c r="GWD347" s="444" t="s">
        <v>1127</v>
      </c>
      <c r="GWE347" s="444">
        <v>6</v>
      </c>
      <c r="GWF347" s="444" t="s">
        <v>1127</v>
      </c>
      <c r="GWG347" s="444">
        <v>6</v>
      </c>
      <c r="GWH347" s="444" t="s">
        <v>1127</v>
      </c>
      <c r="GWI347" s="444">
        <v>6</v>
      </c>
      <c r="GWJ347" s="444" t="s">
        <v>1127</v>
      </c>
      <c r="GWK347" s="444">
        <v>6</v>
      </c>
      <c r="GWL347" s="444" t="s">
        <v>1127</v>
      </c>
      <c r="GWM347" s="444">
        <v>6</v>
      </c>
      <c r="GWN347" s="444" t="s">
        <v>1127</v>
      </c>
      <c r="GWO347" s="444">
        <v>6</v>
      </c>
      <c r="GWP347" s="444" t="s">
        <v>1127</v>
      </c>
      <c r="GWQ347" s="444">
        <v>6</v>
      </c>
      <c r="GWR347" s="444" t="s">
        <v>1127</v>
      </c>
      <c r="GWS347" s="444">
        <v>6</v>
      </c>
      <c r="GWT347" s="444" t="s">
        <v>1127</v>
      </c>
      <c r="GWU347" s="444">
        <v>6</v>
      </c>
      <c r="GWV347" s="444" t="s">
        <v>1127</v>
      </c>
      <c r="GWW347" s="444">
        <v>6</v>
      </c>
      <c r="GWX347" s="444" t="s">
        <v>1127</v>
      </c>
      <c r="GWY347" s="444">
        <v>6</v>
      </c>
      <c r="GWZ347" s="444" t="s">
        <v>1127</v>
      </c>
      <c r="GXA347" s="444">
        <v>6</v>
      </c>
      <c r="GXB347" s="444" t="s">
        <v>1127</v>
      </c>
      <c r="GXC347" s="444">
        <v>6</v>
      </c>
      <c r="GXD347" s="444" t="s">
        <v>1127</v>
      </c>
      <c r="GXE347" s="444">
        <v>6</v>
      </c>
      <c r="GXF347" s="444" t="s">
        <v>1127</v>
      </c>
      <c r="GXG347" s="444">
        <v>6</v>
      </c>
      <c r="GXH347" s="444" t="s">
        <v>1127</v>
      </c>
      <c r="GXI347" s="444">
        <v>6</v>
      </c>
      <c r="GXJ347" s="444" t="s">
        <v>1127</v>
      </c>
      <c r="GXK347" s="444">
        <v>6</v>
      </c>
      <c r="GXL347" s="444" t="s">
        <v>1127</v>
      </c>
      <c r="GXM347" s="444">
        <v>6</v>
      </c>
      <c r="GXN347" s="444" t="s">
        <v>1127</v>
      </c>
      <c r="GXO347" s="444">
        <v>6</v>
      </c>
      <c r="GXP347" s="444" t="s">
        <v>1127</v>
      </c>
      <c r="GXQ347" s="444">
        <v>6</v>
      </c>
      <c r="GXR347" s="444" t="s">
        <v>1127</v>
      </c>
      <c r="GXS347" s="444">
        <v>6</v>
      </c>
      <c r="GXT347" s="444" t="s">
        <v>1127</v>
      </c>
      <c r="GXU347" s="444">
        <v>6</v>
      </c>
      <c r="GXV347" s="444" t="s">
        <v>1127</v>
      </c>
      <c r="GXW347" s="444">
        <v>6</v>
      </c>
      <c r="GXX347" s="444" t="s">
        <v>1127</v>
      </c>
      <c r="GXY347" s="444">
        <v>6</v>
      </c>
      <c r="GXZ347" s="444" t="s">
        <v>1127</v>
      </c>
      <c r="GYA347" s="444">
        <v>6</v>
      </c>
      <c r="GYB347" s="444" t="s">
        <v>1127</v>
      </c>
      <c r="GYC347" s="444">
        <v>6</v>
      </c>
      <c r="GYD347" s="444" t="s">
        <v>1127</v>
      </c>
      <c r="GYE347" s="444">
        <v>6</v>
      </c>
      <c r="GYF347" s="444" t="s">
        <v>1127</v>
      </c>
      <c r="GYG347" s="444">
        <v>6</v>
      </c>
      <c r="GYH347" s="444" t="s">
        <v>1127</v>
      </c>
      <c r="GYI347" s="444">
        <v>6</v>
      </c>
      <c r="GYJ347" s="444" t="s">
        <v>1127</v>
      </c>
      <c r="GYK347" s="444">
        <v>6</v>
      </c>
      <c r="GYL347" s="444" t="s">
        <v>1127</v>
      </c>
      <c r="GYM347" s="444">
        <v>6</v>
      </c>
      <c r="GYN347" s="444" t="s">
        <v>1127</v>
      </c>
      <c r="GYO347" s="444">
        <v>6</v>
      </c>
      <c r="GYP347" s="444" t="s">
        <v>1127</v>
      </c>
      <c r="GYQ347" s="444">
        <v>6</v>
      </c>
      <c r="GYR347" s="444" t="s">
        <v>1127</v>
      </c>
      <c r="GYS347" s="444">
        <v>6</v>
      </c>
      <c r="GYT347" s="444" t="s">
        <v>1127</v>
      </c>
      <c r="GYU347" s="444">
        <v>6</v>
      </c>
      <c r="GYV347" s="444" t="s">
        <v>1127</v>
      </c>
      <c r="GYW347" s="444">
        <v>6</v>
      </c>
      <c r="GYX347" s="444" t="s">
        <v>1127</v>
      </c>
      <c r="GYY347" s="444">
        <v>6</v>
      </c>
      <c r="GYZ347" s="444" t="s">
        <v>1127</v>
      </c>
      <c r="GZA347" s="444">
        <v>6</v>
      </c>
      <c r="GZB347" s="444" t="s">
        <v>1127</v>
      </c>
      <c r="GZC347" s="444">
        <v>6</v>
      </c>
      <c r="GZD347" s="444" t="s">
        <v>1127</v>
      </c>
      <c r="GZE347" s="444">
        <v>6</v>
      </c>
      <c r="GZF347" s="444" t="s">
        <v>1127</v>
      </c>
      <c r="GZG347" s="444">
        <v>6</v>
      </c>
      <c r="GZH347" s="444" t="s">
        <v>1127</v>
      </c>
      <c r="GZI347" s="444">
        <v>6</v>
      </c>
      <c r="GZJ347" s="444" t="s">
        <v>1127</v>
      </c>
      <c r="GZK347" s="444">
        <v>6</v>
      </c>
      <c r="GZL347" s="444" t="s">
        <v>1127</v>
      </c>
      <c r="GZM347" s="444">
        <v>6</v>
      </c>
      <c r="GZN347" s="444" t="s">
        <v>1127</v>
      </c>
      <c r="GZO347" s="444">
        <v>6</v>
      </c>
      <c r="GZP347" s="444" t="s">
        <v>1127</v>
      </c>
      <c r="GZQ347" s="444">
        <v>6</v>
      </c>
      <c r="GZR347" s="444" t="s">
        <v>1127</v>
      </c>
      <c r="GZS347" s="444">
        <v>6</v>
      </c>
      <c r="GZT347" s="444" t="s">
        <v>1127</v>
      </c>
      <c r="GZU347" s="444">
        <v>6</v>
      </c>
      <c r="GZV347" s="444" t="s">
        <v>1127</v>
      </c>
      <c r="GZW347" s="444">
        <v>6</v>
      </c>
      <c r="GZX347" s="444" t="s">
        <v>1127</v>
      </c>
      <c r="GZY347" s="444">
        <v>6</v>
      </c>
      <c r="GZZ347" s="444" t="s">
        <v>1127</v>
      </c>
      <c r="HAA347" s="444">
        <v>6</v>
      </c>
      <c r="HAB347" s="444" t="s">
        <v>1127</v>
      </c>
      <c r="HAC347" s="444">
        <v>6</v>
      </c>
      <c r="HAD347" s="444" t="s">
        <v>1127</v>
      </c>
      <c r="HAE347" s="444">
        <v>6</v>
      </c>
      <c r="HAF347" s="444" t="s">
        <v>1127</v>
      </c>
      <c r="HAG347" s="444">
        <v>6</v>
      </c>
      <c r="HAH347" s="444" t="s">
        <v>1127</v>
      </c>
      <c r="HAI347" s="444">
        <v>6</v>
      </c>
      <c r="HAJ347" s="444" t="s">
        <v>1127</v>
      </c>
      <c r="HAK347" s="444">
        <v>6</v>
      </c>
      <c r="HAL347" s="444" t="s">
        <v>1127</v>
      </c>
      <c r="HAM347" s="444">
        <v>6</v>
      </c>
      <c r="HAN347" s="444" t="s">
        <v>1127</v>
      </c>
      <c r="HAO347" s="444">
        <v>6</v>
      </c>
      <c r="HAP347" s="444" t="s">
        <v>1127</v>
      </c>
      <c r="HAQ347" s="444">
        <v>6</v>
      </c>
      <c r="HAR347" s="444" t="s">
        <v>1127</v>
      </c>
      <c r="HAS347" s="444">
        <v>6</v>
      </c>
      <c r="HAT347" s="444" t="s">
        <v>1127</v>
      </c>
      <c r="HAU347" s="444">
        <v>6</v>
      </c>
      <c r="HAV347" s="444" t="s">
        <v>1127</v>
      </c>
      <c r="HAW347" s="444">
        <v>6</v>
      </c>
      <c r="HAX347" s="444" t="s">
        <v>1127</v>
      </c>
      <c r="HAY347" s="444">
        <v>6</v>
      </c>
      <c r="HAZ347" s="444" t="s">
        <v>1127</v>
      </c>
      <c r="HBA347" s="444">
        <v>6</v>
      </c>
      <c r="HBB347" s="444" t="s">
        <v>1127</v>
      </c>
      <c r="HBC347" s="444">
        <v>6</v>
      </c>
      <c r="HBD347" s="444" t="s">
        <v>1127</v>
      </c>
      <c r="HBE347" s="444">
        <v>6</v>
      </c>
      <c r="HBF347" s="444" t="s">
        <v>1127</v>
      </c>
      <c r="HBG347" s="444">
        <v>6</v>
      </c>
      <c r="HBH347" s="444" t="s">
        <v>1127</v>
      </c>
      <c r="HBI347" s="444">
        <v>6</v>
      </c>
      <c r="HBJ347" s="444" t="s">
        <v>1127</v>
      </c>
      <c r="HBK347" s="444">
        <v>6</v>
      </c>
      <c r="HBL347" s="444" t="s">
        <v>1127</v>
      </c>
      <c r="HBM347" s="444">
        <v>6</v>
      </c>
      <c r="HBN347" s="444" t="s">
        <v>1127</v>
      </c>
      <c r="HBO347" s="444">
        <v>6</v>
      </c>
      <c r="HBP347" s="444" t="s">
        <v>1127</v>
      </c>
      <c r="HBQ347" s="444">
        <v>6</v>
      </c>
      <c r="HBR347" s="444" t="s">
        <v>1127</v>
      </c>
      <c r="HBS347" s="444">
        <v>6</v>
      </c>
      <c r="HBT347" s="444" t="s">
        <v>1127</v>
      </c>
      <c r="HBU347" s="444">
        <v>6</v>
      </c>
      <c r="HBV347" s="444" t="s">
        <v>1127</v>
      </c>
      <c r="HBW347" s="444">
        <v>6</v>
      </c>
      <c r="HBX347" s="444" t="s">
        <v>1127</v>
      </c>
      <c r="HBY347" s="444">
        <v>6</v>
      </c>
      <c r="HBZ347" s="444" t="s">
        <v>1127</v>
      </c>
      <c r="HCA347" s="444">
        <v>6</v>
      </c>
      <c r="HCB347" s="444" t="s">
        <v>1127</v>
      </c>
      <c r="HCC347" s="444">
        <v>6</v>
      </c>
      <c r="HCD347" s="444" t="s">
        <v>1127</v>
      </c>
      <c r="HCE347" s="444">
        <v>6</v>
      </c>
      <c r="HCF347" s="444" t="s">
        <v>1127</v>
      </c>
      <c r="HCG347" s="444">
        <v>6</v>
      </c>
      <c r="HCH347" s="444" t="s">
        <v>1127</v>
      </c>
      <c r="HCI347" s="444">
        <v>6</v>
      </c>
      <c r="HCJ347" s="444" t="s">
        <v>1127</v>
      </c>
      <c r="HCK347" s="444">
        <v>6</v>
      </c>
      <c r="HCL347" s="444" t="s">
        <v>1127</v>
      </c>
      <c r="HCM347" s="444">
        <v>6</v>
      </c>
      <c r="HCN347" s="444" t="s">
        <v>1127</v>
      </c>
      <c r="HCO347" s="444">
        <v>6</v>
      </c>
      <c r="HCP347" s="444" t="s">
        <v>1127</v>
      </c>
      <c r="HCQ347" s="444">
        <v>6</v>
      </c>
      <c r="HCR347" s="444" t="s">
        <v>1127</v>
      </c>
      <c r="HCS347" s="444">
        <v>6</v>
      </c>
      <c r="HCT347" s="444" t="s">
        <v>1127</v>
      </c>
      <c r="HCU347" s="444">
        <v>6</v>
      </c>
      <c r="HCV347" s="444" t="s">
        <v>1127</v>
      </c>
      <c r="HCW347" s="444">
        <v>6</v>
      </c>
      <c r="HCX347" s="444" t="s">
        <v>1127</v>
      </c>
      <c r="HCY347" s="444">
        <v>6</v>
      </c>
      <c r="HCZ347" s="444" t="s">
        <v>1127</v>
      </c>
      <c r="HDA347" s="444">
        <v>6</v>
      </c>
      <c r="HDB347" s="444" t="s">
        <v>1127</v>
      </c>
      <c r="HDC347" s="444">
        <v>6</v>
      </c>
      <c r="HDD347" s="444" t="s">
        <v>1127</v>
      </c>
      <c r="HDE347" s="444">
        <v>6</v>
      </c>
      <c r="HDF347" s="444" t="s">
        <v>1127</v>
      </c>
      <c r="HDG347" s="444">
        <v>6</v>
      </c>
      <c r="HDH347" s="444" t="s">
        <v>1127</v>
      </c>
      <c r="HDI347" s="444">
        <v>6</v>
      </c>
      <c r="HDJ347" s="444" t="s">
        <v>1127</v>
      </c>
      <c r="HDK347" s="444">
        <v>6</v>
      </c>
      <c r="HDL347" s="444" t="s">
        <v>1127</v>
      </c>
      <c r="HDM347" s="444">
        <v>6</v>
      </c>
      <c r="HDN347" s="444" t="s">
        <v>1127</v>
      </c>
      <c r="HDO347" s="444">
        <v>6</v>
      </c>
      <c r="HDP347" s="444" t="s">
        <v>1127</v>
      </c>
      <c r="HDQ347" s="444">
        <v>6</v>
      </c>
      <c r="HDR347" s="444" t="s">
        <v>1127</v>
      </c>
      <c r="HDS347" s="444">
        <v>6</v>
      </c>
      <c r="HDT347" s="444" t="s">
        <v>1127</v>
      </c>
      <c r="HDU347" s="444">
        <v>6</v>
      </c>
      <c r="HDV347" s="444" t="s">
        <v>1127</v>
      </c>
      <c r="HDW347" s="444">
        <v>6</v>
      </c>
      <c r="HDX347" s="444" t="s">
        <v>1127</v>
      </c>
      <c r="HDY347" s="444">
        <v>6</v>
      </c>
      <c r="HDZ347" s="444" t="s">
        <v>1127</v>
      </c>
      <c r="HEA347" s="444">
        <v>6</v>
      </c>
      <c r="HEB347" s="444" t="s">
        <v>1127</v>
      </c>
      <c r="HEC347" s="444">
        <v>6</v>
      </c>
      <c r="HED347" s="444" t="s">
        <v>1127</v>
      </c>
      <c r="HEE347" s="444">
        <v>6</v>
      </c>
      <c r="HEF347" s="444" t="s">
        <v>1127</v>
      </c>
      <c r="HEG347" s="444">
        <v>6</v>
      </c>
      <c r="HEH347" s="444" t="s">
        <v>1127</v>
      </c>
      <c r="HEI347" s="444">
        <v>6</v>
      </c>
      <c r="HEJ347" s="444" t="s">
        <v>1127</v>
      </c>
      <c r="HEK347" s="444">
        <v>6</v>
      </c>
      <c r="HEL347" s="444" t="s">
        <v>1127</v>
      </c>
      <c r="HEM347" s="444">
        <v>6</v>
      </c>
      <c r="HEN347" s="444" t="s">
        <v>1127</v>
      </c>
      <c r="HEO347" s="444">
        <v>6</v>
      </c>
      <c r="HEP347" s="444" t="s">
        <v>1127</v>
      </c>
      <c r="HEQ347" s="444">
        <v>6</v>
      </c>
      <c r="HER347" s="444" t="s">
        <v>1127</v>
      </c>
      <c r="HES347" s="444">
        <v>6</v>
      </c>
      <c r="HET347" s="444" t="s">
        <v>1127</v>
      </c>
      <c r="HEU347" s="444">
        <v>6</v>
      </c>
      <c r="HEV347" s="444" t="s">
        <v>1127</v>
      </c>
      <c r="HEW347" s="444">
        <v>6</v>
      </c>
      <c r="HEX347" s="444" t="s">
        <v>1127</v>
      </c>
      <c r="HEY347" s="444">
        <v>6</v>
      </c>
      <c r="HEZ347" s="444" t="s">
        <v>1127</v>
      </c>
      <c r="HFA347" s="444">
        <v>6</v>
      </c>
      <c r="HFB347" s="444" t="s">
        <v>1127</v>
      </c>
      <c r="HFC347" s="444">
        <v>6</v>
      </c>
      <c r="HFD347" s="444" t="s">
        <v>1127</v>
      </c>
      <c r="HFE347" s="444">
        <v>6</v>
      </c>
      <c r="HFF347" s="444" t="s">
        <v>1127</v>
      </c>
      <c r="HFG347" s="444">
        <v>6</v>
      </c>
      <c r="HFH347" s="444" t="s">
        <v>1127</v>
      </c>
      <c r="HFI347" s="444">
        <v>6</v>
      </c>
      <c r="HFJ347" s="444" t="s">
        <v>1127</v>
      </c>
      <c r="HFK347" s="444">
        <v>6</v>
      </c>
      <c r="HFL347" s="444" t="s">
        <v>1127</v>
      </c>
      <c r="HFM347" s="444">
        <v>6</v>
      </c>
      <c r="HFN347" s="444" t="s">
        <v>1127</v>
      </c>
      <c r="HFO347" s="444">
        <v>6</v>
      </c>
      <c r="HFP347" s="444" t="s">
        <v>1127</v>
      </c>
      <c r="HFQ347" s="444">
        <v>6</v>
      </c>
      <c r="HFR347" s="444" t="s">
        <v>1127</v>
      </c>
      <c r="HFS347" s="444">
        <v>6</v>
      </c>
      <c r="HFT347" s="444" t="s">
        <v>1127</v>
      </c>
      <c r="HFU347" s="444">
        <v>6</v>
      </c>
      <c r="HFV347" s="444" t="s">
        <v>1127</v>
      </c>
      <c r="HFW347" s="444">
        <v>6</v>
      </c>
      <c r="HFX347" s="444" t="s">
        <v>1127</v>
      </c>
      <c r="HFY347" s="444">
        <v>6</v>
      </c>
      <c r="HFZ347" s="444" t="s">
        <v>1127</v>
      </c>
      <c r="HGA347" s="444">
        <v>6</v>
      </c>
      <c r="HGB347" s="444" t="s">
        <v>1127</v>
      </c>
      <c r="HGC347" s="444">
        <v>6</v>
      </c>
      <c r="HGD347" s="444" t="s">
        <v>1127</v>
      </c>
      <c r="HGE347" s="444">
        <v>6</v>
      </c>
      <c r="HGF347" s="444" t="s">
        <v>1127</v>
      </c>
      <c r="HGG347" s="444">
        <v>6</v>
      </c>
      <c r="HGH347" s="444" t="s">
        <v>1127</v>
      </c>
      <c r="HGI347" s="444">
        <v>6</v>
      </c>
      <c r="HGJ347" s="444" t="s">
        <v>1127</v>
      </c>
      <c r="HGK347" s="444">
        <v>6</v>
      </c>
      <c r="HGL347" s="444" t="s">
        <v>1127</v>
      </c>
      <c r="HGM347" s="444">
        <v>6</v>
      </c>
      <c r="HGN347" s="444" t="s">
        <v>1127</v>
      </c>
      <c r="HGO347" s="444">
        <v>6</v>
      </c>
      <c r="HGP347" s="444" t="s">
        <v>1127</v>
      </c>
      <c r="HGQ347" s="444">
        <v>6</v>
      </c>
      <c r="HGR347" s="444" t="s">
        <v>1127</v>
      </c>
      <c r="HGS347" s="444">
        <v>6</v>
      </c>
      <c r="HGT347" s="444" t="s">
        <v>1127</v>
      </c>
      <c r="HGU347" s="444">
        <v>6</v>
      </c>
      <c r="HGV347" s="444" t="s">
        <v>1127</v>
      </c>
      <c r="HGW347" s="444">
        <v>6</v>
      </c>
      <c r="HGX347" s="444" t="s">
        <v>1127</v>
      </c>
      <c r="HGY347" s="444">
        <v>6</v>
      </c>
      <c r="HGZ347" s="444" t="s">
        <v>1127</v>
      </c>
      <c r="HHA347" s="444">
        <v>6</v>
      </c>
      <c r="HHB347" s="444" t="s">
        <v>1127</v>
      </c>
      <c r="HHC347" s="444">
        <v>6</v>
      </c>
      <c r="HHD347" s="444" t="s">
        <v>1127</v>
      </c>
      <c r="HHE347" s="444">
        <v>6</v>
      </c>
      <c r="HHF347" s="444" t="s">
        <v>1127</v>
      </c>
      <c r="HHG347" s="444">
        <v>6</v>
      </c>
      <c r="HHH347" s="444" t="s">
        <v>1127</v>
      </c>
      <c r="HHI347" s="444">
        <v>6</v>
      </c>
      <c r="HHJ347" s="444" t="s">
        <v>1127</v>
      </c>
      <c r="HHK347" s="444">
        <v>6</v>
      </c>
      <c r="HHL347" s="444" t="s">
        <v>1127</v>
      </c>
      <c r="HHM347" s="444">
        <v>6</v>
      </c>
      <c r="HHN347" s="444" t="s">
        <v>1127</v>
      </c>
      <c r="HHO347" s="444">
        <v>6</v>
      </c>
      <c r="HHP347" s="444" t="s">
        <v>1127</v>
      </c>
      <c r="HHQ347" s="444">
        <v>6</v>
      </c>
      <c r="HHR347" s="444" t="s">
        <v>1127</v>
      </c>
      <c r="HHS347" s="444">
        <v>6</v>
      </c>
      <c r="HHT347" s="444" t="s">
        <v>1127</v>
      </c>
      <c r="HHU347" s="444">
        <v>6</v>
      </c>
      <c r="HHV347" s="444" t="s">
        <v>1127</v>
      </c>
      <c r="HHW347" s="444">
        <v>6</v>
      </c>
      <c r="HHX347" s="444" t="s">
        <v>1127</v>
      </c>
      <c r="HHY347" s="444">
        <v>6</v>
      </c>
      <c r="HHZ347" s="444" t="s">
        <v>1127</v>
      </c>
      <c r="HIA347" s="444">
        <v>6</v>
      </c>
      <c r="HIB347" s="444" t="s">
        <v>1127</v>
      </c>
      <c r="HIC347" s="444">
        <v>6</v>
      </c>
      <c r="HID347" s="444" t="s">
        <v>1127</v>
      </c>
      <c r="HIE347" s="444">
        <v>6</v>
      </c>
      <c r="HIF347" s="444" t="s">
        <v>1127</v>
      </c>
      <c r="HIG347" s="444">
        <v>6</v>
      </c>
      <c r="HIH347" s="444" t="s">
        <v>1127</v>
      </c>
      <c r="HII347" s="444">
        <v>6</v>
      </c>
      <c r="HIJ347" s="444" t="s">
        <v>1127</v>
      </c>
      <c r="HIK347" s="444">
        <v>6</v>
      </c>
      <c r="HIL347" s="444" t="s">
        <v>1127</v>
      </c>
      <c r="HIM347" s="444">
        <v>6</v>
      </c>
      <c r="HIN347" s="444" t="s">
        <v>1127</v>
      </c>
      <c r="HIO347" s="444">
        <v>6</v>
      </c>
      <c r="HIP347" s="444" t="s">
        <v>1127</v>
      </c>
      <c r="HIQ347" s="444">
        <v>6</v>
      </c>
      <c r="HIR347" s="444" t="s">
        <v>1127</v>
      </c>
      <c r="HIS347" s="444">
        <v>6</v>
      </c>
      <c r="HIT347" s="444" t="s">
        <v>1127</v>
      </c>
      <c r="HIU347" s="444">
        <v>6</v>
      </c>
      <c r="HIV347" s="444" t="s">
        <v>1127</v>
      </c>
      <c r="HIW347" s="444">
        <v>6</v>
      </c>
      <c r="HIX347" s="444" t="s">
        <v>1127</v>
      </c>
      <c r="HIY347" s="444">
        <v>6</v>
      </c>
      <c r="HIZ347" s="444" t="s">
        <v>1127</v>
      </c>
      <c r="HJA347" s="444">
        <v>6</v>
      </c>
      <c r="HJB347" s="444" t="s">
        <v>1127</v>
      </c>
      <c r="HJC347" s="444">
        <v>6</v>
      </c>
      <c r="HJD347" s="444" t="s">
        <v>1127</v>
      </c>
      <c r="HJE347" s="444">
        <v>6</v>
      </c>
      <c r="HJF347" s="444" t="s">
        <v>1127</v>
      </c>
      <c r="HJG347" s="444">
        <v>6</v>
      </c>
      <c r="HJH347" s="444" t="s">
        <v>1127</v>
      </c>
      <c r="HJI347" s="444">
        <v>6</v>
      </c>
      <c r="HJJ347" s="444" t="s">
        <v>1127</v>
      </c>
      <c r="HJK347" s="444">
        <v>6</v>
      </c>
      <c r="HJL347" s="444" t="s">
        <v>1127</v>
      </c>
      <c r="HJM347" s="444">
        <v>6</v>
      </c>
      <c r="HJN347" s="444" t="s">
        <v>1127</v>
      </c>
      <c r="HJO347" s="444">
        <v>6</v>
      </c>
      <c r="HJP347" s="444" t="s">
        <v>1127</v>
      </c>
      <c r="HJQ347" s="444">
        <v>6</v>
      </c>
      <c r="HJR347" s="444" t="s">
        <v>1127</v>
      </c>
      <c r="HJS347" s="444">
        <v>6</v>
      </c>
      <c r="HJT347" s="444" t="s">
        <v>1127</v>
      </c>
      <c r="HJU347" s="444">
        <v>6</v>
      </c>
      <c r="HJV347" s="444" t="s">
        <v>1127</v>
      </c>
      <c r="HJW347" s="444">
        <v>6</v>
      </c>
      <c r="HJX347" s="444" t="s">
        <v>1127</v>
      </c>
      <c r="HJY347" s="444">
        <v>6</v>
      </c>
      <c r="HJZ347" s="444" t="s">
        <v>1127</v>
      </c>
      <c r="HKA347" s="444">
        <v>6</v>
      </c>
      <c r="HKB347" s="444" t="s">
        <v>1127</v>
      </c>
      <c r="HKC347" s="444">
        <v>6</v>
      </c>
      <c r="HKD347" s="444" t="s">
        <v>1127</v>
      </c>
      <c r="HKE347" s="444">
        <v>6</v>
      </c>
      <c r="HKF347" s="444" t="s">
        <v>1127</v>
      </c>
      <c r="HKG347" s="444">
        <v>6</v>
      </c>
      <c r="HKH347" s="444" t="s">
        <v>1127</v>
      </c>
      <c r="HKI347" s="444">
        <v>6</v>
      </c>
      <c r="HKJ347" s="444" t="s">
        <v>1127</v>
      </c>
      <c r="HKK347" s="444">
        <v>6</v>
      </c>
      <c r="HKL347" s="444" t="s">
        <v>1127</v>
      </c>
      <c r="HKM347" s="444">
        <v>6</v>
      </c>
      <c r="HKN347" s="444" t="s">
        <v>1127</v>
      </c>
      <c r="HKO347" s="444">
        <v>6</v>
      </c>
      <c r="HKP347" s="444" t="s">
        <v>1127</v>
      </c>
      <c r="HKQ347" s="444">
        <v>6</v>
      </c>
      <c r="HKR347" s="444" t="s">
        <v>1127</v>
      </c>
      <c r="HKS347" s="444">
        <v>6</v>
      </c>
      <c r="HKT347" s="444" t="s">
        <v>1127</v>
      </c>
      <c r="HKU347" s="444">
        <v>6</v>
      </c>
      <c r="HKV347" s="444" t="s">
        <v>1127</v>
      </c>
      <c r="HKW347" s="444">
        <v>6</v>
      </c>
      <c r="HKX347" s="444" t="s">
        <v>1127</v>
      </c>
      <c r="HKY347" s="444">
        <v>6</v>
      </c>
      <c r="HKZ347" s="444" t="s">
        <v>1127</v>
      </c>
      <c r="HLA347" s="444">
        <v>6</v>
      </c>
      <c r="HLB347" s="444" t="s">
        <v>1127</v>
      </c>
      <c r="HLC347" s="444">
        <v>6</v>
      </c>
      <c r="HLD347" s="444" t="s">
        <v>1127</v>
      </c>
      <c r="HLE347" s="444">
        <v>6</v>
      </c>
      <c r="HLF347" s="444" t="s">
        <v>1127</v>
      </c>
      <c r="HLG347" s="444">
        <v>6</v>
      </c>
      <c r="HLH347" s="444" t="s">
        <v>1127</v>
      </c>
      <c r="HLI347" s="444">
        <v>6</v>
      </c>
      <c r="HLJ347" s="444" t="s">
        <v>1127</v>
      </c>
      <c r="HLK347" s="444">
        <v>6</v>
      </c>
      <c r="HLL347" s="444" t="s">
        <v>1127</v>
      </c>
      <c r="HLM347" s="444">
        <v>6</v>
      </c>
      <c r="HLN347" s="444" t="s">
        <v>1127</v>
      </c>
      <c r="HLO347" s="444">
        <v>6</v>
      </c>
      <c r="HLP347" s="444" t="s">
        <v>1127</v>
      </c>
      <c r="HLQ347" s="444">
        <v>6</v>
      </c>
      <c r="HLR347" s="444" t="s">
        <v>1127</v>
      </c>
      <c r="HLS347" s="444">
        <v>6</v>
      </c>
      <c r="HLT347" s="444" t="s">
        <v>1127</v>
      </c>
      <c r="HLU347" s="444">
        <v>6</v>
      </c>
      <c r="HLV347" s="444" t="s">
        <v>1127</v>
      </c>
      <c r="HLW347" s="444">
        <v>6</v>
      </c>
      <c r="HLX347" s="444" t="s">
        <v>1127</v>
      </c>
      <c r="HLY347" s="444">
        <v>6</v>
      </c>
      <c r="HLZ347" s="444" t="s">
        <v>1127</v>
      </c>
      <c r="HMA347" s="444">
        <v>6</v>
      </c>
      <c r="HMB347" s="444" t="s">
        <v>1127</v>
      </c>
      <c r="HMC347" s="444">
        <v>6</v>
      </c>
      <c r="HMD347" s="444" t="s">
        <v>1127</v>
      </c>
      <c r="HME347" s="444">
        <v>6</v>
      </c>
      <c r="HMF347" s="444" t="s">
        <v>1127</v>
      </c>
      <c r="HMG347" s="444">
        <v>6</v>
      </c>
      <c r="HMH347" s="444" t="s">
        <v>1127</v>
      </c>
      <c r="HMI347" s="444">
        <v>6</v>
      </c>
      <c r="HMJ347" s="444" t="s">
        <v>1127</v>
      </c>
      <c r="HMK347" s="444">
        <v>6</v>
      </c>
      <c r="HML347" s="444" t="s">
        <v>1127</v>
      </c>
      <c r="HMM347" s="444">
        <v>6</v>
      </c>
      <c r="HMN347" s="444" t="s">
        <v>1127</v>
      </c>
      <c r="HMO347" s="444">
        <v>6</v>
      </c>
      <c r="HMP347" s="444" t="s">
        <v>1127</v>
      </c>
      <c r="HMQ347" s="444">
        <v>6</v>
      </c>
      <c r="HMR347" s="444" t="s">
        <v>1127</v>
      </c>
      <c r="HMS347" s="444">
        <v>6</v>
      </c>
      <c r="HMT347" s="444" t="s">
        <v>1127</v>
      </c>
      <c r="HMU347" s="444">
        <v>6</v>
      </c>
      <c r="HMV347" s="444" t="s">
        <v>1127</v>
      </c>
      <c r="HMW347" s="444">
        <v>6</v>
      </c>
      <c r="HMX347" s="444" t="s">
        <v>1127</v>
      </c>
      <c r="HMY347" s="444">
        <v>6</v>
      </c>
      <c r="HMZ347" s="444" t="s">
        <v>1127</v>
      </c>
      <c r="HNA347" s="444">
        <v>6</v>
      </c>
      <c r="HNB347" s="444" t="s">
        <v>1127</v>
      </c>
      <c r="HNC347" s="444">
        <v>6</v>
      </c>
      <c r="HND347" s="444" t="s">
        <v>1127</v>
      </c>
      <c r="HNE347" s="444">
        <v>6</v>
      </c>
      <c r="HNF347" s="444" t="s">
        <v>1127</v>
      </c>
      <c r="HNG347" s="444">
        <v>6</v>
      </c>
      <c r="HNH347" s="444" t="s">
        <v>1127</v>
      </c>
      <c r="HNI347" s="444">
        <v>6</v>
      </c>
      <c r="HNJ347" s="444" t="s">
        <v>1127</v>
      </c>
      <c r="HNK347" s="444">
        <v>6</v>
      </c>
      <c r="HNL347" s="444" t="s">
        <v>1127</v>
      </c>
      <c r="HNM347" s="444">
        <v>6</v>
      </c>
      <c r="HNN347" s="444" t="s">
        <v>1127</v>
      </c>
      <c r="HNO347" s="444">
        <v>6</v>
      </c>
      <c r="HNP347" s="444" t="s">
        <v>1127</v>
      </c>
      <c r="HNQ347" s="444">
        <v>6</v>
      </c>
      <c r="HNR347" s="444" t="s">
        <v>1127</v>
      </c>
      <c r="HNS347" s="444">
        <v>6</v>
      </c>
      <c r="HNT347" s="444" t="s">
        <v>1127</v>
      </c>
      <c r="HNU347" s="444">
        <v>6</v>
      </c>
      <c r="HNV347" s="444" t="s">
        <v>1127</v>
      </c>
      <c r="HNW347" s="444">
        <v>6</v>
      </c>
      <c r="HNX347" s="444" t="s">
        <v>1127</v>
      </c>
      <c r="HNY347" s="444">
        <v>6</v>
      </c>
      <c r="HNZ347" s="444" t="s">
        <v>1127</v>
      </c>
      <c r="HOA347" s="444">
        <v>6</v>
      </c>
      <c r="HOB347" s="444" t="s">
        <v>1127</v>
      </c>
      <c r="HOC347" s="444">
        <v>6</v>
      </c>
      <c r="HOD347" s="444" t="s">
        <v>1127</v>
      </c>
      <c r="HOE347" s="444">
        <v>6</v>
      </c>
      <c r="HOF347" s="444" t="s">
        <v>1127</v>
      </c>
      <c r="HOG347" s="444">
        <v>6</v>
      </c>
      <c r="HOH347" s="444" t="s">
        <v>1127</v>
      </c>
      <c r="HOI347" s="444">
        <v>6</v>
      </c>
      <c r="HOJ347" s="444" t="s">
        <v>1127</v>
      </c>
      <c r="HOK347" s="444">
        <v>6</v>
      </c>
      <c r="HOL347" s="444" t="s">
        <v>1127</v>
      </c>
      <c r="HOM347" s="444">
        <v>6</v>
      </c>
      <c r="HON347" s="444" t="s">
        <v>1127</v>
      </c>
      <c r="HOO347" s="444">
        <v>6</v>
      </c>
      <c r="HOP347" s="444" t="s">
        <v>1127</v>
      </c>
      <c r="HOQ347" s="444">
        <v>6</v>
      </c>
      <c r="HOR347" s="444" t="s">
        <v>1127</v>
      </c>
      <c r="HOS347" s="444">
        <v>6</v>
      </c>
      <c r="HOT347" s="444" t="s">
        <v>1127</v>
      </c>
      <c r="HOU347" s="444">
        <v>6</v>
      </c>
      <c r="HOV347" s="444" t="s">
        <v>1127</v>
      </c>
      <c r="HOW347" s="444">
        <v>6</v>
      </c>
      <c r="HOX347" s="444" t="s">
        <v>1127</v>
      </c>
      <c r="HOY347" s="444">
        <v>6</v>
      </c>
      <c r="HOZ347" s="444" t="s">
        <v>1127</v>
      </c>
      <c r="HPA347" s="444">
        <v>6</v>
      </c>
      <c r="HPB347" s="444" t="s">
        <v>1127</v>
      </c>
      <c r="HPC347" s="444">
        <v>6</v>
      </c>
      <c r="HPD347" s="444" t="s">
        <v>1127</v>
      </c>
      <c r="HPE347" s="444">
        <v>6</v>
      </c>
      <c r="HPF347" s="444" t="s">
        <v>1127</v>
      </c>
      <c r="HPG347" s="444">
        <v>6</v>
      </c>
      <c r="HPH347" s="444" t="s">
        <v>1127</v>
      </c>
      <c r="HPI347" s="444">
        <v>6</v>
      </c>
      <c r="HPJ347" s="444" t="s">
        <v>1127</v>
      </c>
      <c r="HPK347" s="444">
        <v>6</v>
      </c>
      <c r="HPL347" s="444" t="s">
        <v>1127</v>
      </c>
      <c r="HPM347" s="444">
        <v>6</v>
      </c>
      <c r="HPN347" s="444" t="s">
        <v>1127</v>
      </c>
      <c r="HPO347" s="444">
        <v>6</v>
      </c>
      <c r="HPP347" s="444" t="s">
        <v>1127</v>
      </c>
      <c r="HPQ347" s="444">
        <v>6</v>
      </c>
      <c r="HPR347" s="444" t="s">
        <v>1127</v>
      </c>
      <c r="HPS347" s="444">
        <v>6</v>
      </c>
      <c r="HPT347" s="444" t="s">
        <v>1127</v>
      </c>
      <c r="HPU347" s="444">
        <v>6</v>
      </c>
      <c r="HPV347" s="444" t="s">
        <v>1127</v>
      </c>
      <c r="HPW347" s="444">
        <v>6</v>
      </c>
      <c r="HPX347" s="444" t="s">
        <v>1127</v>
      </c>
      <c r="HPY347" s="444">
        <v>6</v>
      </c>
      <c r="HPZ347" s="444" t="s">
        <v>1127</v>
      </c>
      <c r="HQA347" s="444">
        <v>6</v>
      </c>
      <c r="HQB347" s="444" t="s">
        <v>1127</v>
      </c>
      <c r="HQC347" s="444">
        <v>6</v>
      </c>
      <c r="HQD347" s="444" t="s">
        <v>1127</v>
      </c>
      <c r="HQE347" s="444">
        <v>6</v>
      </c>
      <c r="HQF347" s="444" t="s">
        <v>1127</v>
      </c>
      <c r="HQG347" s="444">
        <v>6</v>
      </c>
      <c r="HQH347" s="444" t="s">
        <v>1127</v>
      </c>
      <c r="HQI347" s="444">
        <v>6</v>
      </c>
      <c r="HQJ347" s="444" t="s">
        <v>1127</v>
      </c>
      <c r="HQK347" s="444">
        <v>6</v>
      </c>
      <c r="HQL347" s="444" t="s">
        <v>1127</v>
      </c>
      <c r="HQM347" s="444">
        <v>6</v>
      </c>
      <c r="HQN347" s="444" t="s">
        <v>1127</v>
      </c>
      <c r="HQO347" s="444">
        <v>6</v>
      </c>
      <c r="HQP347" s="444" t="s">
        <v>1127</v>
      </c>
      <c r="HQQ347" s="444">
        <v>6</v>
      </c>
      <c r="HQR347" s="444" t="s">
        <v>1127</v>
      </c>
      <c r="HQS347" s="444">
        <v>6</v>
      </c>
      <c r="HQT347" s="444" t="s">
        <v>1127</v>
      </c>
      <c r="HQU347" s="444">
        <v>6</v>
      </c>
      <c r="HQV347" s="444" t="s">
        <v>1127</v>
      </c>
      <c r="HQW347" s="444">
        <v>6</v>
      </c>
      <c r="HQX347" s="444" t="s">
        <v>1127</v>
      </c>
      <c r="HQY347" s="444">
        <v>6</v>
      </c>
      <c r="HQZ347" s="444" t="s">
        <v>1127</v>
      </c>
      <c r="HRA347" s="444">
        <v>6</v>
      </c>
      <c r="HRB347" s="444" t="s">
        <v>1127</v>
      </c>
      <c r="HRC347" s="444">
        <v>6</v>
      </c>
      <c r="HRD347" s="444" t="s">
        <v>1127</v>
      </c>
      <c r="HRE347" s="444">
        <v>6</v>
      </c>
      <c r="HRF347" s="444" t="s">
        <v>1127</v>
      </c>
      <c r="HRG347" s="444">
        <v>6</v>
      </c>
      <c r="HRH347" s="444" t="s">
        <v>1127</v>
      </c>
      <c r="HRI347" s="444">
        <v>6</v>
      </c>
      <c r="HRJ347" s="444" t="s">
        <v>1127</v>
      </c>
      <c r="HRK347" s="444">
        <v>6</v>
      </c>
      <c r="HRL347" s="444" t="s">
        <v>1127</v>
      </c>
      <c r="HRM347" s="444">
        <v>6</v>
      </c>
      <c r="HRN347" s="444" t="s">
        <v>1127</v>
      </c>
      <c r="HRO347" s="444">
        <v>6</v>
      </c>
      <c r="HRP347" s="444" t="s">
        <v>1127</v>
      </c>
      <c r="HRQ347" s="444">
        <v>6</v>
      </c>
      <c r="HRR347" s="444" t="s">
        <v>1127</v>
      </c>
      <c r="HRS347" s="444">
        <v>6</v>
      </c>
      <c r="HRT347" s="444" t="s">
        <v>1127</v>
      </c>
      <c r="HRU347" s="444">
        <v>6</v>
      </c>
      <c r="HRV347" s="444" t="s">
        <v>1127</v>
      </c>
      <c r="HRW347" s="444">
        <v>6</v>
      </c>
      <c r="HRX347" s="444" t="s">
        <v>1127</v>
      </c>
      <c r="HRY347" s="444">
        <v>6</v>
      </c>
      <c r="HRZ347" s="444" t="s">
        <v>1127</v>
      </c>
      <c r="HSA347" s="444">
        <v>6</v>
      </c>
      <c r="HSB347" s="444" t="s">
        <v>1127</v>
      </c>
      <c r="HSC347" s="444">
        <v>6</v>
      </c>
      <c r="HSD347" s="444" t="s">
        <v>1127</v>
      </c>
      <c r="HSE347" s="444">
        <v>6</v>
      </c>
      <c r="HSF347" s="444" t="s">
        <v>1127</v>
      </c>
      <c r="HSG347" s="444">
        <v>6</v>
      </c>
      <c r="HSH347" s="444" t="s">
        <v>1127</v>
      </c>
      <c r="HSI347" s="444">
        <v>6</v>
      </c>
      <c r="HSJ347" s="444" t="s">
        <v>1127</v>
      </c>
      <c r="HSK347" s="444">
        <v>6</v>
      </c>
      <c r="HSL347" s="444" t="s">
        <v>1127</v>
      </c>
      <c r="HSM347" s="444">
        <v>6</v>
      </c>
      <c r="HSN347" s="444" t="s">
        <v>1127</v>
      </c>
      <c r="HSO347" s="444">
        <v>6</v>
      </c>
      <c r="HSP347" s="444" t="s">
        <v>1127</v>
      </c>
      <c r="HSQ347" s="444">
        <v>6</v>
      </c>
      <c r="HSR347" s="444" t="s">
        <v>1127</v>
      </c>
      <c r="HSS347" s="444">
        <v>6</v>
      </c>
      <c r="HST347" s="444" t="s">
        <v>1127</v>
      </c>
      <c r="HSU347" s="444">
        <v>6</v>
      </c>
      <c r="HSV347" s="444" t="s">
        <v>1127</v>
      </c>
      <c r="HSW347" s="444">
        <v>6</v>
      </c>
      <c r="HSX347" s="444" t="s">
        <v>1127</v>
      </c>
      <c r="HSY347" s="444">
        <v>6</v>
      </c>
      <c r="HSZ347" s="444" t="s">
        <v>1127</v>
      </c>
      <c r="HTA347" s="444">
        <v>6</v>
      </c>
      <c r="HTB347" s="444" t="s">
        <v>1127</v>
      </c>
      <c r="HTC347" s="444">
        <v>6</v>
      </c>
      <c r="HTD347" s="444" t="s">
        <v>1127</v>
      </c>
      <c r="HTE347" s="444">
        <v>6</v>
      </c>
      <c r="HTF347" s="444" t="s">
        <v>1127</v>
      </c>
      <c r="HTG347" s="444">
        <v>6</v>
      </c>
      <c r="HTH347" s="444" t="s">
        <v>1127</v>
      </c>
      <c r="HTI347" s="444">
        <v>6</v>
      </c>
      <c r="HTJ347" s="444" t="s">
        <v>1127</v>
      </c>
      <c r="HTK347" s="444">
        <v>6</v>
      </c>
      <c r="HTL347" s="444" t="s">
        <v>1127</v>
      </c>
      <c r="HTM347" s="444">
        <v>6</v>
      </c>
      <c r="HTN347" s="444" t="s">
        <v>1127</v>
      </c>
      <c r="HTO347" s="444">
        <v>6</v>
      </c>
      <c r="HTP347" s="444" t="s">
        <v>1127</v>
      </c>
      <c r="HTQ347" s="444">
        <v>6</v>
      </c>
      <c r="HTR347" s="444" t="s">
        <v>1127</v>
      </c>
      <c r="HTS347" s="444">
        <v>6</v>
      </c>
      <c r="HTT347" s="444" t="s">
        <v>1127</v>
      </c>
      <c r="HTU347" s="444">
        <v>6</v>
      </c>
      <c r="HTV347" s="444" t="s">
        <v>1127</v>
      </c>
      <c r="HTW347" s="444">
        <v>6</v>
      </c>
      <c r="HTX347" s="444" t="s">
        <v>1127</v>
      </c>
      <c r="HTY347" s="444">
        <v>6</v>
      </c>
      <c r="HTZ347" s="444" t="s">
        <v>1127</v>
      </c>
      <c r="HUA347" s="444">
        <v>6</v>
      </c>
      <c r="HUB347" s="444" t="s">
        <v>1127</v>
      </c>
      <c r="HUC347" s="444">
        <v>6</v>
      </c>
      <c r="HUD347" s="444" t="s">
        <v>1127</v>
      </c>
      <c r="HUE347" s="444">
        <v>6</v>
      </c>
      <c r="HUF347" s="444" t="s">
        <v>1127</v>
      </c>
      <c r="HUG347" s="444">
        <v>6</v>
      </c>
      <c r="HUH347" s="444" t="s">
        <v>1127</v>
      </c>
      <c r="HUI347" s="444">
        <v>6</v>
      </c>
      <c r="HUJ347" s="444" t="s">
        <v>1127</v>
      </c>
      <c r="HUK347" s="444">
        <v>6</v>
      </c>
      <c r="HUL347" s="444" t="s">
        <v>1127</v>
      </c>
      <c r="HUM347" s="444">
        <v>6</v>
      </c>
      <c r="HUN347" s="444" t="s">
        <v>1127</v>
      </c>
      <c r="HUO347" s="444">
        <v>6</v>
      </c>
      <c r="HUP347" s="444" t="s">
        <v>1127</v>
      </c>
      <c r="HUQ347" s="444">
        <v>6</v>
      </c>
      <c r="HUR347" s="444" t="s">
        <v>1127</v>
      </c>
      <c r="HUS347" s="444">
        <v>6</v>
      </c>
      <c r="HUT347" s="444" t="s">
        <v>1127</v>
      </c>
      <c r="HUU347" s="444">
        <v>6</v>
      </c>
      <c r="HUV347" s="444" t="s">
        <v>1127</v>
      </c>
      <c r="HUW347" s="444">
        <v>6</v>
      </c>
      <c r="HUX347" s="444" t="s">
        <v>1127</v>
      </c>
      <c r="HUY347" s="444">
        <v>6</v>
      </c>
      <c r="HUZ347" s="444" t="s">
        <v>1127</v>
      </c>
      <c r="HVA347" s="444">
        <v>6</v>
      </c>
      <c r="HVB347" s="444" t="s">
        <v>1127</v>
      </c>
      <c r="HVC347" s="444">
        <v>6</v>
      </c>
      <c r="HVD347" s="444" t="s">
        <v>1127</v>
      </c>
      <c r="HVE347" s="444">
        <v>6</v>
      </c>
      <c r="HVF347" s="444" t="s">
        <v>1127</v>
      </c>
      <c r="HVG347" s="444">
        <v>6</v>
      </c>
      <c r="HVH347" s="444" t="s">
        <v>1127</v>
      </c>
      <c r="HVI347" s="444">
        <v>6</v>
      </c>
      <c r="HVJ347" s="444" t="s">
        <v>1127</v>
      </c>
      <c r="HVK347" s="444">
        <v>6</v>
      </c>
      <c r="HVL347" s="444" t="s">
        <v>1127</v>
      </c>
      <c r="HVM347" s="444">
        <v>6</v>
      </c>
      <c r="HVN347" s="444" t="s">
        <v>1127</v>
      </c>
      <c r="HVO347" s="444">
        <v>6</v>
      </c>
      <c r="HVP347" s="444" t="s">
        <v>1127</v>
      </c>
      <c r="HVQ347" s="444">
        <v>6</v>
      </c>
      <c r="HVR347" s="444" t="s">
        <v>1127</v>
      </c>
      <c r="HVS347" s="444">
        <v>6</v>
      </c>
      <c r="HVT347" s="444" t="s">
        <v>1127</v>
      </c>
      <c r="HVU347" s="444">
        <v>6</v>
      </c>
      <c r="HVV347" s="444" t="s">
        <v>1127</v>
      </c>
      <c r="HVW347" s="444">
        <v>6</v>
      </c>
      <c r="HVX347" s="444" t="s">
        <v>1127</v>
      </c>
      <c r="HVY347" s="444">
        <v>6</v>
      </c>
      <c r="HVZ347" s="444" t="s">
        <v>1127</v>
      </c>
      <c r="HWA347" s="444">
        <v>6</v>
      </c>
      <c r="HWB347" s="444" t="s">
        <v>1127</v>
      </c>
      <c r="HWC347" s="444">
        <v>6</v>
      </c>
      <c r="HWD347" s="444" t="s">
        <v>1127</v>
      </c>
      <c r="HWE347" s="444">
        <v>6</v>
      </c>
      <c r="HWF347" s="444" t="s">
        <v>1127</v>
      </c>
      <c r="HWG347" s="444">
        <v>6</v>
      </c>
      <c r="HWH347" s="444" t="s">
        <v>1127</v>
      </c>
      <c r="HWI347" s="444">
        <v>6</v>
      </c>
      <c r="HWJ347" s="444" t="s">
        <v>1127</v>
      </c>
      <c r="HWK347" s="444">
        <v>6</v>
      </c>
      <c r="HWL347" s="444" t="s">
        <v>1127</v>
      </c>
      <c r="HWM347" s="444">
        <v>6</v>
      </c>
      <c r="HWN347" s="444" t="s">
        <v>1127</v>
      </c>
      <c r="HWO347" s="444">
        <v>6</v>
      </c>
      <c r="HWP347" s="444" t="s">
        <v>1127</v>
      </c>
      <c r="HWQ347" s="444">
        <v>6</v>
      </c>
      <c r="HWR347" s="444" t="s">
        <v>1127</v>
      </c>
      <c r="HWS347" s="444">
        <v>6</v>
      </c>
      <c r="HWT347" s="444" t="s">
        <v>1127</v>
      </c>
      <c r="HWU347" s="444">
        <v>6</v>
      </c>
      <c r="HWV347" s="444" t="s">
        <v>1127</v>
      </c>
      <c r="HWW347" s="444">
        <v>6</v>
      </c>
      <c r="HWX347" s="444" t="s">
        <v>1127</v>
      </c>
      <c r="HWY347" s="444">
        <v>6</v>
      </c>
      <c r="HWZ347" s="444" t="s">
        <v>1127</v>
      </c>
      <c r="HXA347" s="444">
        <v>6</v>
      </c>
      <c r="HXB347" s="444" t="s">
        <v>1127</v>
      </c>
      <c r="HXC347" s="444">
        <v>6</v>
      </c>
      <c r="HXD347" s="444" t="s">
        <v>1127</v>
      </c>
      <c r="HXE347" s="444">
        <v>6</v>
      </c>
      <c r="HXF347" s="444" t="s">
        <v>1127</v>
      </c>
      <c r="HXG347" s="444">
        <v>6</v>
      </c>
      <c r="HXH347" s="444" t="s">
        <v>1127</v>
      </c>
      <c r="HXI347" s="444">
        <v>6</v>
      </c>
      <c r="HXJ347" s="444" t="s">
        <v>1127</v>
      </c>
      <c r="HXK347" s="444">
        <v>6</v>
      </c>
      <c r="HXL347" s="444" t="s">
        <v>1127</v>
      </c>
      <c r="HXM347" s="444">
        <v>6</v>
      </c>
      <c r="HXN347" s="444" t="s">
        <v>1127</v>
      </c>
      <c r="HXO347" s="444">
        <v>6</v>
      </c>
      <c r="HXP347" s="444" t="s">
        <v>1127</v>
      </c>
      <c r="HXQ347" s="444">
        <v>6</v>
      </c>
      <c r="HXR347" s="444" t="s">
        <v>1127</v>
      </c>
      <c r="HXS347" s="444">
        <v>6</v>
      </c>
      <c r="HXT347" s="444" t="s">
        <v>1127</v>
      </c>
      <c r="HXU347" s="444">
        <v>6</v>
      </c>
      <c r="HXV347" s="444" t="s">
        <v>1127</v>
      </c>
      <c r="HXW347" s="444">
        <v>6</v>
      </c>
      <c r="HXX347" s="444" t="s">
        <v>1127</v>
      </c>
      <c r="HXY347" s="444">
        <v>6</v>
      </c>
      <c r="HXZ347" s="444" t="s">
        <v>1127</v>
      </c>
      <c r="HYA347" s="444">
        <v>6</v>
      </c>
      <c r="HYB347" s="444" t="s">
        <v>1127</v>
      </c>
      <c r="HYC347" s="444">
        <v>6</v>
      </c>
      <c r="HYD347" s="444" t="s">
        <v>1127</v>
      </c>
      <c r="HYE347" s="444">
        <v>6</v>
      </c>
      <c r="HYF347" s="444" t="s">
        <v>1127</v>
      </c>
      <c r="HYG347" s="444">
        <v>6</v>
      </c>
      <c r="HYH347" s="444" t="s">
        <v>1127</v>
      </c>
      <c r="HYI347" s="444">
        <v>6</v>
      </c>
      <c r="HYJ347" s="444" t="s">
        <v>1127</v>
      </c>
      <c r="HYK347" s="444">
        <v>6</v>
      </c>
      <c r="HYL347" s="444" t="s">
        <v>1127</v>
      </c>
      <c r="HYM347" s="444">
        <v>6</v>
      </c>
      <c r="HYN347" s="444" t="s">
        <v>1127</v>
      </c>
      <c r="HYO347" s="444">
        <v>6</v>
      </c>
      <c r="HYP347" s="444" t="s">
        <v>1127</v>
      </c>
      <c r="HYQ347" s="444">
        <v>6</v>
      </c>
      <c r="HYR347" s="444" t="s">
        <v>1127</v>
      </c>
      <c r="HYS347" s="444">
        <v>6</v>
      </c>
      <c r="HYT347" s="444" t="s">
        <v>1127</v>
      </c>
      <c r="HYU347" s="444">
        <v>6</v>
      </c>
      <c r="HYV347" s="444" t="s">
        <v>1127</v>
      </c>
      <c r="HYW347" s="444">
        <v>6</v>
      </c>
      <c r="HYX347" s="444" t="s">
        <v>1127</v>
      </c>
      <c r="HYY347" s="444">
        <v>6</v>
      </c>
      <c r="HYZ347" s="444" t="s">
        <v>1127</v>
      </c>
      <c r="HZA347" s="444">
        <v>6</v>
      </c>
      <c r="HZB347" s="444" t="s">
        <v>1127</v>
      </c>
      <c r="HZC347" s="444">
        <v>6</v>
      </c>
      <c r="HZD347" s="444" t="s">
        <v>1127</v>
      </c>
      <c r="HZE347" s="444">
        <v>6</v>
      </c>
      <c r="HZF347" s="444" t="s">
        <v>1127</v>
      </c>
      <c r="HZG347" s="444">
        <v>6</v>
      </c>
      <c r="HZH347" s="444" t="s">
        <v>1127</v>
      </c>
      <c r="HZI347" s="444">
        <v>6</v>
      </c>
      <c r="HZJ347" s="444" t="s">
        <v>1127</v>
      </c>
      <c r="HZK347" s="444">
        <v>6</v>
      </c>
      <c r="HZL347" s="444" t="s">
        <v>1127</v>
      </c>
      <c r="HZM347" s="444">
        <v>6</v>
      </c>
      <c r="HZN347" s="444" t="s">
        <v>1127</v>
      </c>
      <c r="HZO347" s="444">
        <v>6</v>
      </c>
      <c r="HZP347" s="444" t="s">
        <v>1127</v>
      </c>
      <c r="HZQ347" s="444">
        <v>6</v>
      </c>
      <c r="HZR347" s="444" t="s">
        <v>1127</v>
      </c>
      <c r="HZS347" s="444">
        <v>6</v>
      </c>
      <c r="HZT347" s="444" t="s">
        <v>1127</v>
      </c>
      <c r="HZU347" s="444">
        <v>6</v>
      </c>
      <c r="HZV347" s="444" t="s">
        <v>1127</v>
      </c>
      <c r="HZW347" s="444">
        <v>6</v>
      </c>
      <c r="HZX347" s="444" t="s">
        <v>1127</v>
      </c>
      <c r="HZY347" s="444">
        <v>6</v>
      </c>
      <c r="HZZ347" s="444" t="s">
        <v>1127</v>
      </c>
      <c r="IAA347" s="444">
        <v>6</v>
      </c>
      <c r="IAB347" s="444" t="s">
        <v>1127</v>
      </c>
      <c r="IAC347" s="444">
        <v>6</v>
      </c>
      <c r="IAD347" s="444" t="s">
        <v>1127</v>
      </c>
      <c r="IAE347" s="444">
        <v>6</v>
      </c>
      <c r="IAF347" s="444" t="s">
        <v>1127</v>
      </c>
      <c r="IAG347" s="444">
        <v>6</v>
      </c>
      <c r="IAH347" s="444" t="s">
        <v>1127</v>
      </c>
      <c r="IAI347" s="444">
        <v>6</v>
      </c>
      <c r="IAJ347" s="444" t="s">
        <v>1127</v>
      </c>
      <c r="IAK347" s="444">
        <v>6</v>
      </c>
      <c r="IAL347" s="444" t="s">
        <v>1127</v>
      </c>
      <c r="IAM347" s="444">
        <v>6</v>
      </c>
      <c r="IAN347" s="444" t="s">
        <v>1127</v>
      </c>
      <c r="IAO347" s="444">
        <v>6</v>
      </c>
      <c r="IAP347" s="444" t="s">
        <v>1127</v>
      </c>
      <c r="IAQ347" s="444">
        <v>6</v>
      </c>
      <c r="IAR347" s="444" t="s">
        <v>1127</v>
      </c>
      <c r="IAS347" s="444">
        <v>6</v>
      </c>
      <c r="IAT347" s="444" t="s">
        <v>1127</v>
      </c>
      <c r="IAU347" s="444">
        <v>6</v>
      </c>
      <c r="IAV347" s="444" t="s">
        <v>1127</v>
      </c>
      <c r="IAW347" s="444">
        <v>6</v>
      </c>
      <c r="IAX347" s="444" t="s">
        <v>1127</v>
      </c>
      <c r="IAY347" s="444">
        <v>6</v>
      </c>
      <c r="IAZ347" s="444" t="s">
        <v>1127</v>
      </c>
      <c r="IBA347" s="444">
        <v>6</v>
      </c>
      <c r="IBB347" s="444" t="s">
        <v>1127</v>
      </c>
      <c r="IBC347" s="444">
        <v>6</v>
      </c>
      <c r="IBD347" s="444" t="s">
        <v>1127</v>
      </c>
      <c r="IBE347" s="444">
        <v>6</v>
      </c>
      <c r="IBF347" s="444" t="s">
        <v>1127</v>
      </c>
      <c r="IBG347" s="444">
        <v>6</v>
      </c>
      <c r="IBH347" s="444" t="s">
        <v>1127</v>
      </c>
      <c r="IBI347" s="444">
        <v>6</v>
      </c>
      <c r="IBJ347" s="444" t="s">
        <v>1127</v>
      </c>
      <c r="IBK347" s="444">
        <v>6</v>
      </c>
      <c r="IBL347" s="444" t="s">
        <v>1127</v>
      </c>
      <c r="IBM347" s="444">
        <v>6</v>
      </c>
      <c r="IBN347" s="444" t="s">
        <v>1127</v>
      </c>
      <c r="IBO347" s="444">
        <v>6</v>
      </c>
      <c r="IBP347" s="444" t="s">
        <v>1127</v>
      </c>
      <c r="IBQ347" s="444">
        <v>6</v>
      </c>
      <c r="IBR347" s="444" t="s">
        <v>1127</v>
      </c>
      <c r="IBS347" s="444">
        <v>6</v>
      </c>
      <c r="IBT347" s="444" t="s">
        <v>1127</v>
      </c>
      <c r="IBU347" s="444">
        <v>6</v>
      </c>
      <c r="IBV347" s="444" t="s">
        <v>1127</v>
      </c>
      <c r="IBW347" s="444">
        <v>6</v>
      </c>
      <c r="IBX347" s="444" t="s">
        <v>1127</v>
      </c>
      <c r="IBY347" s="444">
        <v>6</v>
      </c>
      <c r="IBZ347" s="444" t="s">
        <v>1127</v>
      </c>
      <c r="ICA347" s="444">
        <v>6</v>
      </c>
      <c r="ICB347" s="444" t="s">
        <v>1127</v>
      </c>
      <c r="ICC347" s="444">
        <v>6</v>
      </c>
      <c r="ICD347" s="444" t="s">
        <v>1127</v>
      </c>
      <c r="ICE347" s="444">
        <v>6</v>
      </c>
      <c r="ICF347" s="444" t="s">
        <v>1127</v>
      </c>
      <c r="ICG347" s="444">
        <v>6</v>
      </c>
      <c r="ICH347" s="444" t="s">
        <v>1127</v>
      </c>
      <c r="ICI347" s="444">
        <v>6</v>
      </c>
      <c r="ICJ347" s="444" t="s">
        <v>1127</v>
      </c>
      <c r="ICK347" s="444">
        <v>6</v>
      </c>
      <c r="ICL347" s="444" t="s">
        <v>1127</v>
      </c>
      <c r="ICM347" s="444">
        <v>6</v>
      </c>
      <c r="ICN347" s="444" t="s">
        <v>1127</v>
      </c>
      <c r="ICO347" s="444">
        <v>6</v>
      </c>
      <c r="ICP347" s="444" t="s">
        <v>1127</v>
      </c>
      <c r="ICQ347" s="444">
        <v>6</v>
      </c>
      <c r="ICR347" s="444" t="s">
        <v>1127</v>
      </c>
      <c r="ICS347" s="444">
        <v>6</v>
      </c>
      <c r="ICT347" s="444" t="s">
        <v>1127</v>
      </c>
      <c r="ICU347" s="444">
        <v>6</v>
      </c>
      <c r="ICV347" s="444" t="s">
        <v>1127</v>
      </c>
      <c r="ICW347" s="444">
        <v>6</v>
      </c>
      <c r="ICX347" s="444" t="s">
        <v>1127</v>
      </c>
      <c r="ICY347" s="444">
        <v>6</v>
      </c>
      <c r="ICZ347" s="444" t="s">
        <v>1127</v>
      </c>
      <c r="IDA347" s="444">
        <v>6</v>
      </c>
      <c r="IDB347" s="444" t="s">
        <v>1127</v>
      </c>
      <c r="IDC347" s="444">
        <v>6</v>
      </c>
      <c r="IDD347" s="444" t="s">
        <v>1127</v>
      </c>
      <c r="IDE347" s="444">
        <v>6</v>
      </c>
      <c r="IDF347" s="444" t="s">
        <v>1127</v>
      </c>
      <c r="IDG347" s="444">
        <v>6</v>
      </c>
      <c r="IDH347" s="444" t="s">
        <v>1127</v>
      </c>
      <c r="IDI347" s="444">
        <v>6</v>
      </c>
      <c r="IDJ347" s="444" t="s">
        <v>1127</v>
      </c>
      <c r="IDK347" s="444">
        <v>6</v>
      </c>
      <c r="IDL347" s="444" t="s">
        <v>1127</v>
      </c>
      <c r="IDM347" s="444">
        <v>6</v>
      </c>
      <c r="IDN347" s="444" t="s">
        <v>1127</v>
      </c>
      <c r="IDO347" s="444">
        <v>6</v>
      </c>
      <c r="IDP347" s="444" t="s">
        <v>1127</v>
      </c>
      <c r="IDQ347" s="444">
        <v>6</v>
      </c>
      <c r="IDR347" s="444" t="s">
        <v>1127</v>
      </c>
      <c r="IDS347" s="444">
        <v>6</v>
      </c>
      <c r="IDT347" s="444" t="s">
        <v>1127</v>
      </c>
      <c r="IDU347" s="444">
        <v>6</v>
      </c>
      <c r="IDV347" s="444" t="s">
        <v>1127</v>
      </c>
      <c r="IDW347" s="444">
        <v>6</v>
      </c>
      <c r="IDX347" s="444" t="s">
        <v>1127</v>
      </c>
      <c r="IDY347" s="444">
        <v>6</v>
      </c>
      <c r="IDZ347" s="444" t="s">
        <v>1127</v>
      </c>
      <c r="IEA347" s="444">
        <v>6</v>
      </c>
      <c r="IEB347" s="444" t="s">
        <v>1127</v>
      </c>
      <c r="IEC347" s="444">
        <v>6</v>
      </c>
      <c r="IED347" s="444" t="s">
        <v>1127</v>
      </c>
      <c r="IEE347" s="444">
        <v>6</v>
      </c>
      <c r="IEF347" s="444" t="s">
        <v>1127</v>
      </c>
      <c r="IEG347" s="444">
        <v>6</v>
      </c>
      <c r="IEH347" s="444" t="s">
        <v>1127</v>
      </c>
      <c r="IEI347" s="444">
        <v>6</v>
      </c>
      <c r="IEJ347" s="444" t="s">
        <v>1127</v>
      </c>
      <c r="IEK347" s="444">
        <v>6</v>
      </c>
      <c r="IEL347" s="444" t="s">
        <v>1127</v>
      </c>
      <c r="IEM347" s="444">
        <v>6</v>
      </c>
      <c r="IEN347" s="444" t="s">
        <v>1127</v>
      </c>
      <c r="IEO347" s="444">
        <v>6</v>
      </c>
      <c r="IEP347" s="444" t="s">
        <v>1127</v>
      </c>
      <c r="IEQ347" s="444">
        <v>6</v>
      </c>
      <c r="IER347" s="444" t="s">
        <v>1127</v>
      </c>
      <c r="IES347" s="444">
        <v>6</v>
      </c>
      <c r="IET347" s="444" t="s">
        <v>1127</v>
      </c>
      <c r="IEU347" s="444">
        <v>6</v>
      </c>
      <c r="IEV347" s="444" t="s">
        <v>1127</v>
      </c>
      <c r="IEW347" s="444">
        <v>6</v>
      </c>
      <c r="IEX347" s="444" t="s">
        <v>1127</v>
      </c>
      <c r="IEY347" s="444">
        <v>6</v>
      </c>
      <c r="IEZ347" s="444" t="s">
        <v>1127</v>
      </c>
      <c r="IFA347" s="444">
        <v>6</v>
      </c>
      <c r="IFB347" s="444" t="s">
        <v>1127</v>
      </c>
      <c r="IFC347" s="444">
        <v>6</v>
      </c>
      <c r="IFD347" s="444" t="s">
        <v>1127</v>
      </c>
      <c r="IFE347" s="444">
        <v>6</v>
      </c>
      <c r="IFF347" s="444" t="s">
        <v>1127</v>
      </c>
      <c r="IFG347" s="444">
        <v>6</v>
      </c>
      <c r="IFH347" s="444" t="s">
        <v>1127</v>
      </c>
      <c r="IFI347" s="444">
        <v>6</v>
      </c>
      <c r="IFJ347" s="444" t="s">
        <v>1127</v>
      </c>
      <c r="IFK347" s="444">
        <v>6</v>
      </c>
      <c r="IFL347" s="444" t="s">
        <v>1127</v>
      </c>
      <c r="IFM347" s="444">
        <v>6</v>
      </c>
      <c r="IFN347" s="444" t="s">
        <v>1127</v>
      </c>
      <c r="IFO347" s="444">
        <v>6</v>
      </c>
      <c r="IFP347" s="444" t="s">
        <v>1127</v>
      </c>
      <c r="IFQ347" s="444">
        <v>6</v>
      </c>
      <c r="IFR347" s="444" t="s">
        <v>1127</v>
      </c>
      <c r="IFS347" s="444">
        <v>6</v>
      </c>
      <c r="IFT347" s="444" t="s">
        <v>1127</v>
      </c>
      <c r="IFU347" s="444">
        <v>6</v>
      </c>
      <c r="IFV347" s="444" t="s">
        <v>1127</v>
      </c>
      <c r="IFW347" s="444">
        <v>6</v>
      </c>
      <c r="IFX347" s="444" t="s">
        <v>1127</v>
      </c>
      <c r="IFY347" s="444">
        <v>6</v>
      </c>
      <c r="IFZ347" s="444" t="s">
        <v>1127</v>
      </c>
      <c r="IGA347" s="444">
        <v>6</v>
      </c>
      <c r="IGB347" s="444" t="s">
        <v>1127</v>
      </c>
      <c r="IGC347" s="444">
        <v>6</v>
      </c>
      <c r="IGD347" s="444" t="s">
        <v>1127</v>
      </c>
      <c r="IGE347" s="444">
        <v>6</v>
      </c>
      <c r="IGF347" s="444" t="s">
        <v>1127</v>
      </c>
      <c r="IGG347" s="444">
        <v>6</v>
      </c>
      <c r="IGH347" s="444" t="s">
        <v>1127</v>
      </c>
      <c r="IGI347" s="444">
        <v>6</v>
      </c>
      <c r="IGJ347" s="444" t="s">
        <v>1127</v>
      </c>
      <c r="IGK347" s="444">
        <v>6</v>
      </c>
      <c r="IGL347" s="444" t="s">
        <v>1127</v>
      </c>
      <c r="IGM347" s="444">
        <v>6</v>
      </c>
      <c r="IGN347" s="444" t="s">
        <v>1127</v>
      </c>
      <c r="IGO347" s="444">
        <v>6</v>
      </c>
      <c r="IGP347" s="444" t="s">
        <v>1127</v>
      </c>
      <c r="IGQ347" s="444">
        <v>6</v>
      </c>
      <c r="IGR347" s="444" t="s">
        <v>1127</v>
      </c>
      <c r="IGS347" s="444">
        <v>6</v>
      </c>
      <c r="IGT347" s="444" t="s">
        <v>1127</v>
      </c>
      <c r="IGU347" s="444">
        <v>6</v>
      </c>
      <c r="IGV347" s="444" t="s">
        <v>1127</v>
      </c>
      <c r="IGW347" s="444">
        <v>6</v>
      </c>
      <c r="IGX347" s="444" t="s">
        <v>1127</v>
      </c>
      <c r="IGY347" s="444">
        <v>6</v>
      </c>
      <c r="IGZ347" s="444" t="s">
        <v>1127</v>
      </c>
      <c r="IHA347" s="444">
        <v>6</v>
      </c>
      <c r="IHB347" s="444" t="s">
        <v>1127</v>
      </c>
      <c r="IHC347" s="444">
        <v>6</v>
      </c>
      <c r="IHD347" s="444" t="s">
        <v>1127</v>
      </c>
      <c r="IHE347" s="444">
        <v>6</v>
      </c>
      <c r="IHF347" s="444" t="s">
        <v>1127</v>
      </c>
      <c r="IHG347" s="444">
        <v>6</v>
      </c>
      <c r="IHH347" s="444" t="s">
        <v>1127</v>
      </c>
      <c r="IHI347" s="444">
        <v>6</v>
      </c>
      <c r="IHJ347" s="444" t="s">
        <v>1127</v>
      </c>
      <c r="IHK347" s="444">
        <v>6</v>
      </c>
      <c r="IHL347" s="444" t="s">
        <v>1127</v>
      </c>
      <c r="IHM347" s="444">
        <v>6</v>
      </c>
      <c r="IHN347" s="444" t="s">
        <v>1127</v>
      </c>
      <c r="IHO347" s="444">
        <v>6</v>
      </c>
      <c r="IHP347" s="444" t="s">
        <v>1127</v>
      </c>
      <c r="IHQ347" s="444">
        <v>6</v>
      </c>
      <c r="IHR347" s="444" t="s">
        <v>1127</v>
      </c>
      <c r="IHS347" s="444">
        <v>6</v>
      </c>
      <c r="IHT347" s="444" t="s">
        <v>1127</v>
      </c>
      <c r="IHU347" s="444">
        <v>6</v>
      </c>
      <c r="IHV347" s="444" t="s">
        <v>1127</v>
      </c>
      <c r="IHW347" s="444">
        <v>6</v>
      </c>
      <c r="IHX347" s="444" t="s">
        <v>1127</v>
      </c>
      <c r="IHY347" s="444">
        <v>6</v>
      </c>
      <c r="IHZ347" s="444" t="s">
        <v>1127</v>
      </c>
      <c r="IIA347" s="444">
        <v>6</v>
      </c>
      <c r="IIB347" s="444" t="s">
        <v>1127</v>
      </c>
      <c r="IIC347" s="444">
        <v>6</v>
      </c>
      <c r="IID347" s="444" t="s">
        <v>1127</v>
      </c>
      <c r="IIE347" s="444">
        <v>6</v>
      </c>
      <c r="IIF347" s="444" t="s">
        <v>1127</v>
      </c>
      <c r="IIG347" s="444">
        <v>6</v>
      </c>
      <c r="IIH347" s="444" t="s">
        <v>1127</v>
      </c>
      <c r="III347" s="444">
        <v>6</v>
      </c>
      <c r="IIJ347" s="444" t="s">
        <v>1127</v>
      </c>
      <c r="IIK347" s="444">
        <v>6</v>
      </c>
      <c r="IIL347" s="444" t="s">
        <v>1127</v>
      </c>
      <c r="IIM347" s="444">
        <v>6</v>
      </c>
      <c r="IIN347" s="444" t="s">
        <v>1127</v>
      </c>
      <c r="IIO347" s="444">
        <v>6</v>
      </c>
      <c r="IIP347" s="444" t="s">
        <v>1127</v>
      </c>
      <c r="IIQ347" s="444">
        <v>6</v>
      </c>
      <c r="IIR347" s="444" t="s">
        <v>1127</v>
      </c>
      <c r="IIS347" s="444">
        <v>6</v>
      </c>
      <c r="IIT347" s="444" t="s">
        <v>1127</v>
      </c>
      <c r="IIU347" s="444">
        <v>6</v>
      </c>
      <c r="IIV347" s="444" t="s">
        <v>1127</v>
      </c>
      <c r="IIW347" s="444">
        <v>6</v>
      </c>
      <c r="IIX347" s="444" t="s">
        <v>1127</v>
      </c>
      <c r="IIY347" s="444">
        <v>6</v>
      </c>
      <c r="IIZ347" s="444" t="s">
        <v>1127</v>
      </c>
      <c r="IJA347" s="444">
        <v>6</v>
      </c>
      <c r="IJB347" s="444" t="s">
        <v>1127</v>
      </c>
      <c r="IJC347" s="444">
        <v>6</v>
      </c>
      <c r="IJD347" s="444" t="s">
        <v>1127</v>
      </c>
      <c r="IJE347" s="444">
        <v>6</v>
      </c>
      <c r="IJF347" s="444" t="s">
        <v>1127</v>
      </c>
      <c r="IJG347" s="444">
        <v>6</v>
      </c>
      <c r="IJH347" s="444" t="s">
        <v>1127</v>
      </c>
      <c r="IJI347" s="444">
        <v>6</v>
      </c>
      <c r="IJJ347" s="444" t="s">
        <v>1127</v>
      </c>
      <c r="IJK347" s="444">
        <v>6</v>
      </c>
      <c r="IJL347" s="444" t="s">
        <v>1127</v>
      </c>
      <c r="IJM347" s="444">
        <v>6</v>
      </c>
      <c r="IJN347" s="444" t="s">
        <v>1127</v>
      </c>
      <c r="IJO347" s="444">
        <v>6</v>
      </c>
      <c r="IJP347" s="444" t="s">
        <v>1127</v>
      </c>
      <c r="IJQ347" s="444">
        <v>6</v>
      </c>
      <c r="IJR347" s="444" t="s">
        <v>1127</v>
      </c>
      <c r="IJS347" s="444">
        <v>6</v>
      </c>
      <c r="IJT347" s="444" t="s">
        <v>1127</v>
      </c>
      <c r="IJU347" s="444">
        <v>6</v>
      </c>
      <c r="IJV347" s="444" t="s">
        <v>1127</v>
      </c>
      <c r="IJW347" s="444">
        <v>6</v>
      </c>
      <c r="IJX347" s="444" t="s">
        <v>1127</v>
      </c>
      <c r="IJY347" s="444">
        <v>6</v>
      </c>
      <c r="IJZ347" s="444" t="s">
        <v>1127</v>
      </c>
      <c r="IKA347" s="444">
        <v>6</v>
      </c>
      <c r="IKB347" s="444" t="s">
        <v>1127</v>
      </c>
      <c r="IKC347" s="444">
        <v>6</v>
      </c>
      <c r="IKD347" s="444" t="s">
        <v>1127</v>
      </c>
      <c r="IKE347" s="444">
        <v>6</v>
      </c>
      <c r="IKF347" s="444" t="s">
        <v>1127</v>
      </c>
      <c r="IKG347" s="444">
        <v>6</v>
      </c>
      <c r="IKH347" s="444" t="s">
        <v>1127</v>
      </c>
      <c r="IKI347" s="444">
        <v>6</v>
      </c>
      <c r="IKJ347" s="444" t="s">
        <v>1127</v>
      </c>
      <c r="IKK347" s="444">
        <v>6</v>
      </c>
      <c r="IKL347" s="444" t="s">
        <v>1127</v>
      </c>
      <c r="IKM347" s="444">
        <v>6</v>
      </c>
      <c r="IKN347" s="444" t="s">
        <v>1127</v>
      </c>
      <c r="IKO347" s="444">
        <v>6</v>
      </c>
      <c r="IKP347" s="444" t="s">
        <v>1127</v>
      </c>
      <c r="IKQ347" s="444">
        <v>6</v>
      </c>
      <c r="IKR347" s="444" t="s">
        <v>1127</v>
      </c>
      <c r="IKS347" s="444">
        <v>6</v>
      </c>
      <c r="IKT347" s="444" t="s">
        <v>1127</v>
      </c>
      <c r="IKU347" s="444">
        <v>6</v>
      </c>
      <c r="IKV347" s="444" t="s">
        <v>1127</v>
      </c>
      <c r="IKW347" s="444">
        <v>6</v>
      </c>
      <c r="IKX347" s="444" t="s">
        <v>1127</v>
      </c>
      <c r="IKY347" s="444">
        <v>6</v>
      </c>
      <c r="IKZ347" s="444" t="s">
        <v>1127</v>
      </c>
      <c r="ILA347" s="444">
        <v>6</v>
      </c>
      <c r="ILB347" s="444" t="s">
        <v>1127</v>
      </c>
      <c r="ILC347" s="444">
        <v>6</v>
      </c>
      <c r="ILD347" s="444" t="s">
        <v>1127</v>
      </c>
      <c r="ILE347" s="444">
        <v>6</v>
      </c>
      <c r="ILF347" s="444" t="s">
        <v>1127</v>
      </c>
      <c r="ILG347" s="444">
        <v>6</v>
      </c>
      <c r="ILH347" s="444" t="s">
        <v>1127</v>
      </c>
      <c r="ILI347" s="444">
        <v>6</v>
      </c>
      <c r="ILJ347" s="444" t="s">
        <v>1127</v>
      </c>
      <c r="ILK347" s="444">
        <v>6</v>
      </c>
      <c r="ILL347" s="444" t="s">
        <v>1127</v>
      </c>
      <c r="ILM347" s="444">
        <v>6</v>
      </c>
      <c r="ILN347" s="444" t="s">
        <v>1127</v>
      </c>
      <c r="ILO347" s="444">
        <v>6</v>
      </c>
      <c r="ILP347" s="444" t="s">
        <v>1127</v>
      </c>
      <c r="ILQ347" s="444">
        <v>6</v>
      </c>
      <c r="ILR347" s="444" t="s">
        <v>1127</v>
      </c>
      <c r="ILS347" s="444">
        <v>6</v>
      </c>
      <c r="ILT347" s="444" t="s">
        <v>1127</v>
      </c>
      <c r="ILU347" s="444">
        <v>6</v>
      </c>
      <c r="ILV347" s="444" t="s">
        <v>1127</v>
      </c>
      <c r="ILW347" s="444">
        <v>6</v>
      </c>
      <c r="ILX347" s="444" t="s">
        <v>1127</v>
      </c>
      <c r="ILY347" s="444">
        <v>6</v>
      </c>
      <c r="ILZ347" s="444" t="s">
        <v>1127</v>
      </c>
      <c r="IMA347" s="444">
        <v>6</v>
      </c>
      <c r="IMB347" s="444" t="s">
        <v>1127</v>
      </c>
      <c r="IMC347" s="444">
        <v>6</v>
      </c>
      <c r="IMD347" s="444" t="s">
        <v>1127</v>
      </c>
      <c r="IME347" s="444">
        <v>6</v>
      </c>
      <c r="IMF347" s="444" t="s">
        <v>1127</v>
      </c>
      <c r="IMG347" s="444">
        <v>6</v>
      </c>
      <c r="IMH347" s="444" t="s">
        <v>1127</v>
      </c>
      <c r="IMI347" s="444">
        <v>6</v>
      </c>
      <c r="IMJ347" s="444" t="s">
        <v>1127</v>
      </c>
      <c r="IMK347" s="444">
        <v>6</v>
      </c>
      <c r="IML347" s="444" t="s">
        <v>1127</v>
      </c>
      <c r="IMM347" s="444">
        <v>6</v>
      </c>
      <c r="IMN347" s="444" t="s">
        <v>1127</v>
      </c>
      <c r="IMO347" s="444">
        <v>6</v>
      </c>
      <c r="IMP347" s="444" t="s">
        <v>1127</v>
      </c>
      <c r="IMQ347" s="444">
        <v>6</v>
      </c>
      <c r="IMR347" s="444" t="s">
        <v>1127</v>
      </c>
      <c r="IMS347" s="444">
        <v>6</v>
      </c>
      <c r="IMT347" s="444" t="s">
        <v>1127</v>
      </c>
      <c r="IMU347" s="444">
        <v>6</v>
      </c>
      <c r="IMV347" s="444" t="s">
        <v>1127</v>
      </c>
      <c r="IMW347" s="444">
        <v>6</v>
      </c>
      <c r="IMX347" s="444" t="s">
        <v>1127</v>
      </c>
      <c r="IMY347" s="444">
        <v>6</v>
      </c>
      <c r="IMZ347" s="444" t="s">
        <v>1127</v>
      </c>
      <c r="INA347" s="444">
        <v>6</v>
      </c>
      <c r="INB347" s="444" t="s">
        <v>1127</v>
      </c>
      <c r="INC347" s="444">
        <v>6</v>
      </c>
      <c r="IND347" s="444" t="s">
        <v>1127</v>
      </c>
      <c r="INE347" s="444">
        <v>6</v>
      </c>
      <c r="INF347" s="444" t="s">
        <v>1127</v>
      </c>
      <c r="ING347" s="444">
        <v>6</v>
      </c>
      <c r="INH347" s="444" t="s">
        <v>1127</v>
      </c>
      <c r="INI347" s="444">
        <v>6</v>
      </c>
      <c r="INJ347" s="444" t="s">
        <v>1127</v>
      </c>
      <c r="INK347" s="444">
        <v>6</v>
      </c>
      <c r="INL347" s="444" t="s">
        <v>1127</v>
      </c>
      <c r="INM347" s="444">
        <v>6</v>
      </c>
      <c r="INN347" s="444" t="s">
        <v>1127</v>
      </c>
      <c r="INO347" s="444">
        <v>6</v>
      </c>
      <c r="INP347" s="444" t="s">
        <v>1127</v>
      </c>
      <c r="INQ347" s="444">
        <v>6</v>
      </c>
      <c r="INR347" s="444" t="s">
        <v>1127</v>
      </c>
      <c r="INS347" s="444">
        <v>6</v>
      </c>
      <c r="INT347" s="444" t="s">
        <v>1127</v>
      </c>
      <c r="INU347" s="444">
        <v>6</v>
      </c>
      <c r="INV347" s="444" t="s">
        <v>1127</v>
      </c>
      <c r="INW347" s="444">
        <v>6</v>
      </c>
      <c r="INX347" s="444" t="s">
        <v>1127</v>
      </c>
      <c r="INY347" s="444">
        <v>6</v>
      </c>
      <c r="INZ347" s="444" t="s">
        <v>1127</v>
      </c>
      <c r="IOA347" s="444">
        <v>6</v>
      </c>
      <c r="IOB347" s="444" t="s">
        <v>1127</v>
      </c>
      <c r="IOC347" s="444">
        <v>6</v>
      </c>
      <c r="IOD347" s="444" t="s">
        <v>1127</v>
      </c>
      <c r="IOE347" s="444">
        <v>6</v>
      </c>
      <c r="IOF347" s="444" t="s">
        <v>1127</v>
      </c>
      <c r="IOG347" s="444">
        <v>6</v>
      </c>
      <c r="IOH347" s="444" t="s">
        <v>1127</v>
      </c>
      <c r="IOI347" s="444">
        <v>6</v>
      </c>
      <c r="IOJ347" s="444" t="s">
        <v>1127</v>
      </c>
      <c r="IOK347" s="444">
        <v>6</v>
      </c>
      <c r="IOL347" s="444" t="s">
        <v>1127</v>
      </c>
      <c r="IOM347" s="444">
        <v>6</v>
      </c>
      <c r="ION347" s="444" t="s">
        <v>1127</v>
      </c>
      <c r="IOO347" s="444">
        <v>6</v>
      </c>
      <c r="IOP347" s="444" t="s">
        <v>1127</v>
      </c>
      <c r="IOQ347" s="444">
        <v>6</v>
      </c>
      <c r="IOR347" s="444" t="s">
        <v>1127</v>
      </c>
      <c r="IOS347" s="444">
        <v>6</v>
      </c>
      <c r="IOT347" s="444" t="s">
        <v>1127</v>
      </c>
      <c r="IOU347" s="444">
        <v>6</v>
      </c>
      <c r="IOV347" s="444" t="s">
        <v>1127</v>
      </c>
      <c r="IOW347" s="444">
        <v>6</v>
      </c>
      <c r="IOX347" s="444" t="s">
        <v>1127</v>
      </c>
      <c r="IOY347" s="444">
        <v>6</v>
      </c>
      <c r="IOZ347" s="444" t="s">
        <v>1127</v>
      </c>
      <c r="IPA347" s="444">
        <v>6</v>
      </c>
      <c r="IPB347" s="444" t="s">
        <v>1127</v>
      </c>
      <c r="IPC347" s="444">
        <v>6</v>
      </c>
      <c r="IPD347" s="444" t="s">
        <v>1127</v>
      </c>
      <c r="IPE347" s="444">
        <v>6</v>
      </c>
      <c r="IPF347" s="444" t="s">
        <v>1127</v>
      </c>
      <c r="IPG347" s="444">
        <v>6</v>
      </c>
      <c r="IPH347" s="444" t="s">
        <v>1127</v>
      </c>
      <c r="IPI347" s="444">
        <v>6</v>
      </c>
      <c r="IPJ347" s="444" t="s">
        <v>1127</v>
      </c>
      <c r="IPK347" s="444">
        <v>6</v>
      </c>
      <c r="IPL347" s="444" t="s">
        <v>1127</v>
      </c>
      <c r="IPM347" s="444">
        <v>6</v>
      </c>
      <c r="IPN347" s="444" t="s">
        <v>1127</v>
      </c>
      <c r="IPO347" s="444">
        <v>6</v>
      </c>
      <c r="IPP347" s="444" t="s">
        <v>1127</v>
      </c>
      <c r="IPQ347" s="444">
        <v>6</v>
      </c>
      <c r="IPR347" s="444" t="s">
        <v>1127</v>
      </c>
      <c r="IPS347" s="444">
        <v>6</v>
      </c>
      <c r="IPT347" s="444" t="s">
        <v>1127</v>
      </c>
      <c r="IPU347" s="444">
        <v>6</v>
      </c>
      <c r="IPV347" s="444" t="s">
        <v>1127</v>
      </c>
      <c r="IPW347" s="444">
        <v>6</v>
      </c>
      <c r="IPX347" s="444" t="s">
        <v>1127</v>
      </c>
      <c r="IPY347" s="444">
        <v>6</v>
      </c>
      <c r="IPZ347" s="444" t="s">
        <v>1127</v>
      </c>
      <c r="IQA347" s="444">
        <v>6</v>
      </c>
      <c r="IQB347" s="444" t="s">
        <v>1127</v>
      </c>
      <c r="IQC347" s="444">
        <v>6</v>
      </c>
      <c r="IQD347" s="444" t="s">
        <v>1127</v>
      </c>
      <c r="IQE347" s="444">
        <v>6</v>
      </c>
      <c r="IQF347" s="444" t="s">
        <v>1127</v>
      </c>
      <c r="IQG347" s="444">
        <v>6</v>
      </c>
      <c r="IQH347" s="444" t="s">
        <v>1127</v>
      </c>
      <c r="IQI347" s="444">
        <v>6</v>
      </c>
      <c r="IQJ347" s="444" t="s">
        <v>1127</v>
      </c>
      <c r="IQK347" s="444">
        <v>6</v>
      </c>
      <c r="IQL347" s="444" t="s">
        <v>1127</v>
      </c>
      <c r="IQM347" s="444">
        <v>6</v>
      </c>
      <c r="IQN347" s="444" t="s">
        <v>1127</v>
      </c>
      <c r="IQO347" s="444">
        <v>6</v>
      </c>
      <c r="IQP347" s="444" t="s">
        <v>1127</v>
      </c>
      <c r="IQQ347" s="444">
        <v>6</v>
      </c>
      <c r="IQR347" s="444" t="s">
        <v>1127</v>
      </c>
      <c r="IQS347" s="444">
        <v>6</v>
      </c>
      <c r="IQT347" s="444" t="s">
        <v>1127</v>
      </c>
      <c r="IQU347" s="444">
        <v>6</v>
      </c>
      <c r="IQV347" s="444" t="s">
        <v>1127</v>
      </c>
      <c r="IQW347" s="444">
        <v>6</v>
      </c>
      <c r="IQX347" s="444" t="s">
        <v>1127</v>
      </c>
      <c r="IQY347" s="444">
        <v>6</v>
      </c>
      <c r="IQZ347" s="444" t="s">
        <v>1127</v>
      </c>
      <c r="IRA347" s="444">
        <v>6</v>
      </c>
      <c r="IRB347" s="444" t="s">
        <v>1127</v>
      </c>
      <c r="IRC347" s="444">
        <v>6</v>
      </c>
      <c r="IRD347" s="444" t="s">
        <v>1127</v>
      </c>
      <c r="IRE347" s="444">
        <v>6</v>
      </c>
      <c r="IRF347" s="444" t="s">
        <v>1127</v>
      </c>
      <c r="IRG347" s="444">
        <v>6</v>
      </c>
      <c r="IRH347" s="444" t="s">
        <v>1127</v>
      </c>
      <c r="IRI347" s="444">
        <v>6</v>
      </c>
      <c r="IRJ347" s="444" t="s">
        <v>1127</v>
      </c>
      <c r="IRK347" s="444">
        <v>6</v>
      </c>
      <c r="IRL347" s="444" t="s">
        <v>1127</v>
      </c>
      <c r="IRM347" s="444">
        <v>6</v>
      </c>
      <c r="IRN347" s="444" t="s">
        <v>1127</v>
      </c>
      <c r="IRO347" s="444">
        <v>6</v>
      </c>
      <c r="IRP347" s="444" t="s">
        <v>1127</v>
      </c>
      <c r="IRQ347" s="444">
        <v>6</v>
      </c>
      <c r="IRR347" s="444" t="s">
        <v>1127</v>
      </c>
      <c r="IRS347" s="444">
        <v>6</v>
      </c>
      <c r="IRT347" s="444" t="s">
        <v>1127</v>
      </c>
      <c r="IRU347" s="444">
        <v>6</v>
      </c>
      <c r="IRV347" s="444" t="s">
        <v>1127</v>
      </c>
      <c r="IRW347" s="444">
        <v>6</v>
      </c>
      <c r="IRX347" s="444" t="s">
        <v>1127</v>
      </c>
      <c r="IRY347" s="444">
        <v>6</v>
      </c>
      <c r="IRZ347" s="444" t="s">
        <v>1127</v>
      </c>
      <c r="ISA347" s="444">
        <v>6</v>
      </c>
      <c r="ISB347" s="444" t="s">
        <v>1127</v>
      </c>
      <c r="ISC347" s="444">
        <v>6</v>
      </c>
      <c r="ISD347" s="444" t="s">
        <v>1127</v>
      </c>
      <c r="ISE347" s="444">
        <v>6</v>
      </c>
      <c r="ISF347" s="444" t="s">
        <v>1127</v>
      </c>
      <c r="ISG347" s="444">
        <v>6</v>
      </c>
      <c r="ISH347" s="444" t="s">
        <v>1127</v>
      </c>
      <c r="ISI347" s="444">
        <v>6</v>
      </c>
      <c r="ISJ347" s="444" t="s">
        <v>1127</v>
      </c>
      <c r="ISK347" s="444">
        <v>6</v>
      </c>
      <c r="ISL347" s="444" t="s">
        <v>1127</v>
      </c>
      <c r="ISM347" s="444">
        <v>6</v>
      </c>
      <c r="ISN347" s="444" t="s">
        <v>1127</v>
      </c>
      <c r="ISO347" s="444">
        <v>6</v>
      </c>
      <c r="ISP347" s="444" t="s">
        <v>1127</v>
      </c>
      <c r="ISQ347" s="444">
        <v>6</v>
      </c>
      <c r="ISR347" s="444" t="s">
        <v>1127</v>
      </c>
      <c r="ISS347" s="444">
        <v>6</v>
      </c>
      <c r="IST347" s="444" t="s">
        <v>1127</v>
      </c>
      <c r="ISU347" s="444">
        <v>6</v>
      </c>
      <c r="ISV347" s="444" t="s">
        <v>1127</v>
      </c>
      <c r="ISW347" s="444">
        <v>6</v>
      </c>
      <c r="ISX347" s="444" t="s">
        <v>1127</v>
      </c>
      <c r="ISY347" s="444">
        <v>6</v>
      </c>
      <c r="ISZ347" s="444" t="s">
        <v>1127</v>
      </c>
      <c r="ITA347" s="444">
        <v>6</v>
      </c>
      <c r="ITB347" s="444" t="s">
        <v>1127</v>
      </c>
      <c r="ITC347" s="444">
        <v>6</v>
      </c>
      <c r="ITD347" s="444" t="s">
        <v>1127</v>
      </c>
      <c r="ITE347" s="444">
        <v>6</v>
      </c>
      <c r="ITF347" s="444" t="s">
        <v>1127</v>
      </c>
      <c r="ITG347" s="444">
        <v>6</v>
      </c>
      <c r="ITH347" s="444" t="s">
        <v>1127</v>
      </c>
      <c r="ITI347" s="444">
        <v>6</v>
      </c>
      <c r="ITJ347" s="444" t="s">
        <v>1127</v>
      </c>
      <c r="ITK347" s="444">
        <v>6</v>
      </c>
      <c r="ITL347" s="444" t="s">
        <v>1127</v>
      </c>
      <c r="ITM347" s="444">
        <v>6</v>
      </c>
      <c r="ITN347" s="444" t="s">
        <v>1127</v>
      </c>
      <c r="ITO347" s="444">
        <v>6</v>
      </c>
      <c r="ITP347" s="444" t="s">
        <v>1127</v>
      </c>
      <c r="ITQ347" s="444">
        <v>6</v>
      </c>
      <c r="ITR347" s="444" t="s">
        <v>1127</v>
      </c>
      <c r="ITS347" s="444">
        <v>6</v>
      </c>
      <c r="ITT347" s="444" t="s">
        <v>1127</v>
      </c>
      <c r="ITU347" s="444">
        <v>6</v>
      </c>
      <c r="ITV347" s="444" t="s">
        <v>1127</v>
      </c>
      <c r="ITW347" s="444">
        <v>6</v>
      </c>
      <c r="ITX347" s="444" t="s">
        <v>1127</v>
      </c>
      <c r="ITY347" s="444">
        <v>6</v>
      </c>
      <c r="ITZ347" s="444" t="s">
        <v>1127</v>
      </c>
      <c r="IUA347" s="444">
        <v>6</v>
      </c>
      <c r="IUB347" s="444" t="s">
        <v>1127</v>
      </c>
      <c r="IUC347" s="444">
        <v>6</v>
      </c>
      <c r="IUD347" s="444" t="s">
        <v>1127</v>
      </c>
      <c r="IUE347" s="444">
        <v>6</v>
      </c>
      <c r="IUF347" s="444" t="s">
        <v>1127</v>
      </c>
      <c r="IUG347" s="444">
        <v>6</v>
      </c>
      <c r="IUH347" s="444" t="s">
        <v>1127</v>
      </c>
      <c r="IUI347" s="444">
        <v>6</v>
      </c>
      <c r="IUJ347" s="444" t="s">
        <v>1127</v>
      </c>
      <c r="IUK347" s="444">
        <v>6</v>
      </c>
      <c r="IUL347" s="444" t="s">
        <v>1127</v>
      </c>
      <c r="IUM347" s="444">
        <v>6</v>
      </c>
      <c r="IUN347" s="444" t="s">
        <v>1127</v>
      </c>
      <c r="IUO347" s="444">
        <v>6</v>
      </c>
      <c r="IUP347" s="444" t="s">
        <v>1127</v>
      </c>
      <c r="IUQ347" s="444">
        <v>6</v>
      </c>
      <c r="IUR347" s="444" t="s">
        <v>1127</v>
      </c>
      <c r="IUS347" s="444">
        <v>6</v>
      </c>
      <c r="IUT347" s="444" t="s">
        <v>1127</v>
      </c>
      <c r="IUU347" s="444">
        <v>6</v>
      </c>
      <c r="IUV347" s="444" t="s">
        <v>1127</v>
      </c>
      <c r="IUW347" s="444">
        <v>6</v>
      </c>
      <c r="IUX347" s="444" t="s">
        <v>1127</v>
      </c>
      <c r="IUY347" s="444">
        <v>6</v>
      </c>
      <c r="IUZ347" s="444" t="s">
        <v>1127</v>
      </c>
      <c r="IVA347" s="444">
        <v>6</v>
      </c>
      <c r="IVB347" s="444" t="s">
        <v>1127</v>
      </c>
      <c r="IVC347" s="444">
        <v>6</v>
      </c>
      <c r="IVD347" s="444" t="s">
        <v>1127</v>
      </c>
      <c r="IVE347" s="444">
        <v>6</v>
      </c>
      <c r="IVF347" s="444" t="s">
        <v>1127</v>
      </c>
      <c r="IVG347" s="444">
        <v>6</v>
      </c>
      <c r="IVH347" s="444" t="s">
        <v>1127</v>
      </c>
      <c r="IVI347" s="444">
        <v>6</v>
      </c>
      <c r="IVJ347" s="444" t="s">
        <v>1127</v>
      </c>
      <c r="IVK347" s="444">
        <v>6</v>
      </c>
      <c r="IVL347" s="444" t="s">
        <v>1127</v>
      </c>
      <c r="IVM347" s="444">
        <v>6</v>
      </c>
      <c r="IVN347" s="444" t="s">
        <v>1127</v>
      </c>
      <c r="IVO347" s="444">
        <v>6</v>
      </c>
      <c r="IVP347" s="444" t="s">
        <v>1127</v>
      </c>
      <c r="IVQ347" s="444">
        <v>6</v>
      </c>
      <c r="IVR347" s="444" t="s">
        <v>1127</v>
      </c>
      <c r="IVS347" s="444">
        <v>6</v>
      </c>
      <c r="IVT347" s="444" t="s">
        <v>1127</v>
      </c>
      <c r="IVU347" s="444">
        <v>6</v>
      </c>
      <c r="IVV347" s="444" t="s">
        <v>1127</v>
      </c>
      <c r="IVW347" s="444">
        <v>6</v>
      </c>
      <c r="IVX347" s="444" t="s">
        <v>1127</v>
      </c>
      <c r="IVY347" s="444">
        <v>6</v>
      </c>
      <c r="IVZ347" s="444" t="s">
        <v>1127</v>
      </c>
      <c r="IWA347" s="444">
        <v>6</v>
      </c>
      <c r="IWB347" s="444" t="s">
        <v>1127</v>
      </c>
      <c r="IWC347" s="444">
        <v>6</v>
      </c>
      <c r="IWD347" s="444" t="s">
        <v>1127</v>
      </c>
      <c r="IWE347" s="444">
        <v>6</v>
      </c>
      <c r="IWF347" s="444" t="s">
        <v>1127</v>
      </c>
      <c r="IWG347" s="444">
        <v>6</v>
      </c>
      <c r="IWH347" s="444" t="s">
        <v>1127</v>
      </c>
      <c r="IWI347" s="444">
        <v>6</v>
      </c>
      <c r="IWJ347" s="444" t="s">
        <v>1127</v>
      </c>
      <c r="IWK347" s="444">
        <v>6</v>
      </c>
      <c r="IWL347" s="444" t="s">
        <v>1127</v>
      </c>
      <c r="IWM347" s="444">
        <v>6</v>
      </c>
      <c r="IWN347" s="444" t="s">
        <v>1127</v>
      </c>
      <c r="IWO347" s="444">
        <v>6</v>
      </c>
      <c r="IWP347" s="444" t="s">
        <v>1127</v>
      </c>
      <c r="IWQ347" s="444">
        <v>6</v>
      </c>
      <c r="IWR347" s="444" t="s">
        <v>1127</v>
      </c>
      <c r="IWS347" s="444">
        <v>6</v>
      </c>
      <c r="IWT347" s="444" t="s">
        <v>1127</v>
      </c>
      <c r="IWU347" s="444">
        <v>6</v>
      </c>
      <c r="IWV347" s="444" t="s">
        <v>1127</v>
      </c>
      <c r="IWW347" s="444">
        <v>6</v>
      </c>
      <c r="IWX347" s="444" t="s">
        <v>1127</v>
      </c>
      <c r="IWY347" s="444">
        <v>6</v>
      </c>
      <c r="IWZ347" s="444" t="s">
        <v>1127</v>
      </c>
      <c r="IXA347" s="444">
        <v>6</v>
      </c>
      <c r="IXB347" s="444" t="s">
        <v>1127</v>
      </c>
      <c r="IXC347" s="444">
        <v>6</v>
      </c>
      <c r="IXD347" s="444" t="s">
        <v>1127</v>
      </c>
      <c r="IXE347" s="444">
        <v>6</v>
      </c>
      <c r="IXF347" s="444" t="s">
        <v>1127</v>
      </c>
      <c r="IXG347" s="444">
        <v>6</v>
      </c>
      <c r="IXH347" s="444" t="s">
        <v>1127</v>
      </c>
      <c r="IXI347" s="444">
        <v>6</v>
      </c>
      <c r="IXJ347" s="444" t="s">
        <v>1127</v>
      </c>
      <c r="IXK347" s="444">
        <v>6</v>
      </c>
      <c r="IXL347" s="444" t="s">
        <v>1127</v>
      </c>
      <c r="IXM347" s="444">
        <v>6</v>
      </c>
      <c r="IXN347" s="444" t="s">
        <v>1127</v>
      </c>
      <c r="IXO347" s="444">
        <v>6</v>
      </c>
      <c r="IXP347" s="444" t="s">
        <v>1127</v>
      </c>
      <c r="IXQ347" s="444">
        <v>6</v>
      </c>
      <c r="IXR347" s="444" t="s">
        <v>1127</v>
      </c>
      <c r="IXS347" s="444">
        <v>6</v>
      </c>
      <c r="IXT347" s="444" t="s">
        <v>1127</v>
      </c>
      <c r="IXU347" s="444">
        <v>6</v>
      </c>
      <c r="IXV347" s="444" t="s">
        <v>1127</v>
      </c>
      <c r="IXW347" s="444">
        <v>6</v>
      </c>
      <c r="IXX347" s="444" t="s">
        <v>1127</v>
      </c>
      <c r="IXY347" s="444">
        <v>6</v>
      </c>
      <c r="IXZ347" s="444" t="s">
        <v>1127</v>
      </c>
      <c r="IYA347" s="444">
        <v>6</v>
      </c>
      <c r="IYB347" s="444" t="s">
        <v>1127</v>
      </c>
      <c r="IYC347" s="444">
        <v>6</v>
      </c>
      <c r="IYD347" s="444" t="s">
        <v>1127</v>
      </c>
      <c r="IYE347" s="444">
        <v>6</v>
      </c>
      <c r="IYF347" s="444" t="s">
        <v>1127</v>
      </c>
      <c r="IYG347" s="444">
        <v>6</v>
      </c>
      <c r="IYH347" s="444" t="s">
        <v>1127</v>
      </c>
      <c r="IYI347" s="444">
        <v>6</v>
      </c>
      <c r="IYJ347" s="444" t="s">
        <v>1127</v>
      </c>
      <c r="IYK347" s="444">
        <v>6</v>
      </c>
      <c r="IYL347" s="444" t="s">
        <v>1127</v>
      </c>
      <c r="IYM347" s="444">
        <v>6</v>
      </c>
      <c r="IYN347" s="444" t="s">
        <v>1127</v>
      </c>
      <c r="IYO347" s="444">
        <v>6</v>
      </c>
      <c r="IYP347" s="444" t="s">
        <v>1127</v>
      </c>
      <c r="IYQ347" s="444">
        <v>6</v>
      </c>
      <c r="IYR347" s="444" t="s">
        <v>1127</v>
      </c>
      <c r="IYS347" s="444">
        <v>6</v>
      </c>
      <c r="IYT347" s="444" t="s">
        <v>1127</v>
      </c>
      <c r="IYU347" s="444">
        <v>6</v>
      </c>
      <c r="IYV347" s="444" t="s">
        <v>1127</v>
      </c>
      <c r="IYW347" s="444">
        <v>6</v>
      </c>
      <c r="IYX347" s="444" t="s">
        <v>1127</v>
      </c>
      <c r="IYY347" s="444">
        <v>6</v>
      </c>
      <c r="IYZ347" s="444" t="s">
        <v>1127</v>
      </c>
      <c r="IZA347" s="444">
        <v>6</v>
      </c>
      <c r="IZB347" s="444" t="s">
        <v>1127</v>
      </c>
      <c r="IZC347" s="444">
        <v>6</v>
      </c>
      <c r="IZD347" s="444" t="s">
        <v>1127</v>
      </c>
      <c r="IZE347" s="444">
        <v>6</v>
      </c>
      <c r="IZF347" s="444" t="s">
        <v>1127</v>
      </c>
      <c r="IZG347" s="444">
        <v>6</v>
      </c>
      <c r="IZH347" s="444" t="s">
        <v>1127</v>
      </c>
      <c r="IZI347" s="444">
        <v>6</v>
      </c>
      <c r="IZJ347" s="444" t="s">
        <v>1127</v>
      </c>
      <c r="IZK347" s="444">
        <v>6</v>
      </c>
      <c r="IZL347" s="444" t="s">
        <v>1127</v>
      </c>
      <c r="IZM347" s="444">
        <v>6</v>
      </c>
      <c r="IZN347" s="444" t="s">
        <v>1127</v>
      </c>
      <c r="IZO347" s="444">
        <v>6</v>
      </c>
      <c r="IZP347" s="444" t="s">
        <v>1127</v>
      </c>
      <c r="IZQ347" s="444">
        <v>6</v>
      </c>
      <c r="IZR347" s="444" t="s">
        <v>1127</v>
      </c>
      <c r="IZS347" s="444">
        <v>6</v>
      </c>
      <c r="IZT347" s="444" t="s">
        <v>1127</v>
      </c>
      <c r="IZU347" s="444">
        <v>6</v>
      </c>
      <c r="IZV347" s="444" t="s">
        <v>1127</v>
      </c>
      <c r="IZW347" s="444">
        <v>6</v>
      </c>
      <c r="IZX347" s="444" t="s">
        <v>1127</v>
      </c>
      <c r="IZY347" s="444">
        <v>6</v>
      </c>
      <c r="IZZ347" s="444" t="s">
        <v>1127</v>
      </c>
      <c r="JAA347" s="444">
        <v>6</v>
      </c>
      <c r="JAB347" s="444" t="s">
        <v>1127</v>
      </c>
      <c r="JAC347" s="444">
        <v>6</v>
      </c>
      <c r="JAD347" s="444" t="s">
        <v>1127</v>
      </c>
      <c r="JAE347" s="444">
        <v>6</v>
      </c>
      <c r="JAF347" s="444" t="s">
        <v>1127</v>
      </c>
      <c r="JAG347" s="444">
        <v>6</v>
      </c>
      <c r="JAH347" s="444" t="s">
        <v>1127</v>
      </c>
      <c r="JAI347" s="444">
        <v>6</v>
      </c>
      <c r="JAJ347" s="444" t="s">
        <v>1127</v>
      </c>
      <c r="JAK347" s="444">
        <v>6</v>
      </c>
      <c r="JAL347" s="444" t="s">
        <v>1127</v>
      </c>
      <c r="JAM347" s="444">
        <v>6</v>
      </c>
      <c r="JAN347" s="444" t="s">
        <v>1127</v>
      </c>
      <c r="JAO347" s="444">
        <v>6</v>
      </c>
      <c r="JAP347" s="444" t="s">
        <v>1127</v>
      </c>
      <c r="JAQ347" s="444">
        <v>6</v>
      </c>
      <c r="JAR347" s="444" t="s">
        <v>1127</v>
      </c>
      <c r="JAS347" s="444">
        <v>6</v>
      </c>
      <c r="JAT347" s="444" t="s">
        <v>1127</v>
      </c>
      <c r="JAU347" s="444">
        <v>6</v>
      </c>
      <c r="JAV347" s="444" t="s">
        <v>1127</v>
      </c>
      <c r="JAW347" s="444">
        <v>6</v>
      </c>
      <c r="JAX347" s="444" t="s">
        <v>1127</v>
      </c>
      <c r="JAY347" s="444">
        <v>6</v>
      </c>
      <c r="JAZ347" s="444" t="s">
        <v>1127</v>
      </c>
      <c r="JBA347" s="444">
        <v>6</v>
      </c>
      <c r="JBB347" s="444" t="s">
        <v>1127</v>
      </c>
      <c r="JBC347" s="444">
        <v>6</v>
      </c>
      <c r="JBD347" s="444" t="s">
        <v>1127</v>
      </c>
      <c r="JBE347" s="444">
        <v>6</v>
      </c>
      <c r="JBF347" s="444" t="s">
        <v>1127</v>
      </c>
      <c r="JBG347" s="444">
        <v>6</v>
      </c>
      <c r="JBH347" s="444" t="s">
        <v>1127</v>
      </c>
      <c r="JBI347" s="444">
        <v>6</v>
      </c>
      <c r="JBJ347" s="444" t="s">
        <v>1127</v>
      </c>
      <c r="JBK347" s="444">
        <v>6</v>
      </c>
      <c r="JBL347" s="444" t="s">
        <v>1127</v>
      </c>
      <c r="JBM347" s="444">
        <v>6</v>
      </c>
      <c r="JBN347" s="444" t="s">
        <v>1127</v>
      </c>
      <c r="JBO347" s="444">
        <v>6</v>
      </c>
      <c r="JBP347" s="444" t="s">
        <v>1127</v>
      </c>
      <c r="JBQ347" s="444">
        <v>6</v>
      </c>
      <c r="JBR347" s="444" t="s">
        <v>1127</v>
      </c>
      <c r="JBS347" s="444">
        <v>6</v>
      </c>
      <c r="JBT347" s="444" t="s">
        <v>1127</v>
      </c>
      <c r="JBU347" s="444">
        <v>6</v>
      </c>
      <c r="JBV347" s="444" t="s">
        <v>1127</v>
      </c>
      <c r="JBW347" s="444">
        <v>6</v>
      </c>
      <c r="JBX347" s="444" t="s">
        <v>1127</v>
      </c>
      <c r="JBY347" s="444">
        <v>6</v>
      </c>
      <c r="JBZ347" s="444" t="s">
        <v>1127</v>
      </c>
      <c r="JCA347" s="444">
        <v>6</v>
      </c>
      <c r="JCB347" s="444" t="s">
        <v>1127</v>
      </c>
      <c r="JCC347" s="444">
        <v>6</v>
      </c>
      <c r="JCD347" s="444" t="s">
        <v>1127</v>
      </c>
      <c r="JCE347" s="444">
        <v>6</v>
      </c>
      <c r="JCF347" s="444" t="s">
        <v>1127</v>
      </c>
      <c r="JCG347" s="444">
        <v>6</v>
      </c>
      <c r="JCH347" s="444" t="s">
        <v>1127</v>
      </c>
      <c r="JCI347" s="444">
        <v>6</v>
      </c>
      <c r="JCJ347" s="444" t="s">
        <v>1127</v>
      </c>
      <c r="JCK347" s="444">
        <v>6</v>
      </c>
      <c r="JCL347" s="444" t="s">
        <v>1127</v>
      </c>
      <c r="JCM347" s="444">
        <v>6</v>
      </c>
      <c r="JCN347" s="444" t="s">
        <v>1127</v>
      </c>
      <c r="JCO347" s="444">
        <v>6</v>
      </c>
      <c r="JCP347" s="444" t="s">
        <v>1127</v>
      </c>
      <c r="JCQ347" s="444">
        <v>6</v>
      </c>
      <c r="JCR347" s="444" t="s">
        <v>1127</v>
      </c>
      <c r="JCS347" s="444">
        <v>6</v>
      </c>
      <c r="JCT347" s="444" t="s">
        <v>1127</v>
      </c>
      <c r="JCU347" s="444">
        <v>6</v>
      </c>
      <c r="JCV347" s="444" t="s">
        <v>1127</v>
      </c>
      <c r="JCW347" s="444">
        <v>6</v>
      </c>
      <c r="JCX347" s="444" t="s">
        <v>1127</v>
      </c>
      <c r="JCY347" s="444">
        <v>6</v>
      </c>
      <c r="JCZ347" s="444" t="s">
        <v>1127</v>
      </c>
      <c r="JDA347" s="444">
        <v>6</v>
      </c>
      <c r="JDB347" s="444" t="s">
        <v>1127</v>
      </c>
      <c r="JDC347" s="444">
        <v>6</v>
      </c>
      <c r="JDD347" s="444" t="s">
        <v>1127</v>
      </c>
      <c r="JDE347" s="444">
        <v>6</v>
      </c>
      <c r="JDF347" s="444" t="s">
        <v>1127</v>
      </c>
      <c r="JDG347" s="444">
        <v>6</v>
      </c>
      <c r="JDH347" s="444" t="s">
        <v>1127</v>
      </c>
      <c r="JDI347" s="444">
        <v>6</v>
      </c>
      <c r="JDJ347" s="444" t="s">
        <v>1127</v>
      </c>
      <c r="JDK347" s="444">
        <v>6</v>
      </c>
      <c r="JDL347" s="444" t="s">
        <v>1127</v>
      </c>
      <c r="JDM347" s="444">
        <v>6</v>
      </c>
      <c r="JDN347" s="444" t="s">
        <v>1127</v>
      </c>
      <c r="JDO347" s="444">
        <v>6</v>
      </c>
      <c r="JDP347" s="444" t="s">
        <v>1127</v>
      </c>
      <c r="JDQ347" s="444">
        <v>6</v>
      </c>
      <c r="JDR347" s="444" t="s">
        <v>1127</v>
      </c>
      <c r="JDS347" s="444">
        <v>6</v>
      </c>
      <c r="JDT347" s="444" t="s">
        <v>1127</v>
      </c>
      <c r="JDU347" s="444">
        <v>6</v>
      </c>
      <c r="JDV347" s="444" t="s">
        <v>1127</v>
      </c>
      <c r="JDW347" s="444">
        <v>6</v>
      </c>
      <c r="JDX347" s="444" t="s">
        <v>1127</v>
      </c>
      <c r="JDY347" s="444">
        <v>6</v>
      </c>
      <c r="JDZ347" s="444" t="s">
        <v>1127</v>
      </c>
      <c r="JEA347" s="444">
        <v>6</v>
      </c>
      <c r="JEB347" s="444" t="s">
        <v>1127</v>
      </c>
      <c r="JEC347" s="444">
        <v>6</v>
      </c>
      <c r="JED347" s="444" t="s">
        <v>1127</v>
      </c>
      <c r="JEE347" s="444">
        <v>6</v>
      </c>
      <c r="JEF347" s="444" t="s">
        <v>1127</v>
      </c>
      <c r="JEG347" s="444">
        <v>6</v>
      </c>
      <c r="JEH347" s="444" t="s">
        <v>1127</v>
      </c>
      <c r="JEI347" s="444">
        <v>6</v>
      </c>
      <c r="JEJ347" s="444" t="s">
        <v>1127</v>
      </c>
      <c r="JEK347" s="444">
        <v>6</v>
      </c>
      <c r="JEL347" s="444" t="s">
        <v>1127</v>
      </c>
      <c r="JEM347" s="444">
        <v>6</v>
      </c>
      <c r="JEN347" s="444" t="s">
        <v>1127</v>
      </c>
      <c r="JEO347" s="444">
        <v>6</v>
      </c>
      <c r="JEP347" s="444" t="s">
        <v>1127</v>
      </c>
      <c r="JEQ347" s="444">
        <v>6</v>
      </c>
      <c r="JER347" s="444" t="s">
        <v>1127</v>
      </c>
      <c r="JES347" s="444">
        <v>6</v>
      </c>
      <c r="JET347" s="444" t="s">
        <v>1127</v>
      </c>
      <c r="JEU347" s="444">
        <v>6</v>
      </c>
      <c r="JEV347" s="444" t="s">
        <v>1127</v>
      </c>
      <c r="JEW347" s="444">
        <v>6</v>
      </c>
      <c r="JEX347" s="444" t="s">
        <v>1127</v>
      </c>
      <c r="JEY347" s="444">
        <v>6</v>
      </c>
      <c r="JEZ347" s="444" t="s">
        <v>1127</v>
      </c>
      <c r="JFA347" s="444">
        <v>6</v>
      </c>
      <c r="JFB347" s="444" t="s">
        <v>1127</v>
      </c>
      <c r="JFC347" s="444">
        <v>6</v>
      </c>
      <c r="JFD347" s="444" t="s">
        <v>1127</v>
      </c>
      <c r="JFE347" s="444">
        <v>6</v>
      </c>
      <c r="JFF347" s="444" t="s">
        <v>1127</v>
      </c>
      <c r="JFG347" s="444">
        <v>6</v>
      </c>
      <c r="JFH347" s="444" t="s">
        <v>1127</v>
      </c>
      <c r="JFI347" s="444">
        <v>6</v>
      </c>
      <c r="JFJ347" s="444" t="s">
        <v>1127</v>
      </c>
      <c r="JFK347" s="444">
        <v>6</v>
      </c>
      <c r="JFL347" s="444" t="s">
        <v>1127</v>
      </c>
      <c r="JFM347" s="444">
        <v>6</v>
      </c>
      <c r="JFN347" s="444" t="s">
        <v>1127</v>
      </c>
      <c r="JFO347" s="444">
        <v>6</v>
      </c>
      <c r="JFP347" s="444" t="s">
        <v>1127</v>
      </c>
      <c r="JFQ347" s="444">
        <v>6</v>
      </c>
      <c r="JFR347" s="444" t="s">
        <v>1127</v>
      </c>
      <c r="JFS347" s="444">
        <v>6</v>
      </c>
      <c r="JFT347" s="444" t="s">
        <v>1127</v>
      </c>
      <c r="JFU347" s="444">
        <v>6</v>
      </c>
      <c r="JFV347" s="444" t="s">
        <v>1127</v>
      </c>
      <c r="JFW347" s="444">
        <v>6</v>
      </c>
      <c r="JFX347" s="444" t="s">
        <v>1127</v>
      </c>
      <c r="JFY347" s="444">
        <v>6</v>
      </c>
      <c r="JFZ347" s="444" t="s">
        <v>1127</v>
      </c>
      <c r="JGA347" s="444">
        <v>6</v>
      </c>
      <c r="JGB347" s="444" t="s">
        <v>1127</v>
      </c>
      <c r="JGC347" s="444">
        <v>6</v>
      </c>
      <c r="JGD347" s="444" t="s">
        <v>1127</v>
      </c>
      <c r="JGE347" s="444">
        <v>6</v>
      </c>
      <c r="JGF347" s="444" t="s">
        <v>1127</v>
      </c>
      <c r="JGG347" s="444">
        <v>6</v>
      </c>
      <c r="JGH347" s="444" t="s">
        <v>1127</v>
      </c>
      <c r="JGI347" s="444">
        <v>6</v>
      </c>
      <c r="JGJ347" s="444" t="s">
        <v>1127</v>
      </c>
      <c r="JGK347" s="444">
        <v>6</v>
      </c>
      <c r="JGL347" s="444" t="s">
        <v>1127</v>
      </c>
      <c r="JGM347" s="444">
        <v>6</v>
      </c>
      <c r="JGN347" s="444" t="s">
        <v>1127</v>
      </c>
      <c r="JGO347" s="444">
        <v>6</v>
      </c>
      <c r="JGP347" s="444" t="s">
        <v>1127</v>
      </c>
      <c r="JGQ347" s="444">
        <v>6</v>
      </c>
      <c r="JGR347" s="444" t="s">
        <v>1127</v>
      </c>
      <c r="JGS347" s="444">
        <v>6</v>
      </c>
      <c r="JGT347" s="444" t="s">
        <v>1127</v>
      </c>
      <c r="JGU347" s="444">
        <v>6</v>
      </c>
      <c r="JGV347" s="444" t="s">
        <v>1127</v>
      </c>
      <c r="JGW347" s="444">
        <v>6</v>
      </c>
      <c r="JGX347" s="444" t="s">
        <v>1127</v>
      </c>
      <c r="JGY347" s="444">
        <v>6</v>
      </c>
      <c r="JGZ347" s="444" t="s">
        <v>1127</v>
      </c>
      <c r="JHA347" s="444">
        <v>6</v>
      </c>
      <c r="JHB347" s="444" t="s">
        <v>1127</v>
      </c>
      <c r="JHC347" s="444">
        <v>6</v>
      </c>
      <c r="JHD347" s="444" t="s">
        <v>1127</v>
      </c>
      <c r="JHE347" s="444">
        <v>6</v>
      </c>
      <c r="JHF347" s="444" t="s">
        <v>1127</v>
      </c>
      <c r="JHG347" s="444">
        <v>6</v>
      </c>
      <c r="JHH347" s="444" t="s">
        <v>1127</v>
      </c>
      <c r="JHI347" s="444">
        <v>6</v>
      </c>
      <c r="JHJ347" s="444" t="s">
        <v>1127</v>
      </c>
      <c r="JHK347" s="444">
        <v>6</v>
      </c>
      <c r="JHL347" s="444" t="s">
        <v>1127</v>
      </c>
      <c r="JHM347" s="444">
        <v>6</v>
      </c>
      <c r="JHN347" s="444" t="s">
        <v>1127</v>
      </c>
      <c r="JHO347" s="444">
        <v>6</v>
      </c>
      <c r="JHP347" s="444" t="s">
        <v>1127</v>
      </c>
      <c r="JHQ347" s="444">
        <v>6</v>
      </c>
      <c r="JHR347" s="444" t="s">
        <v>1127</v>
      </c>
      <c r="JHS347" s="444">
        <v>6</v>
      </c>
      <c r="JHT347" s="444" t="s">
        <v>1127</v>
      </c>
      <c r="JHU347" s="444">
        <v>6</v>
      </c>
      <c r="JHV347" s="444" t="s">
        <v>1127</v>
      </c>
      <c r="JHW347" s="444">
        <v>6</v>
      </c>
      <c r="JHX347" s="444" t="s">
        <v>1127</v>
      </c>
      <c r="JHY347" s="444">
        <v>6</v>
      </c>
      <c r="JHZ347" s="444" t="s">
        <v>1127</v>
      </c>
      <c r="JIA347" s="444">
        <v>6</v>
      </c>
      <c r="JIB347" s="444" t="s">
        <v>1127</v>
      </c>
      <c r="JIC347" s="444">
        <v>6</v>
      </c>
      <c r="JID347" s="444" t="s">
        <v>1127</v>
      </c>
      <c r="JIE347" s="444">
        <v>6</v>
      </c>
      <c r="JIF347" s="444" t="s">
        <v>1127</v>
      </c>
      <c r="JIG347" s="444">
        <v>6</v>
      </c>
      <c r="JIH347" s="444" t="s">
        <v>1127</v>
      </c>
      <c r="JII347" s="444">
        <v>6</v>
      </c>
      <c r="JIJ347" s="444" t="s">
        <v>1127</v>
      </c>
      <c r="JIK347" s="444">
        <v>6</v>
      </c>
      <c r="JIL347" s="444" t="s">
        <v>1127</v>
      </c>
      <c r="JIM347" s="444">
        <v>6</v>
      </c>
      <c r="JIN347" s="444" t="s">
        <v>1127</v>
      </c>
      <c r="JIO347" s="444">
        <v>6</v>
      </c>
      <c r="JIP347" s="444" t="s">
        <v>1127</v>
      </c>
      <c r="JIQ347" s="444">
        <v>6</v>
      </c>
      <c r="JIR347" s="444" t="s">
        <v>1127</v>
      </c>
      <c r="JIS347" s="444">
        <v>6</v>
      </c>
      <c r="JIT347" s="444" t="s">
        <v>1127</v>
      </c>
      <c r="JIU347" s="444">
        <v>6</v>
      </c>
      <c r="JIV347" s="444" t="s">
        <v>1127</v>
      </c>
      <c r="JIW347" s="444">
        <v>6</v>
      </c>
      <c r="JIX347" s="444" t="s">
        <v>1127</v>
      </c>
      <c r="JIY347" s="444">
        <v>6</v>
      </c>
      <c r="JIZ347" s="444" t="s">
        <v>1127</v>
      </c>
      <c r="JJA347" s="444">
        <v>6</v>
      </c>
      <c r="JJB347" s="444" t="s">
        <v>1127</v>
      </c>
      <c r="JJC347" s="444">
        <v>6</v>
      </c>
      <c r="JJD347" s="444" t="s">
        <v>1127</v>
      </c>
      <c r="JJE347" s="444">
        <v>6</v>
      </c>
      <c r="JJF347" s="444" t="s">
        <v>1127</v>
      </c>
      <c r="JJG347" s="444">
        <v>6</v>
      </c>
      <c r="JJH347" s="444" t="s">
        <v>1127</v>
      </c>
      <c r="JJI347" s="444">
        <v>6</v>
      </c>
      <c r="JJJ347" s="444" t="s">
        <v>1127</v>
      </c>
      <c r="JJK347" s="444">
        <v>6</v>
      </c>
      <c r="JJL347" s="444" t="s">
        <v>1127</v>
      </c>
      <c r="JJM347" s="444">
        <v>6</v>
      </c>
      <c r="JJN347" s="444" t="s">
        <v>1127</v>
      </c>
      <c r="JJO347" s="444">
        <v>6</v>
      </c>
      <c r="JJP347" s="444" t="s">
        <v>1127</v>
      </c>
      <c r="JJQ347" s="444">
        <v>6</v>
      </c>
      <c r="JJR347" s="444" t="s">
        <v>1127</v>
      </c>
      <c r="JJS347" s="444">
        <v>6</v>
      </c>
      <c r="JJT347" s="444" t="s">
        <v>1127</v>
      </c>
      <c r="JJU347" s="444">
        <v>6</v>
      </c>
      <c r="JJV347" s="444" t="s">
        <v>1127</v>
      </c>
      <c r="JJW347" s="444">
        <v>6</v>
      </c>
      <c r="JJX347" s="444" t="s">
        <v>1127</v>
      </c>
      <c r="JJY347" s="444">
        <v>6</v>
      </c>
      <c r="JJZ347" s="444" t="s">
        <v>1127</v>
      </c>
      <c r="JKA347" s="444">
        <v>6</v>
      </c>
      <c r="JKB347" s="444" t="s">
        <v>1127</v>
      </c>
      <c r="JKC347" s="444">
        <v>6</v>
      </c>
      <c r="JKD347" s="444" t="s">
        <v>1127</v>
      </c>
      <c r="JKE347" s="444">
        <v>6</v>
      </c>
      <c r="JKF347" s="444" t="s">
        <v>1127</v>
      </c>
      <c r="JKG347" s="444">
        <v>6</v>
      </c>
      <c r="JKH347" s="444" t="s">
        <v>1127</v>
      </c>
      <c r="JKI347" s="444">
        <v>6</v>
      </c>
      <c r="JKJ347" s="444" t="s">
        <v>1127</v>
      </c>
      <c r="JKK347" s="444">
        <v>6</v>
      </c>
      <c r="JKL347" s="444" t="s">
        <v>1127</v>
      </c>
      <c r="JKM347" s="444">
        <v>6</v>
      </c>
      <c r="JKN347" s="444" t="s">
        <v>1127</v>
      </c>
      <c r="JKO347" s="444">
        <v>6</v>
      </c>
      <c r="JKP347" s="444" t="s">
        <v>1127</v>
      </c>
      <c r="JKQ347" s="444">
        <v>6</v>
      </c>
      <c r="JKR347" s="444" t="s">
        <v>1127</v>
      </c>
      <c r="JKS347" s="444">
        <v>6</v>
      </c>
      <c r="JKT347" s="444" t="s">
        <v>1127</v>
      </c>
      <c r="JKU347" s="444">
        <v>6</v>
      </c>
      <c r="JKV347" s="444" t="s">
        <v>1127</v>
      </c>
      <c r="JKW347" s="444">
        <v>6</v>
      </c>
      <c r="JKX347" s="444" t="s">
        <v>1127</v>
      </c>
      <c r="JKY347" s="444">
        <v>6</v>
      </c>
      <c r="JKZ347" s="444" t="s">
        <v>1127</v>
      </c>
      <c r="JLA347" s="444">
        <v>6</v>
      </c>
      <c r="JLB347" s="444" t="s">
        <v>1127</v>
      </c>
      <c r="JLC347" s="444">
        <v>6</v>
      </c>
      <c r="JLD347" s="444" t="s">
        <v>1127</v>
      </c>
      <c r="JLE347" s="444">
        <v>6</v>
      </c>
      <c r="JLF347" s="444" t="s">
        <v>1127</v>
      </c>
      <c r="JLG347" s="444">
        <v>6</v>
      </c>
      <c r="JLH347" s="444" t="s">
        <v>1127</v>
      </c>
      <c r="JLI347" s="444">
        <v>6</v>
      </c>
      <c r="JLJ347" s="444" t="s">
        <v>1127</v>
      </c>
      <c r="JLK347" s="444">
        <v>6</v>
      </c>
      <c r="JLL347" s="444" t="s">
        <v>1127</v>
      </c>
      <c r="JLM347" s="444">
        <v>6</v>
      </c>
      <c r="JLN347" s="444" t="s">
        <v>1127</v>
      </c>
      <c r="JLO347" s="444">
        <v>6</v>
      </c>
      <c r="JLP347" s="444" t="s">
        <v>1127</v>
      </c>
      <c r="JLQ347" s="444">
        <v>6</v>
      </c>
      <c r="JLR347" s="444" t="s">
        <v>1127</v>
      </c>
      <c r="JLS347" s="444">
        <v>6</v>
      </c>
      <c r="JLT347" s="444" t="s">
        <v>1127</v>
      </c>
      <c r="JLU347" s="444">
        <v>6</v>
      </c>
      <c r="JLV347" s="444" t="s">
        <v>1127</v>
      </c>
      <c r="JLW347" s="444">
        <v>6</v>
      </c>
      <c r="JLX347" s="444" t="s">
        <v>1127</v>
      </c>
      <c r="JLY347" s="444">
        <v>6</v>
      </c>
      <c r="JLZ347" s="444" t="s">
        <v>1127</v>
      </c>
      <c r="JMA347" s="444">
        <v>6</v>
      </c>
      <c r="JMB347" s="444" t="s">
        <v>1127</v>
      </c>
      <c r="JMC347" s="444">
        <v>6</v>
      </c>
      <c r="JMD347" s="444" t="s">
        <v>1127</v>
      </c>
      <c r="JME347" s="444">
        <v>6</v>
      </c>
      <c r="JMF347" s="444" t="s">
        <v>1127</v>
      </c>
      <c r="JMG347" s="444">
        <v>6</v>
      </c>
      <c r="JMH347" s="444" t="s">
        <v>1127</v>
      </c>
      <c r="JMI347" s="444">
        <v>6</v>
      </c>
      <c r="JMJ347" s="444" t="s">
        <v>1127</v>
      </c>
      <c r="JMK347" s="444">
        <v>6</v>
      </c>
      <c r="JML347" s="444" t="s">
        <v>1127</v>
      </c>
      <c r="JMM347" s="444">
        <v>6</v>
      </c>
      <c r="JMN347" s="444" t="s">
        <v>1127</v>
      </c>
      <c r="JMO347" s="444">
        <v>6</v>
      </c>
      <c r="JMP347" s="444" t="s">
        <v>1127</v>
      </c>
      <c r="JMQ347" s="444">
        <v>6</v>
      </c>
      <c r="JMR347" s="444" t="s">
        <v>1127</v>
      </c>
      <c r="JMS347" s="444">
        <v>6</v>
      </c>
      <c r="JMT347" s="444" t="s">
        <v>1127</v>
      </c>
      <c r="JMU347" s="444">
        <v>6</v>
      </c>
      <c r="JMV347" s="444" t="s">
        <v>1127</v>
      </c>
      <c r="JMW347" s="444">
        <v>6</v>
      </c>
      <c r="JMX347" s="444" t="s">
        <v>1127</v>
      </c>
      <c r="JMY347" s="444">
        <v>6</v>
      </c>
      <c r="JMZ347" s="444" t="s">
        <v>1127</v>
      </c>
      <c r="JNA347" s="444">
        <v>6</v>
      </c>
      <c r="JNB347" s="444" t="s">
        <v>1127</v>
      </c>
      <c r="JNC347" s="444">
        <v>6</v>
      </c>
      <c r="JND347" s="444" t="s">
        <v>1127</v>
      </c>
      <c r="JNE347" s="444">
        <v>6</v>
      </c>
      <c r="JNF347" s="444" t="s">
        <v>1127</v>
      </c>
      <c r="JNG347" s="444">
        <v>6</v>
      </c>
      <c r="JNH347" s="444" t="s">
        <v>1127</v>
      </c>
      <c r="JNI347" s="444">
        <v>6</v>
      </c>
      <c r="JNJ347" s="444" t="s">
        <v>1127</v>
      </c>
      <c r="JNK347" s="444">
        <v>6</v>
      </c>
      <c r="JNL347" s="444" t="s">
        <v>1127</v>
      </c>
      <c r="JNM347" s="444">
        <v>6</v>
      </c>
      <c r="JNN347" s="444" t="s">
        <v>1127</v>
      </c>
      <c r="JNO347" s="444">
        <v>6</v>
      </c>
      <c r="JNP347" s="444" t="s">
        <v>1127</v>
      </c>
      <c r="JNQ347" s="444">
        <v>6</v>
      </c>
      <c r="JNR347" s="444" t="s">
        <v>1127</v>
      </c>
      <c r="JNS347" s="444">
        <v>6</v>
      </c>
      <c r="JNT347" s="444" t="s">
        <v>1127</v>
      </c>
      <c r="JNU347" s="444">
        <v>6</v>
      </c>
      <c r="JNV347" s="444" t="s">
        <v>1127</v>
      </c>
      <c r="JNW347" s="444">
        <v>6</v>
      </c>
      <c r="JNX347" s="444" t="s">
        <v>1127</v>
      </c>
      <c r="JNY347" s="444">
        <v>6</v>
      </c>
      <c r="JNZ347" s="444" t="s">
        <v>1127</v>
      </c>
      <c r="JOA347" s="444">
        <v>6</v>
      </c>
      <c r="JOB347" s="444" t="s">
        <v>1127</v>
      </c>
      <c r="JOC347" s="444">
        <v>6</v>
      </c>
      <c r="JOD347" s="444" t="s">
        <v>1127</v>
      </c>
      <c r="JOE347" s="444">
        <v>6</v>
      </c>
      <c r="JOF347" s="444" t="s">
        <v>1127</v>
      </c>
      <c r="JOG347" s="444">
        <v>6</v>
      </c>
      <c r="JOH347" s="444" t="s">
        <v>1127</v>
      </c>
      <c r="JOI347" s="444">
        <v>6</v>
      </c>
      <c r="JOJ347" s="444" t="s">
        <v>1127</v>
      </c>
      <c r="JOK347" s="444">
        <v>6</v>
      </c>
      <c r="JOL347" s="444" t="s">
        <v>1127</v>
      </c>
      <c r="JOM347" s="444">
        <v>6</v>
      </c>
      <c r="JON347" s="444" t="s">
        <v>1127</v>
      </c>
      <c r="JOO347" s="444">
        <v>6</v>
      </c>
      <c r="JOP347" s="444" t="s">
        <v>1127</v>
      </c>
      <c r="JOQ347" s="444">
        <v>6</v>
      </c>
      <c r="JOR347" s="444" t="s">
        <v>1127</v>
      </c>
      <c r="JOS347" s="444">
        <v>6</v>
      </c>
      <c r="JOT347" s="444" t="s">
        <v>1127</v>
      </c>
      <c r="JOU347" s="444">
        <v>6</v>
      </c>
      <c r="JOV347" s="444" t="s">
        <v>1127</v>
      </c>
      <c r="JOW347" s="444">
        <v>6</v>
      </c>
      <c r="JOX347" s="444" t="s">
        <v>1127</v>
      </c>
      <c r="JOY347" s="444">
        <v>6</v>
      </c>
      <c r="JOZ347" s="444" t="s">
        <v>1127</v>
      </c>
      <c r="JPA347" s="444">
        <v>6</v>
      </c>
      <c r="JPB347" s="444" t="s">
        <v>1127</v>
      </c>
      <c r="JPC347" s="444">
        <v>6</v>
      </c>
      <c r="JPD347" s="444" t="s">
        <v>1127</v>
      </c>
      <c r="JPE347" s="444">
        <v>6</v>
      </c>
      <c r="JPF347" s="444" t="s">
        <v>1127</v>
      </c>
      <c r="JPG347" s="444">
        <v>6</v>
      </c>
      <c r="JPH347" s="444" t="s">
        <v>1127</v>
      </c>
      <c r="JPI347" s="444">
        <v>6</v>
      </c>
      <c r="JPJ347" s="444" t="s">
        <v>1127</v>
      </c>
      <c r="JPK347" s="444">
        <v>6</v>
      </c>
      <c r="JPL347" s="444" t="s">
        <v>1127</v>
      </c>
      <c r="JPM347" s="444">
        <v>6</v>
      </c>
      <c r="JPN347" s="444" t="s">
        <v>1127</v>
      </c>
      <c r="JPO347" s="444">
        <v>6</v>
      </c>
      <c r="JPP347" s="444" t="s">
        <v>1127</v>
      </c>
      <c r="JPQ347" s="444">
        <v>6</v>
      </c>
      <c r="JPR347" s="444" t="s">
        <v>1127</v>
      </c>
      <c r="JPS347" s="444">
        <v>6</v>
      </c>
      <c r="JPT347" s="444" t="s">
        <v>1127</v>
      </c>
      <c r="JPU347" s="444">
        <v>6</v>
      </c>
      <c r="JPV347" s="444" t="s">
        <v>1127</v>
      </c>
      <c r="JPW347" s="444">
        <v>6</v>
      </c>
      <c r="JPX347" s="444" t="s">
        <v>1127</v>
      </c>
      <c r="JPY347" s="444">
        <v>6</v>
      </c>
      <c r="JPZ347" s="444" t="s">
        <v>1127</v>
      </c>
      <c r="JQA347" s="444">
        <v>6</v>
      </c>
      <c r="JQB347" s="444" t="s">
        <v>1127</v>
      </c>
      <c r="JQC347" s="444">
        <v>6</v>
      </c>
      <c r="JQD347" s="444" t="s">
        <v>1127</v>
      </c>
      <c r="JQE347" s="444">
        <v>6</v>
      </c>
      <c r="JQF347" s="444" t="s">
        <v>1127</v>
      </c>
      <c r="JQG347" s="444">
        <v>6</v>
      </c>
      <c r="JQH347" s="444" t="s">
        <v>1127</v>
      </c>
      <c r="JQI347" s="444">
        <v>6</v>
      </c>
      <c r="JQJ347" s="444" t="s">
        <v>1127</v>
      </c>
      <c r="JQK347" s="444">
        <v>6</v>
      </c>
      <c r="JQL347" s="444" t="s">
        <v>1127</v>
      </c>
      <c r="JQM347" s="444">
        <v>6</v>
      </c>
      <c r="JQN347" s="444" t="s">
        <v>1127</v>
      </c>
      <c r="JQO347" s="444">
        <v>6</v>
      </c>
      <c r="JQP347" s="444" t="s">
        <v>1127</v>
      </c>
      <c r="JQQ347" s="444">
        <v>6</v>
      </c>
      <c r="JQR347" s="444" t="s">
        <v>1127</v>
      </c>
      <c r="JQS347" s="444">
        <v>6</v>
      </c>
      <c r="JQT347" s="444" t="s">
        <v>1127</v>
      </c>
      <c r="JQU347" s="444">
        <v>6</v>
      </c>
      <c r="JQV347" s="444" t="s">
        <v>1127</v>
      </c>
      <c r="JQW347" s="444">
        <v>6</v>
      </c>
      <c r="JQX347" s="444" t="s">
        <v>1127</v>
      </c>
      <c r="JQY347" s="444">
        <v>6</v>
      </c>
      <c r="JQZ347" s="444" t="s">
        <v>1127</v>
      </c>
      <c r="JRA347" s="444">
        <v>6</v>
      </c>
      <c r="JRB347" s="444" t="s">
        <v>1127</v>
      </c>
      <c r="JRC347" s="444">
        <v>6</v>
      </c>
      <c r="JRD347" s="444" t="s">
        <v>1127</v>
      </c>
      <c r="JRE347" s="444">
        <v>6</v>
      </c>
      <c r="JRF347" s="444" t="s">
        <v>1127</v>
      </c>
      <c r="JRG347" s="444">
        <v>6</v>
      </c>
      <c r="JRH347" s="444" t="s">
        <v>1127</v>
      </c>
      <c r="JRI347" s="444">
        <v>6</v>
      </c>
      <c r="JRJ347" s="444" t="s">
        <v>1127</v>
      </c>
      <c r="JRK347" s="444">
        <v>6</v>
      </c>
      <c r="JRL347" s="444" t="s">
        <v>1127</v>
      </c>
      <c r="JRM347" s="444">
        <v>6</v>
      </c>
      <c r="JRN347" s="444" t="s">
        <v>1127</v>
      </c>
      <c r="JRO347" s="444">
        <v>6</v>
      </c>
      <c r="JRP347" s="444" t="s">
        <v>1127</v>
      </c>
      <c r="JRQ347" s="444">
        <v>6</v>
      </c>
      <c r="JRR347" s="444" t="s">
        <v>1127</v>
      </c>
      <c r="JRS347" s="444">
        <v>6</v>
      </c>
      <c r="JRT347" s="444" t="s">
        <v>1127</v>
      </c>
      <c r="JRU347" s="444">
        <v>6</v>
      </c>
      <c r="JRV347" s="444" t="s">
        <v>1127</v>
      </c>
      <c r="JRW347" s="444">
        <v>6</v>
      </c>
      <c r="JRX347" s="444" t="s">
        <v>1127</v>
      </c>
      <c r="JRY347" s="444">
        <v>6</v>
      </c>
      <c r="JRZ347" s="444" t="s">
        <v>1127</v>
      </c>
      <c r="JSA347" s="444">
        <v>6</v>
      </c>
      <c r="JSB347" s="444" t="s">
        <v>1127</v>
      </c>
      <c r="JSC347" s="444">
        <v>6</v>
      </c>
      <c r="JSD347" s="444" t="s">
        <v>1127</v>
      </c>
      <c r="JSE347" s="444">
        <v>6</v>
      </c>
      <c r="JSF347" s="444" t="s">
        <v>1127</v>
      </c>
      <c r="JSG347" s="444">
        <v>6</v>
      </c>
      <c r="JSH347" s="444" t="s">
        <v>1127</v>
      </c>
      <c r="JSI347" s="444">
        <v>6</v>
      </c>
      <c r="JSJ347" s="444" t="s">
        <v>1127</v>
      </c>
      <c r="JSK347" s="444">
        <v>6</v>
      </c>
      <c r="JSL347" s="444" t="s">
        <v>1127</v>
      </c>
      <c r="JSM347" s="444">
        <v>6</v>
      </c>
      <c r="JSN347" s="444" t="s">
        <v>1127</v>
      </c>
      <c r="JSO347" s="444">
        <v>6</v>
      </c>
      <c r="JSP347" s="444" t="s">
        <v>1127</v>
      </c>
      <c r="JSQ347" s="444">
        <v>6</v>
      </c>
      <c r="JSR347" s="444" t="s">
        <v>1127</v>
      </c>
      <c r="JSS347" s="444">
        <v>6</v>
      </c>
      <c r="JST347" s="444" t="s">
        <v>1127</v>
      </c>
      <c r="JSU347" s="444">
        <v>6</v>
      </c>
      <c r="JSV347" s="444" t="s">
        <v>1127</v>
      </c>
      <c r="JSW347" s="444">
        <v>6</v>
      </c>
      <c r="JSX347" s="444" t="s">
        <v>1127</v>
      </c>
      <c r="JSY347" s="444">
        <v>6</v>
      </c>
      <c r="JSZ347" s="444" t="s">
        <v>1127</v>
      </c>
      <c r="JTA347" s="444">
        <v>6</v>
      </c>
      <c r="JTB347" s="444" t="s">
        <v>1127</v>
      </c>
      <c r="JTC347" s="444">
        <v>6</v>
      </c>
      <c r="JTD347" s="444" t="s">
        <v>1127</v>
      </c>
      <c r="JTE347" s="444">
        <v>6</v>
      </c>
      <c r="JTF347" s="444" t="s">
        <v>1127</v>
      </c>
      <c r="JTG347" s="444">
        <v>6</v>
      </c>
      <c r="JTH347" s="444" t="s">
        <v>1127</v>
      </c>
      <c r="JTI347" s="444">
        <v>6</v>
      </c>
      <c r="JTJ347" s="444" t="s">
        <v>1127</v>
      </c>
      <c r="JTK347" s="444">
        <v>6</v>
      </c>
      <c r="JTL347" s="444" t="s">
        <v>1127</v>
      </c>
      <c r="JTM347" s="444">
        <v>6</v>
      </c>
      <c r="JTN347" s="444" t="s">
        <v>1127</v>
      </c>
      <c r="JTO347" s="444">
        <v>6</v>
      </c>
      <c r="JTP347" s="444" t="s">
        <v>1127</v>
      </c>
      <c r="JTQ347" s="444">
        <v>6</v>
      </c>
      <c r="JTR347" s="444" t="s">
        <v>1127</v>
      </c>
      <c r="JTS347" s="444">
        <v>6</v>
      </c>
      <c r="JTT347" s="444" t="s">
        <v>1127</v>
      </c>
      <c r="JTU347" s="444">
        <v>6</v>
      </c>
      <c r="JTV347" s="444" t="s">
        <v>1127</v>
      </c>
      <c r="JTW347" s="444">
        <v>6</v>
      </c>
      <c r="JTX347" s="444" t="s">
        <v>1127</v>
      </c>
      <c r="JTY347" s="444">
        <v>6</v>
      </c>
      <c r="JTZ347" s="444" t="s">
        <v>1127</v>
      </c>
      <c r="JUA347" s="444">
        <v>6</v>
      </c>
      <c r="JUB347" s="444" t="s">
        <v>1127</v>
      </c>
      <c r="JUC347" s="444">
        <v>6</v>
      </c>
      <c r="JUD347" s="444" t="s">
        <v>1127</v>
      </c>
      <c r="JUE347" s="444">
        <v>6</v>
      </c>
      <c r="JUF347" s="444" t="s">
        <v>1127</v>
      </c>
      <c r="JUG347" s="444">
        <v>6</v>
      </c>
      <c r="JUH347" s="444" t="s">
        <v>1127</v>
      </c>
      <c r="JUI347" s="444">
        <v>6</v>
      </c>
      <c r="JUJ347" s="444" t="s">
        <v>1127</v>
      </c>
      <c r="JUK347" s="444">
        <v>6</v>
      </c>
      <c r="JUL347" s="444" t="s">
        <v>1127</v>
      </c>
      <c r="JUM347" s="444">
        <v>6</v>
      </c>
      <c r="JUN347" s="444" t="s">
        <v>1127</v>
      </c>
      <c r="JUO347" s="444">
        <v>6</v>
      </c>
      <c r="JUP347" s="444" t="s">
        <v>1127</v>
      </c>
      <c r="JUQ347" s="444">
        <v>6</v>
      </c>
      <c r="JUR347" s="444" t="s">
        <v>1127</v>
      </c>
      <c r="JUS347" s="444">
        <v>6</v>
      </c>
      <c r="JUT347" s="444" t="s">
        <v>1127</v>
      </c>
      <c r="JUU347" s="444">
        <v>6</v>
      </c>
      <c r="JUV347" s="444" t="s">
        <v>1127</v>
      </c>
      <c r="JUW347" s="444">
        <v>6</v>
      </c>
      <c r="JUX347" s="444" t="s">
        <v>1127</v>
      </c>
      <c r="JUY347" s="444">
        <v>6</v>
      </c>
      <c r="JUZ347" s="444" t="s">
        <v>1127</v>
      </c>
      <c r="JVA347" s="444">
        <v>6</v>
      </c>
      <c r="JVB347" s="444" t="s">
        <v>1127</v>
      </c>
      <c r="JVC347" s="444">
        <v>6</v>
      </c>
      <c r="JVD347" s="444" t="s">
        <v>1127</v>
      </c>
      <c r="JVE347" s="444">
        <v>6</v>
      </c>
      <c r="JVF347" s="444" t="s">
        <v>1127</v>
      </c>
      <c r="JVG347" s="444">
        <v>6</v>
      </c>
      <c r="JVH347" s="444" t="s">
        <v>1127</v>
      </c>
      <c r="JVI347" s="444">
        <v>6</v>
      </c>
      <c r="JVJ347" s="444" t="s">
        <v>1127</v>
      </c>
      <c r="JVK347" s="444">
        <v>6</v>
      </c>
      <c r="JVL347" s="444" t="s">
        <v>1127</v>
      </c>
      <c r="JVM347" s="444">
        <v>6</v>
      </c>
      <c r="JVN347" s="444" t="s">
        <v>1127</v>
      </c>
      <c r="JVO347" s="444">
        <v>6</v>
      </c>
      <c r="JVP347" s="444" t="s">
        <v>1127</v>
      </c>
      <c r="JVQ347" s="444">
        <v>6</v>
      </c>
      <c r="JVR347" s="444" t="s">
        <v>1127</v>
      </c>
      <c r="JVS347" s="444">
        <v>6</v>
      </c>
      <c r="JVT347" s="444" t="s">
        <v>1127</v>
      </c>
      <c r="JVU347" s="444">
        <v>6</v>
      </c>
      <c r="JVV347" s="444" t="s">
        <v>1127</v>
      </c>
      <c r="JVW347" s="444">
        <v>6</v>
      </c>
      <c r="JVX347" s="444" t="s">
        <v>1127</v>
      </c>
      <c r="JVY347" s="444">
        <v>6</v>
      </c>
      <c r="JVZ347" s="444" t="s">
        <v>1127</v>
      </c>
      <c r="JWA347" s="444">
        <v>6</v>
      </c>
      <c r="JWB347" s="444" t="s">
        <v>1127</v>
      </c>
      <c r="JWC347" s="444">
        <v>6</v>
      </c>
      <c r="JWD347" s="444" t="s">
        <v>1127</v>
      </c>
      <c r="JWE347" s="444">
        <v>6</v>
      </c>
      <c r="JWF347" s="444" t="s">
        <v>1127</v>
      </c>
      <c r="JWG347" s="444">
        <v>6</v>
      </c>
      <c r="JWH347" s="444" t="s">
        <v>1127</v>
      </c>
      <c r="JWI347" s="444">
        <v>6</v>
      </c>
      <c r="JWJ347" s="444" t="s">
        <v>1127</v>
      </c>
      <c r="JWK347" s="444">
        <v>6</v>
      </c>
      <c r="JWL347" s="444" t="s">
        <v>1127</v>
      </c>
      <c r="JWM347" s="444">
        <v>6</v>
      </c>
      <c r="JWN347" s="444" t="s">
        <v>1127</v>
      </c>
      <c r="JWO347" s="444">
        <v>6</v>
      </c>
      <c r="JWP347" s="444" t="s">
        <v>1127</v>
      </c>
      <c r="JWQ347" s="444">
        <v>6</v>
      </c>
      <c r="JWR347" s="444" t="s">
        <v>1127</v>
      </c>
      <c r="JWS347" s="444">
        <v>6</v>
      </c>
      <c r="JWT347" s="444" t="s">
        <v>1127</v>
      </c>
      <c r="JWU347" s="444">
        <v>6</v>
      </c>
      <c r="JWV347" s="444" t="s">
        <v>1127</v>
      </c>
      <c r="JWW347" s="444">
        <v>6</v>
      </c>
      <c r="JWX347" s="444" t="s">
        <v>1127</v>
      </c>
      <c r="JWY347" s="444">
        <v>6</v>
      </c>
      <c r="JWZ347" s="444" t="s">
        <v>1127</v>
      </c>
      <c r="JXA347" s="444">
        <v>6</v>
      </c>
      <c r="JXB347" s="444" t="s">
        <v>1127</v>
      </c>
      <c r="JXC347" s="444">
        <v>6</v>
      </c>
      <c r="JXD347" s="444" t="s">
        <v>1127</v>
      </c>
      <c r="JXE347" s="444">
        <v>6</v>
      </c>
      <c r="JXF347" s="444" t="s">
        <v>1127</v>
      </c>
      <c r="JXG347" s="444">
        <v>6</v>
      </c>
      <c r="JXH347" s="444" t="s">
        <v>1127</v>
      </c>
      <c r="JXI347" s="444">
        <v>6</v>
      </c>
      <c r="JXJ347" s="444" t="s">
        <v>1127</v>
      </c>
      <c r="JXK347" s="444">
        <v>6</v>
      </c>
      <c r="JXL347" s="444" t="s">
        <v>1127</v>
      </c>
      <c r="JXM347" s="444">
        <v>6</v>
      </c>
      <c r="JXN347" s="444" t="s">
        <v>1127</v>
      </c>
      <c r="JXO347" s="444">
        <v>6</v>
      </c>
      <c r="JXP347" s="444" t="s">
        <v>1127</v>
      </c>
      <c r="JXQ347" s="444">
        <v>6</v>
      </c>
      <c r="JXR347" s="444" t="s">
        <v>1127</v>
      </c>
      <c r="JXS347" s="444">
        <v>6</v>
      </c>
      <c r="JXT347" s="444" t="s">
        <v>1127</v>
      </c>
      <c r="JXU347" s="444">
        <v>6</v>
      </c>
      <c r="JXV347" s="444" t="s">
        <v>1127</v>
      </c>
      <c r="JXW347" s="444">
        <v>6</v>
      </c>
      <c r="JXX347" s="444" t="s">
        <v>1127</v>
      </c>
      <c r="JXY347" s="444">
        <v>6</v>
      </c>
      <c r="JXZ347" s="444" t="s">
        <v>1127</v>
      </c>
      <c r="JYA347" s="444">
        <v>6</v>
      </c>
      <c r="JYB347" s="444" t="s">
        <v>1127</v>
      </c>
      <c r="JYC347" s="444">
        <v>6</v>
      </c>
      <c r="JYD347" s="444" t="s">
        <v>1127</v>
      </c>
      <c r="JYE347" s="444">
        <v>6</v>
      </c>
      <c r="JYF347" s="444" t="s">
        <v>1127</v>
      </c>
      <c r="JYG347" s="444">
        <v>6</v>
      </c>
      <c r="JYH347" s="444" t="s">
        <v>1127</v>
      </c>
      <c r="JYI347" s="444">
        <v>6</v>
      </c>
      <c r="JYJ347" s="444" t="s">
        <v>1127</v>
      </c>
      <c r="JYK347" s="444">
        <v>6</v>
      </c>
      <c r="JYL347" s="444" t="s">
        <v>1127</v>
      </c>
      <c r="JYM347" s="444">
        <v>6</v>
      </c>
      <c r="JYN347" s="444" t="s">
        <v>1127</v>
      </c>
      <c r="JYO347" s="444">
        <v>6</v>
      </c>
      <c r="JYP347" s="444" t="s">
        <v>1127</v>
      </c>
      <c r="JYQ347" s="444">
        <v>6</v>
      </c>
      <c r="JYR347" s="444" t="s">
        <v>1127</v>
      </c>
      <c r="JYS347" s="444">
        <v>6</v>
      </c>
      <c r="JYT347" s="444" t="s">
        <v>1127</v>
      </c>
      <c r="JYU347" s="444">
        <v>6</v>
      </c>
      <c r="JYV347" s="444" t="s">
        <v>1127</v>
      </c>
      <c r="JYW347" s="444">
        <v>6</v>
      </c>
      <c r="JYX347" s="444" t="s">
        <v>1127</v>
      </c>
      <c r="JYY347" s="444">
        <v>6</v>
      </c>
      <c r="JYZ347" s="444" t="s">
        <v>1127</v>
      </c>
      <c r="JZA347" s="444">
        <v>6</v>
      </c>
      <c r="JZB347" s="444" t="s">
        <v>1127</v>
      </c>
      <c r="JZC347" s="444">
        <v>6</v>
      </c>
      <c r="JZD347" s="444" t="s">
        <v>1127</v>
      </c>
      <c r="JZE347" s="444">
        <v>6</v>
      </c>
      <c r="JZF347" s="444" t="s">
        <v>1127</v>
      </c>
      <c r="JZG347" s="444">
        <v>6</v>
      </c>
      <c r="JZH347" s="444" t="s">
        <v>1127</v>
      </c>
      <c r="JZI347" s="444">
        <v>6</v>
      </c>
      <c r="JZJ347" s="444" t="s">
        <v>1127</v>
      </c>
      <c r="JZK347" s="444">
        <v>6</v>
      </c>
      <c r="JZL347" s="444" t="s">
        <v>1127</v>
      </c>
      <c r="JZM347" s="444">
        <v>6</v>
      </c>
      <c r="JZN347" s="444" t="s">
        <v>1127</v>
      </c>
      <c r="JZO347" s="444">
        <v>6</v>
      </c>
      <c r="JZP347" s="444" t="s">
        <v>1127</v>
      </c>
      <c r="JZQ347" s="444">
        <v>6</v>
      </c>
      <c r="JZR347" s="444" t="s">
        <v>1127</v>
      </c>
      <c r="JZS347" s="444">
        <v>6</v>
      </c>
      <c r="JZT347" s="444" t="s">
        <v>1127</v>
      </c>
      <c r="JZU347" s="444">
        <v>6</v>
      </c>
      <c r="JZV347" s="444" t="s">
        <v>1127</v>
      </c>
      <c r="JZW347" s="444">
        <v>6</v>
      </c>
      <c r="JZX347" s="444" t="s">
        <v>1127</v>
      </c>
      <c r="JZY347" s="444">
        <v>6</v>
      </c>
      <c r="JZZ347" s="444" t="s">
        <v>1127</v>
      </c>
      <c r="KAA347" s="444">
        <v>6</v>
      </c>
      <c r="KAB347" s="444" t="s">
        <v>1127</v>
      </c>
      <c r="KAC347" s="444">
        <v>6</v>
      </c>
      <c r="KAD347" s="444" t="s">
        <v>1127</v>
      </c>
      <c r="KAE347" s="444">
        <v>6</v>
      </c>
      <c r="KAF347" s="444" t="s">
        <v>1127</v>
      </c>
      <c r="KAG347" s="444">
        <v>6</v>
      </c>
      <c r="KAH347" s="444" t="s">
        <v>1127</v>
      </c>
      <c r="KAI347" s="444">
        <v>6</v>
      </c>
      <c r="KAJ347" s="444" t="s">
        <v>1127</v>
      </c>
      <c r="KAK347" s="444">
        <v>6</v>
      </c>
      <c r="KAL347" s="444" t="s">
        <v>1127</v>
      </c>
      <c r="KAM347" s="444">
        <v>6</v>
      </c>
      <c r="KAN347" s="444" t="s">
        <v>1127</v>
      </c>
      <c r="KAO347" s="444">
        <v>6</v>
      </c>
      <c r="KAP347" s="444" t="s">
        <v>1127</v>
      </c>
      <c r="KAQ347" s="444">
        <v>6</v>
      </c>
      <c r="KAR347" s="444" t="s">
        <v>1127</v>
      </c>
      <c r="KAS347" s="444">
        <v>6</v>
      </c>
      <c r="KAT347" s="444" t="s">
        <v>1127</v>
      </c>
      <c r="KAU347" s="444">
        <v>6</v>
      </c>
      <c r="KAV347" s="444" t="s">
        <v>1127</v>
      </c>
      <c r="KAW347" s="444">
        <v>6</v>
      </c>
      <c r="KAX347" s="444" t="s">
        <v>1127</v>
      </c>
      <c r="KAY347" s="444">
        <v>6</v>
      </c>
      <c r="KAZ347" s="444" t="s">
        <v>1127</v>
      </c>
      <c r="KBA347" s="444">
        <v>6</v>
      </c>
      <c r="KBB347" s="444" t="s">
        <v>1127</v>
      </c>
      <c r="KBC347" s="444">
        <v>6</v>
      </c>
      <c r="KBD347" s="444" t="s">
        <v>1127</v>
      </c>
      <c r="KBE347" s="444">
        <v>6</v>
      </c>
      <c r="KBF347" s="444" t="s">
        <v>1127</v>
      </c>
      <c r="KBG347" s="444">
        <v>6</v>
      </c>
      <c r="KBH347" s="444" t="s">
        <v>1127</v>
      </c>
      <c r="KBI347" s="444">
        <v>6</v>
      </c>
      <c r="KBJ347" s="444" t="s">
        <v>1127</v>
      </c>
      <c r="KBK347" s="444">
        <v>6</v>
      </c>
      <c r="KBL347" s="444" t="s">
        <v>1127</v>
      </c>
      <c r="KBM347" s="444">
        <v>6</v>
      </c>
      <c r="KBN347" s="444" t="s">
        <v>1127</v>
      </c>
      <c r="KBO347" s="444">
        <v>6</v>
      </c>
      <c r="KBP347" s="444" t="s">
        <v>1127</v>
      </c>
      <c r="KBQ347" s="444">
        <v>6</v>
      </c>
      <c r="KBR347" s="444" t="s">
        <v>1127</v>
      </c>
      <c r="KBS347" s="444">
        <v>6</v>
      </c>
      <c r="KBT347" s="444" t="s">
        <v>1127</v>
      </c>
      <c r="KBU347" s="444">
        <v>6</v>
      </c>
      <c r="KBV347" s="444" t="s">
        <v>1127</v>
      </c>
      <c r="KBW347" s="444">
        <v>6</v>
      </c>
      <c r="KBX347" s="444" t="s">
        <v>1127</v>
      </c>
      <c r="KBY347" s="444">
        <v>6</v>
      </c>
      <c r="KBZ347" s="444" t="s">
        <v>1127</v>
      </c>
      <c r="KCA347" s="444">
        <v>6</v>
      </c>
      <c r="KCB347" s="444" t="s">
        <v>1127</v>
      </c>
      <c r="KCC347" s="444">
        <v>6</v>
      </c>
      <c r="KCD347" s="444" t="s">
        <v>1127</v>
      </c>
      <c r="KCE347" s="444">
        <v>6</v>
      </c>
      <c r="KCF347" s="444" t="s">
        <v>1127</v>
      </c>
      <c r="KCG347" s="444">
        <v>6</v>
      </c>
      <c r="KCH347" s="444" t="s">
        <v>1127</v>
      </c>
      <c r="KCI347" s="444">
        <v>6</v>
      </c>
      <c r="KCJ347" s="444" t="s">
        <v>1127</v>
      </c>
      <c r="KCK347" s="444">
        <v>6</v>
      </c>
      <c r="KCL347" s="444" t="s">
        <v>1127</v>
      </c>
      <c r="KCM347" s="444">
        <v>6</v>
      </c>
      <c r="KCN347" s="444" t="s">
        <v>1127</v>
      </c>
      <c r="KCO347" s="444">
        <v>6</v>
      </c>
      <c r="KCP347" s="444" t="s">
        <v>1127</v>
      </c>
      <c r="KCQ347" s="444">
        <v>6</v>
      </c>
      <c r="KCR347" s="444" t="s">
        <v>1127</v>
      </c>
      <c r="KCS347" s="444">
        <v>6</v>
      </c>
      <c r="KCT347" s="444" t="s">
        <v>1127</v>
      </c>
      <c r="KCU347" s="444">
        <v>6</v>
      </c>
      <c r="KCV347" s="444" t="s">
        <v>1127</v>
      </c>
      <c r="KCW347" s="444">
        <v>6</v>
      </c>
      <c r="KCX347" s="444" t="s">
        <v>1127</v>
      </c>
      <c r="KCY347" s="444">
        <v>6</v>
      </c>
      <c r="KCZ347" s="444" t="s">
        <v>1127</v>
      </c>
      <c r="KDA347" s="444">
        <v>6</v>
      </c>
      <c r="KDB347" s="444" t="s">
        <v>1127</v>
      </c>
      <c r="KDC347" s="444">
        <v>6</v>
      </c>
      <c r="KDD347" s="444" t="s">
        <v>1127</v>
      </c>
      <c r="KDE347" s="444">
        <v>6</v>
      </c>
      <c r="KDF347" s="444" t="s">
        <v>1127</v>
      </c>
      <c r="KDG347" s="444">
        <v>6</v>
      </c>
      <c r="KDH347" s="444" t="s">
        <v>1127</v>
      </c>
      <c r="KDI347" s="444">
        <v>6</v>
      </c>
      <c r="KDJ347" s="444" t="s">
        <v>1127</v>
      </c>
      <c r="KDK347" s="444">
        <v>6</v>
      </c>
      <c r="KDL347" s="444" t="s">
        <v>1127</v>
      </c>
      <c r="KDM347" s="444">
        <v>6</v>
      </c>
      <c r="KDN347" s="444" t="s">
        <v>1127</v>
      </c>
      <c r="KDO347" s="444">
        <v>6</v>
      </c>
      <c r="KDP347" s="444" t="s">
        <v>1127</v>
      </c>
      <c r="KDQ347" s="444">
        <v>6</v>
      </c>
      <c r="KDR347" s="444" t="s">
        <v>1127</v>
      </c>
      <c r="KDS347" s="444">
        <v>6</v>
      </c>
      <c r="KDT347" s="444" t="s">
        <v>1127</v>
      </c>
      <c r="KDU347" s="444">
        <v>6</v>
      </c>
      <c r="KDV347" s="444" t="s">
        <v>1127</v>
      </c>
      <c r="KDW347" s="444">
        <v>6</v>
      </c>
      <c r="KDX347" s="444" t="s">
        <v>1127</v>
      </c>
      <c r="KDY347" s="444">
        <v>6</v>
      </c>
      <c r="KDZ347" s="444" t="s">
        <v>1127</v>
      </c>
      <c r="KEA347" s="444">
        <v>6</v>
      </c>
      <c r="KEB347" s="444" t="s">
        <v>1127</v>
      </c>
      <c r="KEC347" s="444">
        <v>6</v>
      </c>
      <c r="KED347" s="444" t="s">
        <v>1127</v>
      </c>
      <c r="KEE347" s="444">
        <v>6</v>
      </c>
      <c r="KEF347" s="444" t="s">
        <v>1127</v>
      </c>
      <c r="KEG347" s="444">
        <v>6</v>
      </c>
      <c r="KEH347" s="444" t="s">
        <v>1127</v>
      </c>
      <c r="KEI347" s="444">
        <v>6</v>
      </c>
      <c r="KEJ347" s="444" t="s">
        <v>1127</v>
      </c>
      <c r="KEK347" s="444">
        <v>6</v>
      </c>
      <c r="KEL347" s="444" t="s">
        <v>1127</v>
      </c>
      <c r="KEM347" s="444">
        <v>6</v>
      </c>
      <c r="KEN347" s="444" t="s">
        <v>1127</v>
      </c>
      <c r="KEO347" s="444">
        <v>6</v>
      </c>
      <c r="KEP347" s="444" t="s">
        <v>1127</v>
      </c>
      <c r="KEQ347" s="444">
        <v>6</v>
      </c>
      <c r="KER347" s="444" t="s">
        <v>1127</v>
      </c>
      <c r="KES347" s="444">
        <v>6</v>
      </c>
      <c r="KET347" s="444" t="s">
        <v>1127</v>
      </c>
      <c r="KEU347" s="444">
        <v>6</v>
      </c>
      <c r="KEV347" s="444" t="s">
        <v>1127</v>
      </c>
      <c r="KEW347" s="444">
        <v>6</v>
      </c>
      <c r="KEX347" s="444" t="s">
        <v>1127</v>
      </c>
      <c r="KEY347" s="444">
        <v>6</v>
      </c>
      <c r="KEZ347" s="444" t="s">
        <v>1127</v>
      </c>
      <c r="KFA347" s="444">
        <v>6</v>
      </c>
      <c r="KFB347" s="444" t="s">
        <v>1127</v>
      </c>
      <c r="KFC347" s="444">
        <v>6</v>
      </c>
      <c r="KFD347" s="444" t="s">
        <v>1127</v>
      </c>
      <c r="KFE347" s="444">
        <v>6</v>
      </c>
      <c r="KFF347" s="444" t="s">
        <v>1127</v>
      </c>
      <c r="KFG347" s="444">
        <v>6</v>
      </c>
      <c r="KFH347" s="444" t="s">
        <v>1127</v>
      </c>
      <c r="KFI347" s="444">
        <v>6</v>
      </c>
      <c r="KFJ347" s="444" t="s">
        <v>1127</v>
      </c>
      <c r="KFK347" s="444">
        <v>6</v>
      </c>
      <c r="KFL347" s="444" t="s">
        <v>1127</v>
      </c>
      <c r="KFM347" s="444">
        <v>6</v>
      </c>
      <c r="KFN347" s="444" t="s">
        <v>1127</v>
      </c>
      <c r="KFO347" s="444">
        <v>6</v>
      </c>
      <c r="KFP347" s="444" t="s">
        <v>1127</v>
      </c>
      <c r="KFQ347" s="444">
        <v>6</v>
      </c>
      <c r="KFR347" s="444" t="s">
        <v>1127</v>
      </c>
      <c r="KFS347" s="444">
        <v>6</v>
      </c>
      <c r="KFT347" s="444" t="s">
        <v>1127</v>
      </c>
      <c r="KFU347" s="444">
        <v>6</v>
      </c>
      <c r="KFV347" s="444" t="s">
        <v>1127</v>
      </c>
      <c r="KFW347" s="444">
        <v>6</v>
      </c>
      <c r="KFX347" s="444" t="s">
        <v>1127</v>
      </c>
      <c r="KFY347" s="444">
        <v>6</v>
      </c>
      <c r="KFZ347" s="444" t="s">
        <v>1127</v>
      </c>
      <c r="KGA347" s="444">
        <v>6</v>
      </c>
      <c r="KGB347" s="444" t="s">
        <v>1127</v>
      </c>
      <c r="KGC347" s="444">
        <v>6</v>
      </c>
      <c r="KGD347" s="444" t="s">
        <v>1127</v>
      </c>
      <c r="KGE347" s="444">
        <v>6</v>
      </c>
      <c r="KGF347" s="444" t="s">
        <v>1127</v>
      </c>
      <c r="KGG347" s="444">
        <v>6</v>
      </c>
      <c r="KGH347" s="444" t="s">
        <v>1127</v>
      </c>
      <c r="KGI347" s="444">
        <v>6</v>
      </c>
      <c r="KGJ347" s="444" t="s">
        <v>1127</v>
      </c>
      <c r="KGK347" s="444">
        <v>6</v>
      </c>
      <c r="KGL347" s="444" t="s">
        <v>1127</v>
      </c>
      <c r="KGM347" s="444">
        <v>6</v>
      </c>
      <c r="KGN347" s="444" t="s">
        <v>1127</v>
      </c>
      <c r="KGO347" s="444">
        <v>6</v>
      </c>
      <c r="KGP347" s="444" t="s">
        <v>1127</v>
      </c>
      <c r="KGQ347" s="444">
        <v>6</v>
      </c>
      <c r="KGR347" s="444" t="s">
        <v>1127</v>
      </c>
      <c r="KGS347" s="444">
        <v>6</v>
      </c>
      <c r="KGT347" s="444" t="s">
        <v>1127</v>
      </c>
      <c r="KGU347" s="444">
        <v>6</v>
      </c>
      <c r="KGV347" s="444" t="s">
        <v>1127</v>
      </c>
      <c r="KGW347" s="444">
        <v>6</v>
      </c>
      <c r="KGX347" s="444" t="s">
        <v>1127</v>
      </c>
      <c r="KGY347" s="444">
        <v>6</v>
      </c>
      <c r="KGZ347" s="444" t="s">
        <v>1127</v>
      </c>
      <c r="KHA347" s="444">
        <v>6</v>
      </c>
      <c r="KHB347" s="444" t="s">
        <v>1127</v>
      </c>
      <c r="KHC347" s="444">
        <v>6</v>
      </c>
      <c r="KHD347" s="444" t="s">
        <v>1127</v>
      </c>
      <c r="KHE347" s="444">
        <v>6</v>
      </c>
      <c r="KHF347" s="444" t="s">
        <v>1127</v>
      </c>
      <c r="KHG347" s="444">
        <v>6</v>
      </c>
      <c r="KHH347" s="444" t="s">
        <v>1127</v>
      </c>
      <c r="KHI347" s="444">
        <v>6</v>
      </c>
      <c r="KHJ347" s="444" t="s">
        <v>1127</v>
      </c>
      <c r="KHK347" s="444">
        <v>6</v>
      </c>
      <c r="KHL347" s="444" t="s">
        <v>1127</v>
      </c>
      <c r="KHM347" s="444">
        <v>6</v>
      </c>
      <c r="KHN347" s="444" t="s">
        <v>1127</v>
      </c>
      <c r="KHO347" s="444">
        <v>6</v>
      </c>
      <c r="KHP347" s="444" t="s">
        <v>1127</v>
      </c>
      <c r="KHQ347" s="444">
        <v>6</v>
      </c>
      <c r="KHR347" s="444" t="s">
        <v>1127</v>
      </c>
      <c r="KHS347" s="444">
        <v>6</v>
      </c>
      <c r="KHT347" s="444" t="s">
        <v>1127</v>
      </c>
      <c r="KHU347" s="444">
        <v>6</v>
      </c>
      <c r="KHV347" s="444" t="s">
        <v>1127</v>
      </c>
      <c r="KHW347" s="444">
        <v>6</v>
      </c>
      <c r="KHX347" s="444" t="s">
        <v>1127</v>
      </c>
      <c r="KHY347" s="444">
        <v>6</v>
      </c>
      <c r="KHZ347" s="444" t="s">
        <v>1127</v>
      </c>
      <c r="KIA347" s="444">
        <v>6</v>
      </c>
      <c r="KIB347" s="444" t="s">
        <v>1127</v>
      </c>
      <c r="KIC347" s="444">
        <v>6</v>
      </c>
      <c r="KID347" s="444" t="s">
        <v>1127</v>
      </c>
      <c r="KIE347" s="444">
        <v>6</v>
      </c>
      <c r="KIF347" s="444" t="s">
        <v>1127</v>
      </c>
      <c r="KIG347" s="444">
        <v>6</v>
      </c>
      <c r="KIH347" s="444" t="s">
        <v>1127</v>
      </c>
      <c r="KII347" s="444">
        <v>6</v>
      </c>
      <c r="KIJ347" s="444" t="s">
        <v>1127</v>
      </c>
      <c r="KIK347" s="444">
        <v>6</v>
      </c>
      <c r="KIL347" s="444" t="s">
        <v>1127</v>
      </c>
      <c r="KIM347" s="444">
        <v>6</v>
      </c>
      <c r="KIN347" s="444" t="s">
        <v>1127</v>
      </c>
      <c r="KIO347" s="444">
        <v>6</v>
      </c>
      <c r="KIP347" s="444" t="s">
        <v>1127</v>
      </c>
      <c r="KIQ347" s="444">
        <v>6</v>
      </c>
      <c r="KIR347" s="444" t="s">
        <v>1127</v>
      </c>
      <c r="KIS347" s="444">
        <v>6</v>
      </c>
      <c r="KIT347" s="444" t="s">
        <v>1127</v>
      </c>
      <c r="KIU347" s="444">
        <v>6</v>
      </c>
      <c r="KIV347" s="444" t="s">
        <v>1127</v>
      </c>
      <c r="KIW347" s="444">
        <v>6</v>
      </c>
      <c r="KIX347" s="444" t="s">
        <v>1127</v>
      </c>
      <c r="KIY347" s="444">
        <v>6</v>
      </c>
      <c r="KIZ347" s="444" t="s">
        <v>1127</v>
      </c>
      <c r="KJA347" s="444">
        <v>6</v>
      </c>
      <c r="KJB347" s="444" t="s">
        <v>1127</v>
      </c>
      <c r="KJC347" s="444">
        <v>6</v>
      </c>
      <c r="KJD347" s="444" t="s">
        <v>1127</v>
      </c>
      <c r="KJE347" s="444">
        <v>6</v>
      </c>
      <c r="KJF347" s="444" t="s">
        <v>1127</v>
      </c>
      <c r="KJG347" s="444">
        <v>6</v>
      </c>
      <c r="KJH347" s="444" t="s">
        <v>1127</v>
      </c>
      <c r="KJI347" s="444">
        <v>6</v>
      </c>
      <c r="KJJ347" s="444" t="s">
        <v>1127</v>
      </c>
      <c r="KJK347" s="444">
        <v>6</v>
      </c>
      <c r="KJL347" s="444" t="s">
        <v>1127</v>
      </c>
      <c r="KJM347" s="444">
        <v>6</v>
      </c>
      <c r="KJN347" s="444" t="s">
        <v>1127</v>
      </c>
      <c r="KJO347" s="444">
        <v>6</v>
      </c>
      <c r="KJP347" s="444" t="s">
        <v>1127</v>
      </c>
      <c r="KJQ347" s="444">
        <v>6</v>
      </c>
      <c r="KJR347" s="444" t="s">
        <v>1127</v>
      </c>
      <c r="KJS347" s="444">
        <v>6</v>
      </c>
      <c r="KJT347" s="444" t="s">
        <v>1127</v>
      </c>
      <c r="KJU347" s="444">
        <v>6</v>
      </c>
      <c r="KJV347" s="444" t="s">
        <v>1127</v>
      </c>
      <c r="KJW347" s="444">
        <v>6</v>
      </c>
      <c r="KJX347" s="444" t="s">
        <v>1127</v>
      </c>
      <c r="KJY347" s="444">
        <v>6</v>
      </c>
      <c r="KJZ347" s="444" t="s">
        <v>1127</v>
      </c>
      <c r="KKA347" s="444">
        <v>6</v>
      </c>
      <c r="KKB347" s="444" t="s">
        <v>1127</v>
      </c>
      <c r="KKC347" s="444">
        <v>6</v>
      </c>
      <c r="KKD347" s="444" t="s">
        <v>1127</v>
      </c>
      <c r="KKE347" s="444">
        <v>6</v>
      </c>
      <c r="KKF347" s="444" t="s">
        <v>1127</v>
      </c>
      <c r="KKG347" s="444">
        <v>6</v>
      </c>
      <c r="KKH347" s="444" t="s">
        <v>1127</v>
      </c>
      <c r="KKI347" s="444">
        <v>6</v>
      </c>
      <c r="KKJ347" s="444" t="s">
        <v>1127</v>
      </c>
      <c r="KKK347" s="444">
        <v>6</v>
      </c>
      <c r="KKL347" s="444" t="s">
        <v>1127</v>
      </c>
      <c r="KKM347" s="444">
        <v>6</v>
      </c>
      <c r="KKN347" s="444" t="s">
        <v>1127</v>
      </c>
      <c r="KKO347" s="444">
        <v>6</v>
      </c>
      <c r="KKP347" s="444" t="s">
        <v>1127</v>
      </c>
      <c r="KKQ347" s="444">
        <v>6</v>
      </c>
      <c r="KKR347" s="444" t="s">
        <v>1127</v>
      </c>
      <c r="KKS347" s="444">
        <v>6</v>
      </c>
      <c r="KKT347" s="444" t="s">
        <v>1127</v>
      </c>
      <c r="KKU347" s="444">
        <v>6</v>
      </c>
      <c r="KKV347" s="444" t="s">
        <v>1127</v>
      </c>
      <c r="KKW347" s="444">
        <v>6</v>
      </c>
      <c r="KKX347" s="444" t="s">
        <v>1127</v>
      </c>
      <c r="KKY347" s="444">
        <v>6</v>
      </c>
      <c r="KKZ347" s="444" t="s">
        <v>1127</v>
      </c>
      <c r="KLA347" s="444">
        <v>6</v>
      </c>
      <c r="KLB347" s="444" t="s">
        <v>1127</v>
      </c>
      <c r="KLC347" s="444">
        <v>6</v>
      </c>
      <c r="KLD347" s="444" t="s">
        <v>1127</v>
      </c>
      <c r="KLE347" s="444">
        <v>6</v>
      </c>
      <c r="KLF347" s="444" t="s">
        <v>1127</v>
      </c>
      <c r="KLG347" s="444">
        <v>6</v>
      </c>
      <c r="KLH347" s="444" t="s">
        <v>1127</v>
      </c>
      <c r="KLI347" s="444">
        <v>6</v>
      </c>
      <c r="KLJ347" s="444" t="s">
        <v>1127</v>
      </c>
      <c r="KLK347" s="444">
        <v>6</v>
      </c>
      <c r="KLL347" s="444" t="s">
        <v>1127</v>
      </c>
      <c r="KLM347" s="444">
        <v>6</v>
      </c>
      <c r="KLN347" s="444" t="s">
        <v>1127</v>
      </c>
      <c r="KLO347" s="444">
        <v>6</v>
      </c>
      <c r="KLP347" s="444" t="s">
        <v>1127</v>
      </c>
      <c r="KLQ347" s="444">
        <v>6</v>
      </c>
      <c r="KLR347" s="444" t="s">
        <v>1127</v>
      </c>
      <c r="KLS347" s="444">
        <v>6</v>
      </c>
      <c r="KLT347" s="444" t="s">
        <v>1127</v>
      </c>
      <c r="KLU347" s="444">
        <v>6</v>
      </c>
      <c r="KLV347" s="444" t="s">
        <v>1127</v>
      </c>
      <c r="KLW347" s="444">
        <v>6</v>
      </c>
      <c r="KLX347" s="444" t="s">
        <v>1127</v>
      </c>
      <c r="KLY347" s="444">
        <v>6</v>
      </c>
      <c r="KLZ347" s="444" t="s">
        <v>1127</v>
      </c>
      <c r="KMA347" s="444">
        <v>6</v>
      </c>
      <c r="KMB347" s="444" t="s">
        <v>1127</v>
      </c>
      <c r="KMC347" s="444">
        <v>6</v>
      </c>
      <c r="KMD347" s="444" t="s">
        <v>1127</v>
      </c>
      <c r="KME347" s="444">
        <v>6</v>
      </c>
      <c r="KMF347" s="444" t="s">
        <v>1127</v>
      </c>
      <c r="KMG347" s="444">
        <v>6</v>
      </c>
      <c r="KMH347" s="444" t="s">
        <v>1127</v>
      </c>
      <c r="KMI347" s="444">
        <v>6</v>
      </c>
      <c r="KMJ347" s="444" t="s">
        <v>1127</v>
      </c>
      <c r="KMK347" s="444">
        <v>6</v>
      </c>
      <c r="KML347" s="444" t="s">
        <v>1127</v>
      </c>
      <c r="KMM347" s="444">
        <v>6</v>
      </c>
      <c r="KMN347" s="444" t="s">
        <v>1127</v>
      </c>
      <c r="KMO347" s="444">
        <v>6</v>
      </c>
      <c r="KMP347" s="444" t="s">
        <v>1127</v>
      </c>
      <c r="KMQ347" s="444">
        <v>6</v>
      </c>
      <c r="KMR347" s="444" t="s">
        <v>1127</v>
      </c>
      <c r="KMS347" s="444">
        <v>6</v>
      </c>
      <c r="KMT347" s="444" t="s">
        <v>1127</v>
      </c>
      <c r="KMU347" s="444">
        <v>6</v>
      </c>
      <c r="KMV347" s="444" t="s">
        <v>1127</v>
      </c>
      <c r="KMW347" s="444">
        <v>6</v>
      </c>
      <c r="KMX347" s="444" t="s">
        <v>1127</v>
      </c>
      <c r="KMY347" s="444">
        <v>6</v>
      </c>
      <c r="KMZ347" s="444" t="s">
        <v>1127</v>
      </c>
      <c r="KNA347" s="444">
        <v>6</v>
      </c>
      <c r="KNB347" s="444" t="s">
        <v>1127</v>
      </c>
      <c r="KNC347" s="444">
        <v>6</v>
      </c>
      <c r="KND347" s="444" t="s">
        <v>1127</v>
      </c>
      <c r="KNE347" s="444">
        <v>6</v>
      </c>
      <c r="KNF347" s="444" t="s">
        <v>1127</v>
      </c>
      <c r="KNG347" s="444">
        <v>6</v>
      </c>
      <c r="KNH347" s="444" t="s">
        <v>1127</v>
      </c>
      <c r="KNI347" s="444">
        <v>6</v>
      </c>
      <c r="KNJ347" s="444" t="s">
        <v>1127</v>
      </c>
      <c r="KNK347" s="444">
        <v>6</v>
      </c>
      <c r="KNL347" s="444" t="s">
        <v>1127</v>
      </c>
      <c r="KNM347" s="444">
        <v>6</v>
      </c>
      <c r="KNN347" s="444" t="s">
        <v>1127</v>
      </c>
      <c r="KNO347" s="444">
        <v>6</v>
      </c>
      <c r="KNP347" s="444" t="s">
        <v>1127</v>
      </c>
      <c r="KNQ347" s="444">
        <v>6</v>
      </c>
      <c r="KNR347" s="444" t="s">
        <v>1127</v>
      </c>
      <c r="KNS347" s="444">
        <v>6</v>
      </c>
      <c r="KNT347" s="444" t="s">
        <v>1127</v>
      </c>
      <c r="KNU347" s="444">
        <v>6</v>
      </c>
      <c r="KNV347" s="444" t="s">
        <v>1127</v>
      </c>
      <c r="KNW347" s="444">
        <v>6</v>
      </c>
      <c r="KNX347" s="444" t="s">
        <v>1127</v>
      </c>
      <c r="KNY347" s="444">
        <v>6</v>
      </c>
      <c r="KNZ347" s="444" t="s">
        <v>1127</v>
      </c>
      <c r="KOA347" s="444">
        <v>6</v>
      </c>
      <c r="KOB347" s="444" t="s">
        <v>1127</v>
      </c>
      <c r="KOC347" s="444">
        <v>6</v>
      </c>
      <c r="KOD347" s="444" t="s">
        <v>1127</v>
      </c>
      <c r="KOE347" s="444">
        <v>6</v>
      </c>
      <c r="KOF347" s="444" t="s">
        <v>1127</v>
      </c>
      <c r="KOG347" s="444">
        <v>6</v>
      </c>
      <c r="KOH347" s="444" t="s">
        <v>1127</v>
      </c>
      <c r="KOI347" s="444">
        <v>6</v>
      </c>
      <c r="KOJ347" s="444" t="s">
        <v>1127</v>
      </c>
      <c r="KOK347" s="444">
        <v>6</v>
      </c>
      <c r="KOL347" s="444" t="s">
        <v>1127</v>
      </c>
      <c r="KOM347" s="444">
        <v>6</v>
      </c>
      <c r="KON347" s="444" t="s">
        <v>1127</v>
      </c>
      <c r="KOO347" s="444">
        <v>6</v>
      </c>
      <c r="KOP347" s="444" t="s">
        <v>1127</v>
      </c>
      <c r="KOQ347" s="444">
        <v>6</v>
      </c>
      <c r="KOR347" s="444" t="s">
        <v>1127</v>
      </c>
      <c r="KOS347" s="444">
        <v>6</v>
      </c>
      <c r="KOT347" s="444" t="s">
        <v>1127</v>
      </c>
      <c r="KOU347" s="444">
        <v>6</v>
      </c>
      <c r="KOV347" s="444" t="s">
        <v>1127</v>
      </c>
      <c r="KOW347" s="444">
        <v>6</v>
      </c>
      <c r="KOX347" s="444" t="s">
        <v>1127</v>
      </c>
      <c r="KOY347" s="444">
        <v>6</v>
      </c>
      <c r="KOZ347" s="444" t="s">
        <v>1127</v>
      </c>
      <c r="KPA347" s="444">
        <v>6</v>
      </c>
      <c r="KPB347" s="444" t="s">
        <v>1127</v>
      </c>
      <c r="KPC347" s="444">
        <v>6</v>
      </c>
      <c r="KPD347" s="444" t="s">
        <v>1127</v>
      </c>
      <c r="KPE347" s="444">
        <v>6</v>
      </c>
      <c r="KPF347" s="444" t="s">
        <v>1127</v>
      </c>
      <c r="KPG347" s="444">
        <v>6</v>
      </c>
      <c r="KPH347" s="444" t="s">
        <v>1127</v>
      </c>
      <c r="KPI347" s="444">
        <v>6</v>
      </c>
      <c r="KPJ347" s="444" t="s">
        <v>1127</v>
      </c>
      <c r="KPK347" s="444">
        <v>6</v>
      </c>
      <c r="KPL347" s="444" t="s">
        <v>1127</v>
      </c>
      <c r="KPM347" s="444">
        <v>6</v>
      </c>
      <c r="KPN347" s="444" t="s">
        <v>1127</v>
      </c>
      <c r="KPO347" s="444">
        <v>6</v>
      </c>
      <c r="KPP347" s="444" t="s">
        <v>1127</v>
      </c>
      <c r="KPQ347" s="444">
        <v>6</v>
      </c>
      <c r="KPR347" s="444" t="s">
        <v>1127</v>
      </c>
      <c r="KPS347" s="444">
        <v>6</v>
      </c>
      <c r="KPT347" s="444" t="s">
        <v>1127</v>
      </c>
      <c r="KPU347" s="444">
        <v>6</v>
      </c>
      <c r="KPV347" s="444" t="s">
        <v>1127</v>
      </c>
      <c r="KPW347" s="444">
        <v>6</v>
      </c>
      <c r="KPX347" s="444" t="s">
        <v>1127</v>
      </c>
      <c r="KPY347" s="444">
        <v>6</v>
      </c>
      <c r="KPZ347" s="444" t="s">
        <v>1127</v>
      </c>
      <c r="KQA347" s="444">
        <v>6</v>
      </c>
      <c r="KQB347" s="444" t="s">
        <v>1127</v>
      </c>
      <c r="KQC347" s="444">
        <v>6</v>
      </c>
      <c r="KQD347" s="444" t="s">
        <v>1127</v>
      </c>
      <c r="KQE347" s="444">
        <v>6</v>
      </c>
      <c r="KQF347" s="444" t="s">
        <v>1127</v>
      </c>
      <c r="KQG347" s="444">
        <v>6</v>
      </c>
      <c r="KQH347" s="444" t="s">
        <v>1127</v>
      </c>
      <c r="KQI347" s="444">
        <v>6</v>
      </c>
      <c r="KQJ347" s="444" t="s">
        <v>1127</v>
      </c>
      <c r="KQK347" s="444">
        <v>6</v>
      </c>
      <c r="KQL347" s="444" t="s">
        <v>1127</v>
      </c>
      <c r="KQM347" s="444">
        <v>6</v>
      </c>
      <c r="KQN347" s="444" t="s">
        <v>1127</v>
      </c>
      <c r="KQO347" s="444">
        <v>6</v>
      </c>
      <c r="KQP347" s="444" t="s">
        <v>1127</v>
      </c>
      <c r="KQQ347" s="444">
        <v>6</v>
      </c>
      <c r="KQR347" s="444" t="s">
        <v>1127</v>
      </c>
      <c r="KQS347" s="444">
        <v>6</v>
      </c>
      <c r="KQT347" s="444" t="s">
        <v>1127</v>
      </c>
      <c r="KQU347" s="444">
        <v>6</v>
      </c>
      <c r="KQV347" s="444" t="s">
        <v>1127</v>
      </c>
      <c r="KQW347" s="444">
        <v>6</v>
      </c>
      <c r="KQX347" s="444" t="s">
        <v>1127</v>
      </c>
      <c r="KQY347" s="444">
        <v>6</v>
      </c>
      <c r="KQZ347" s="444" t="s">
        <v>1127</v>
      </c>
      <c r="KRA347" s="444">
        <v>6</v>
      </c>
      <c r="KRB347" s="444" t="s">
        <v>1127</v>
      </c>
      <c r="KRC347" s="444">
        <v>6</v>
      </c>
      <c r="KRD347" s="444" t="s">
        <v>1127</v>
      </c>
      <c r="KRE347" s="444">
        <v>6</v>
      </c>
      <c r="KRF347" s="444" t="s">
        <v>1127</v>
      </c>
      <c r="KRG347" s="444">
        <v>6</v>
      </c>
      <c r="KRH347" s="444" t="s">
        <v>1127</v>
      </c>
      <c r="KRI347" s="444">
        <v>6</v>
      </c>
      <c r="KRJ347" s="444" t="s">
        <v>1127</v>
      </c>
      <c r="KRK347" s="444">
        <v>6</v>
      </c>
      <c r="KRL347" s="444" t="s">
        <v>1127</v>
      </c>
      <c r="KRM347" s="444">
        <v>6</v>
      </c>
      <c r="KRN347" s="444" t="s">
        <v>1127</v>
      </c>
      <c r="KRO347" s="444">
        <v>6</v>
      </c>
      <c r="KRP347" s="444" t="s">
        <v>1127</v>
      </c>
      <c r="KRQ347" s="444">
        <v>6</v>
      </c>
      <c r="KRR347" s="444" t="s">
        <v>1127</v>
      </c>
      <c r="KRS347" s="444">
        <v>6</v>
      </c>
      <c r="KRT347" s="444" t="s">
        <v>1127</v>
      </c>
      <c r="KRU347" s="444">
        <v>6</v>
      </c>
      <c r="KRV347" s="444" t="s">
        <v>1127</v>
      </c>
      <c r="KRW347" s="444">
        <v>6</v>
      </c>
      <c r="KRX347" s="444" t="s">
        <v>1127</v>
      </c>
      <c r="KRY347" s="444">
        <v>6</v>
      </c>
      <c r="KRZ347" s="444" t="s">
        <v>1127</v>
      </c>
      <c r="KSA347" s="444">
        <v>6</v>
      </c>
      <c r="KSB347" s="444" t="s">
        <v>1127</v>
      </c>
      <c r="KSC347" s="444">
        <v>6</v>
      </c>
      <c r="KSD347" s="444" t="s">
        <v>1127</v>
      </c>
      <c r="KSE347" s="444">
        <v>6</v>
      </c>
      <c r="KSF347" s="444" t="s">
        <v>1127</v>
      </c>
      <c r="KSG347" s="444">
        <v>6</v>
      </c>
      <c r="KSH347" s="444" t="s">
        <v>1127</v>
      </c>
      <c r="KSI347" s="444">
        <v>6</v>
      </c>
      <c r="KSJ347" s="444" t="s">
        <v>1127</v>
      </c>
      <c r="KSK347" s="444">
        <v>6</v>
      </c>
      <c r="KSL347" s="444" t="s">
        <v>1127</v>
      </c>
      <c r="KSM347" s="444">
        <v>6</v>
      </c>
      <c r="KSN347" s="444" t="s">
        <v>1127</v>
      </c>
      <c r="KSO347" s="444">
        <v>6</v>
      </c>
      <c r="KSP347" s="444" t="s">
        <v>1127</v>
      </c>
      <c r="KSQ347" s="444">
        <v>6</v>
      </c>
      <c r="KSR347" s="444" t="s">
        <v>1127</v>
      </c>
      <c r="KSS347" s="444">
        <v>6</v>
      </c>
      <c r="KST347" s="444" t="s">
        <v>1127</v>
      </c>
      <c r="KSU347" s="444">
        <v>6</v>
      </c>
      <c r="KSV347" s="444" t="s">
        <v>1127</v>
      </c>
      <c r="KSW347" s="444">
        <v>6</v>
      </c>
      <c r="KSX347" s="444" t="s">
        <v>1127</v>
      </c>
      <c r="KSY347" s="444">
        <v>6</v>
      </c>
      <c r="KSZ347" s="444" t="s">
        <v>1127</v>
      </c>
      <c r="KTA347" s="444">
        <v>6</v>
      </c>
      <c r="KTB347" s="444" t="s">
        <v>1127</v>
      </c>
      <c r="KTC347" s="444">
        <v>6</v>
      </c>
      <c r="KTD347" s="444" t="s">
        <v>1127</v>
      </c>
      <c r="KTE347" s="444">
        <v>6</v>
      </c>
      <c r="KTF347" s="444" t="s">
        <v>1127</v>
      </c>
      <c r="KTG347" s="444">
        <v>6</v>
      </c>
      <c r="KTH347" s="444" t="s">
        <v>1127</v>
      </c>
      <c r="KTI347" s="444">
        <v>6</v>
      </c>
      <c r="KTJ347" s="444" t="s">
        <v>1127</v>
      </c>
      <c r="KTK347" s="444">
        <v>6</v>
      </c>
      <c r="KTL347" s="444" t="s">
        <v>1127</v>
      </c>
      <c r="KTM347" s="444">
        <v>6</v>
      </c>
      <c r="KTN347" s="444" t="s">
        <v>1127</v>
      </c>
      <c r="KTO347" s="444">
        <v>6</v>
      </c>
      <c r="KTP347" s="444" t="s">
        <v>1127</v>
      </c>
      <c r="KTQ347" s="444">
        <v>6</v>
      </c>
      <c r="KTR347" s="444" t="s">
        <v>1127</v>
      </c>
      <c r="KTS347" s="444">
        <v>6</v>
      </c>
      <c r="KTT347" s="444" t="s">
        <v>1127</v>
      </c>
      <c r="KTU347" s="444">
        <v>6</v>
      </c>
      <c r="KTV347" s="444" t="s">
        <v>1127</v>
      </c>
      <c r="KTW347" s="444">
        <v>6</v>
      </c>
      <c r="KTX347" s="444" t="s">
        <v>1127</v>
      </c>
      <c r="KTY347" s="444">
        <v>6</v>
      </c>
      <c r="KTZ347" s="444" t="s">
        <v>1127</v>
      </c>
      <c r="KUA347" s="444">
        <v>6</v>
      </c>
      <c r="KUB347" s="444" t="s">
        <v>1127</v>
      </c>
      <c r="KUC347" s="444">
        <v>6</v>
      </c>
      <c r="KUD347" s="444" t="s">
        <v>1127</v>
      </c>
      <c r="KUE347" s="444">
        <v>6</v>
      </c>
      <c r="KUF347" s="444" t="s">
        <v>1127</v>
      </c>
      <c r="KUG347" s="444">
        <v>6</v>
      </c>
      <c r="KUH347" s="444" t="s">
        <v>1127</v>
      </c>
      <c r="KUI347" s="444">
        <v>6</v>
      </c>
      <c r="KUJ347" s="444" t="s">
        <v>1127</v>
      </c>
      <c r="KUK347" s="444">
        <v>6</v>
      </c>
      <c r="KUL347" s="444" t="s">
        <v>1127</v>
      </c>
      <c r="KUM347" s="444">
        <v>6</v>
      </c>
      <c r="KUN347" s="444" t="s">
        <v>1127</v>
      </c>
      <c r="KUO347" s="444">
        <v>6</v>
      </c>
      <c r="KUP347" s="444" t="s">
        <v>1127</v>
      </c>
      <c r="KUQ347" s="444">
        <v>6</v>
      </c>
      <c r="KUR347" s="444" t="s">
        <v>1127</v>
      </c>
      <c r="KUS347" s="444">
        <v>6</v>
      </c>
      <c r="KUT347" s="444" t="s">
        <v>1127</v>
      </c>
      <c r="KUU347" s="444">
        <v>6</v>
      </c>
      <c r="KUV347" s="444" t="s">
        <v>1127</v>
      </c>
      <c r="KUW347" s="444">
        <v>6</v>
      </c>
      <c r="KUX347" s="444" t="s">
        <v>1127</v>
      </c>
      <c r="KUY347" s="444">
        <v>6</v>
      </c>
      <c r="KUZ347" s="444" t="s">
        <v>1127</v>
      </c>
      <c r="KVA347" s="444">
        <v>6</v>
      </c>
      <c r="KVB347" s="444" t="s">
        <v>1127</v>
      </c>
      <c r="KVC347" s="444">
        <v>6</v>
      </c>
      <c r="KVD347" s="444" t="s">
        <v>1127</v>
      </c>
      <c r="KVE347" s="444">
        <v>6</v>
      </c>
      <c r="KVF347" s="444" t="s">
        <v>1127</v>
      </c>
      <c r="KVG347" s="444">
        <v>6</v>
      </c>
      <c r="KVH347" s="444" t="s">
        <v>1127</v>
      </c>
      <c r="KVI347" s="444">
        <v>6</v>
      </c>
      <c r="KVJ347" s="444" t="s">
        <v>1127</v>
      </c>
      <c r="KVK347" s="444">
        <v>6</v>
      </c>
      <c r="KVL347" s="444" t="s">
        <v>1127</v>
      </c>
      <c r="KVM347" s="444">
        <v>6</v>
      </c>
      <c r="KVN347" s="444" t="s">
        <v>1127</v>
      </c>
      <c r="KVO347" s="444">
        <v>6</v>
      </c>
      <c r="KVP347" s="444" t="s">
        <v>1127</v>
      </c>
      <c r="KVQ347" s="444">
        <v>6</v>
      </c>
      <c r="KVR347" s="444" t="s">
        <v>1127</v>
      </c>
      <c r="KVS347" s="444">
        <v>6</v>
      </c>
      <c r="KVT347" s="444" t="s">
        <v>1127</v>
      </c>
      <c r="KVU347" s="444">
        <v>6</v>
      </c>
      <c r="KVV347" s="444" t="s">
        <v>1127</v>
      </c>
      <c r="KVW347" s="444">
        <v>6</v>
      </c>
      <c r="KVX347" s="444" t="s">
        <v>1127</v>
      </c>
      <c r="KVY347" s="444">
        <v>6</v>
      </c>
      <c r="KVZ347" s="444" t="s">
        <v>1127</v>
      </c>
      <c r="KWA347" s="444">
        <v>6</v>
      </c>
      <c r="KWB347" s="444" t="s">
        <v>1127</v>
      </c>
      <c r="KWC347" s="444">
        <v>6</v>
      </c>
      <c r="KWD347" s="444" t="s">
        <v>1127</v>
      </c>
      <c r="KWE347" s="444">
        <v>6</v>
      </c>
      <c r="KWF347" s="444" t="s">
        <v>1127</v>
      </c>
      <c r="KWG347" s="444">
        <v>6</v>
      </c>
      <c r="KWH347" s="444" t="s">
        <v>1127</v>
      </c>
      <c r="KWI347" s="444">
        <v>6</v>
      </c>
      <c r="KWJ347" s="444" t="s">
        <v>1127</v>
      </c>
      <c r="KWK347" s="444">
        <v>6</v>
      </c>
      <c r="KWL347" s="444" t="s">
        <v>1127</v>
      </c>
      <c r="KWM347" s="444">
        <v>6</v>
      </c>
      <c r="KWN347" s="444" t="s">
        <v>1127</v>
      </c>
      <c r="KWO347" s="444">
        <v>6</v>
      </c>
      <c r="KWP347" s="444" t="s">
        <v>1127</v>
      </c>
      <c r="KWQ347" s="444">
        <v>6</v>
      </c>
      <c r="KWR347" s="444" t="s">
        <v>1127</v>
      </c>
      <c r="KWS347" s="444">
        <v>6</v>
      </c>
      <c r="KWT347" s="444" t="s">
        <v>1127</v>
      </c>
      <c r="KWU347" s="444">
        <v>6</v>
      </c>
      <c r="KWV347" s="444" t="s">
        <v>1127</v>
      </c>
      <c r="KWW347" s="444">
        <v>6</v>
      </c>
      <c r="KWX347" s="444" t="s">
        <v>1127</v>
      </c>
      <c r="KWY347" s="444">
        <v>6</v>
      </c>
      <c r="KWZ347" s="444" t="s">
        <v>1127</v>
      </c>
      <c r="KXA347" s="444">
        <v>6</v>
      </c>
      <c r="KXB347" s="444" t="s">
        <v>1127</v>
      </c>
      <c r="KXC347" s="444">
        <v>6</v>
      </c>
      <c r="KXD347" s="444" t="s">
        <v>1127</v>
      </c>
      <c r="KXE347" s="444">
        <v>6</v>
      </c>
      <c r="KXF347" s="444" t="s">
        <v>1127</v>
      </c>
      <c r="KXG347" s="444">
        <v>6</v>
      </c>
      <c r="KXH347" s="444" t="s">
        <v>1127</v>
      </c>
      <c r="KXI347" s="444">
        <v>6</v>
      </c>
      <c r="KXJ347" s="444" t="s">
        <v>1127</v>
      </c>
      <c r="KXK347" s="444">
        <v>6</v>
      </c>
      <c r="KXL347" s="444" t="s">
        <v>1127</v>
      </c>
      <c r="KXM347" s="444">
        <v>6</v>
      </c>
      <c r="KXN347" s="444" t="s">
        <v>1127</v>
      </c>
      <c r="KXO347" s="444">
        <v>6</v>
      </c>
      <c r="KXP347" s="444" t="s">
        <v>1127</v>
      </c>
      <c r="KXQ347" s="444">
        <v>6</v>
      </c>
      <c r="KXR347" s="444" t="s">
        <v>1127</v>
      </c>
      <c r="KXS347" s="444">
        <v>6</v>
      </c>
      <c r="KXT347" s="444" t="s">
        <v>1127</v>
      </c>
      <c r="KXU347" s="444">
        <v>6</v>
      </c>
      <c r="KXV347" s="444" t="s">
        <v>1127</v>
      </c>
      <c r="KXW347" s="444">
        <v>6</v>
      </c>
      <c r="KXX347" s="444" t="s">
        <v>1127</v>
      </c>
      <c r="KXY347" s="444">
        <v>6</v>
      </c>
      <c r="KXZ347" s="444" t="s">
        <v>1127</v>
      </c>
      <c r="KYA347" s="444">
        <v>6</v>
      </c>
      <c r="KYB347" s="444" t="s">
        <v>1127</v>
      </c>
      <c r="KYC347" s="444">
        <v>6</v>
      </c>
      <c r="KYD347" s="444" t="s">
        <v>1127</v>
      </c>
      <c r="KYE347" s="444">
        <v>6</v>
      </c>
      <c r="KYF347" s="444" t="s">
        <v>1127</v>
      </c>
      <c r="KYG347" s="444">
        <v>6</v>
      </c>
      <c r="KYH347" s="444" t="s">
        <v>1127</v>
      </c>
      <c r="KYI347" s="444">
        <v>6</v>
      </c>
      <c r="KYJ347" s="444" t="s">
        <v>1127</v>
      </c>
      <c r="KYK347" s="444">
        <v>6</v>
      </c>
      <c r="KYL347" s="444" t="s">
        <v>1127</v>
      </c>
      <c r="KYM347" s="444">
        <v>6</v>
      </c>
      <c r="KYN347" s="444" t="s">
        <v>1127</v>
      </c>
      <c r="KYO347" s="444">
        <v>6</v>
      </c>
      <c r="KYP347" s="444" t="s">
        <v>1127</v>
      </c>
      <c r="KYQ347" s="444">
        <v>6</v>
      </c>
      <c r="KYR347" s="444" t="s">
        <v>1127</v>
      </c>
      <c r="KYS347" s="444">
        <v>6</v>
      </c>
      <c r="KYT347" s="444" t="s">
        <v>1127</v>
      </c>
      <c r="KYU347" s="444">
        <v>6</v>
      </c>
      <c r="KYV347" s="444" t="s">
        <v>1127</v>
      </c>
      <c r="KYW347" s="444">
        <v>6</v>
      </c>
      <c r="KYX347" s="444" t="s">
        <v>1127</v>
      </c>
      <c r="KYY347" s="444">
        <v>6</v>
      </c>
      <c r="KYZ347" s="444" t="s">
        <v>1127</v>
      </c>
      <c r="KZA347" s="444">
        <v>6</v>
      </c>
      <c r="KZB347" s="444" t="s">
        <v>1127</v>
      </c>
      <c r="KZC347" s="444">
        <v>6</v>
      </c>
      <c r="KZD347" s="444" t="s">
        <v>1127</v>
      </c>
      <c r="KZE347" s="444">
        <v>6</v>
      </c>
      <c r="KZF347" s="444" t="s">
        <v>1127</v>
      </c>
      <c r="KZG347" s="444">
        <v>6</v>
      </c>
      <c r="KZH347" s="444" t="s">
        <v>1127</v>
      </c>
      <c r="KZI347" s="444">
        <v>6</v>
      </c>
      <c r="KZJ347" s="444" t="s">
        <v>1127</v>
      </c>
      <c r="KZK347" s="444">
        <v>6</v>
      </c>
      <c r="KZL347" s="444" t="s">
        <v>1127</v>
      </c>
      <c r="KZM347" s="444">
        <v>6</v>
      </c>
      <c r="KZN347" s="444" t="s">
        <v>1127</v>
      </c>
      <c r="KZO347" s="444">
        <v>6</v>
      </c>
      <c r="KZP347" s="444" t="s">
        <v>1127</v>
      </c>
      <c r="KZQ347" s="444">
        <v>6</v>
      </c>
      <c r="KZR347" s="444" t="s">
        <v>1127</v>
      </c>
      <c r="KZS347" s="444">
        <v>6</v>
      </c>
      <c r="KZT347" s="444" t="s">
        <v>1127</v>
      </c>
      <c r="KZU347" s="444">
        <v>6</v>
      </c>
      <c r="KZV347" s="444" t="s">
        <v>1127</v>
      </c>
      <c r="KZW347" s="444">
        <v>6</v>
      </c>
      <c r="KZX347" s="444" t="s">
        <v>1127</v>
      </c>
      <c r="KZY347" s="444">
        <v>6</v>
      </c>
      <c r="KZZ347" s="444" t="s">
        <v>1127</v>
      </c>
      <c r="LAA347" s="444">
        <v>6</v>
      </c>
      <c r="LAB347" s="444" t="s">
        <v>1127</v>
      </c>
      <c r="LAC347" s="444">
        <v>6</v>
      </c>
      <c r="LAD347" s="444" t="s">
        <v>1127</v>
      </c>
      <c r="LAE347" s="444">
        <v>6</v>
      </c>
      <c r="LAF347" s="444" t="s">
        <v>1127</v>
      </c>
      <c r="LAG347" s="444">
        <v>6</v>
      </c>
      <c r="LAH347" s="444" t="s">
        <v>1127</v>
      </c>
      <c r="LAI347" s="444">
        <v>6</v>
      </c>
      <c r="LAJ347" s="444" t="s">
        <v>1127</v>
      </c>
      <c r="LAK347" s="444">
        <v>6</v>
      </c>
      <c r="LAL347" s="444" t="s">
        <v>1127</v>
      </c>
      <c r="LAM347" s="444">
        <v>6</v>
      </c>
      <c r="LAN347" s="444" t="s">
        <v>1127</v>
      </c>
      <c r="LAO347" s="444">
        <v>6</v>
      </c>
      <c r="LAP347" s="444" t="s">
        <v>1127</v>
      </c>
      <c r="LAQ347" s="444">
        <v>6</v>
      </c>
      <c r="LAR347" s="444" t="s">
        <v>1127</v>
      </c>
      <c r="LAS347" s="444">
        <v>6</v>
      </c>
      <c r="LAT347" s="444" t="s">
        <v>1127</v>
      </c>
      <c r="LAU347" s="444">
        <v>6</v>
      </c>
      <c r="LAV347" s="444" t="s">
        <v>1127</v>
      </c>
      <c r="LAW347" s="444">
        <v>6</v>
      </c>
      <c r="LAX347" s="444" t="s">
        <v>1127</v>
      </c>
      <c r="LAY347" s="444">
        <v>6</v>
      </c>
      <c r="LAZ347" s="444" t="s">
        <v>1127</v>
      </c>
      <c r="LBA347" s="444">
        <v>6</v>
      </c>
      <c r="LBB347" s="444" t="s">
        <v>1127</v>
      </c>
      <c r="LBC347" s="444">
        <v>6</v>
      </c>
      <c r="LBD347" s="444" t="s">
        <v>1127</v>
      </c>
      <c r="LBE347" s="444">
        <v>6</v>
      </c>
      <c r="LBF347" s="444" t="s">
        <v>1127</v>
      </c>
      <c r="LBG347" s="444">
        <v>6</v>
      </c>
      <c r="LBH347" s="444" t="s">
        <v>1127</v>
      </c>
      <c r="LBI347" s="444">
        <v>6</v>
      </c>
      <c r="LBJ347" s="444" t="s">
        <v>1127</v>
      </c>
      <c r="LBK347" s="444">
        <v>6</v>
      </c>
      <c r="LBL347" s="444" t="s">
        <v>1127</v>
      </c>
      <c r="LBM347" s="444">
        <v>6</v>
      </c>
      <c r="LBN347" s="444" t="s">
        <v>1127</v>
      </c>
      <c r="LBO347" s="444">
        <v>6</v>
      </c>
      <c r="LBP347" s="444" t="s">
        <v>1127</v>
      </c>
      <c r="LBQ347" s="444">
        <v>6</v>
      </c>
      <c r="LBR347" s="444" t="s">
        <v>1127</v>
      </c>
      <c r="LBS347" s="444">
        <v>6</v>
      </c>
      <c r="LBT347" s="444" t="s">
        <v>1127</v>
      </c>
      <c r="LBU347" s="444">
        <v>6</v>
      </c>
      <c r="LBV347" s="444" t="s">
        <v>1127</v>
      </c>
      <c r="LBW347" s="444">
        <v>6</v>
      </c>
      <c r="LBX347" s="444" t="s">
        <v>1127</v>
      </c>
      <c r="LBY347" s="444">
        <v>6</v>
      </c>
      <c r="LBZ347" s="444" t="s">
        <v>1127</v>
      </c>
      <c r="LCA347" s="444">
        <v>6</v>
      </c>
      <c r="LCB347" s="444" t="s">
        <v>1127</v>
      </c>
      <c r="LCC347" s="444">
        <v>6</v>
      </c>
      <c r="LCD347" s="444" t="s">
        <v>1127</v>
      </c>
      <c r="LCE347" s="444">
        <v>6</v>
      </c>
      <c r="LCF347" s="444" t="s">
        <v>1127</v>
      </c>
      <c r="LCG347" s="444">
        <v>6</v>
      </c>
      <c r="LCH347" s="444" t="s">
        <v>1127</v>
      </c>
      <c r="LCI347" s="444">
        <v>6</v>
      </c>
      <c r="LCJ347" s="444" t="s">
        <v>1127</v>
      </c>
      <c r="LCK347" s="444">
        <v>6</v>
      </c>
      <c r="LCL347" s="444" t="s">
        <v>1127</v>
      </c>
      <c r="LCM347" s="444">
        <v>6</v>
      </c>
      <c r="LCN347" s="444" t="s">
        <v>1127</v>
      </c>
      <c r="LCO347" s="444">
        <v>6</v>
      </c>
      <c r="LCP347" s="444" t="s">
        <v>1127</v>
      </c>
      <c r="LCQ347" s="444">
        <v>6</v>
      </c>
      <c r="LCR347" s="444" t="s">
        <v>1127</v>
      </c>
      <c r="LCS347" s="444">
        <v>6</v>
      </c>
      <c r="LCT347" s="444" t="s">
        <v>1127</v>
      </c>
      <c r="LCU347" s="444">
        <v>6</v>
      </c>
      <c r="LCV347" s="444" t="s">
        <v>1127</v>
      </c>
      <c r="LCW347" s="444">
        <v>6</v>
      </c>
      <c r="LCX347" s="444" t="s">
        <v>1127</v>
      </c>
      <c r="LCY347" s="444">
        <v>6</v>
      </c>
      <c r="LCZ347" s="444" t="s">
        <v>1127</v>
      </c>
      <c r="LDA347" s="444">
        <v>6</v>
      </c>
      <c r="LDB347" s="444" t="s">
        <v>1127</v>
      </c>
      <c r="LDC347" s="444">
        <v>6</v>
      </c>
      <c r="LDD347" s="444" t="s">
        <v>1127</v>
      </c>
      <c r="LDE347" s="444">
        <v>6</v>
      </c>
      <c r="LDF347" s="444" t="s">
        <v>1127</v>
      </c>
      <c r="LDG347" s="444">
        <v>6</v>
      </c>
      <c r="LDH347" s="444" t="s">
        <v>1127</v>
      </c>
      <c r="LDI347" s="444">
        <v>6</v>
      </c>
      <c r="LDJ347" s="444" t="s">
        <v>1127</v>
      </c>
      <c r="LDK347" s="444">
        <v>6</v>
      </c>
      <c r="LDL347" s="444" t="s">
        <v>1127</v>
      </c>
      <c r="LDM347" s="444">
        <v>6</v>
      </c>
      <c r="LDN347" s="444" t="s">
        <v>1127</v>
      </c>
      <c r="LDO347" s="444">
        <v>6</v>
      </c>
      <c r="LDP347" s="444" t="s">
        <v>1127</v>
      </c>
      <c r="LDQ347" s="444">
        <v>6</v>
      </c>
      <c r="LDR347" s="444" t="s">
        <v>1127</v>
      </c>
      <c r="LDS347" s="444">
        <v>6</v>
      </c>
      <c r="LDT347" s="444" t="s">
        <v>1127</v>
      </c>
      <c r="LDU347" s="444">
        <v>6</v>
      </c>
      <c r="LDV347" s="444" t="s">
        <v>1127</v>
      </c>
      <c r="LDW347" s="444">
        <v>6</v>
      </c>
      <c r="LDX347" s="444" t="s">
        <v>1127</v>
      </c>
      <c r="LDY347" s="444">
        <v>6</v>
      </c>
      <c r="LDZ347" s="444" t="s">
        <v>1127</v>
      </c>
      <c r="LEA347" s="444">
        <v>6</v>
      </c>
      <c r="LEB347" s="444" t="s">
        <v>1127</v>
      </c>
      <c r="LEC347" s="444">
        <v>6</v>
      </c>
      <c r="LED347" s="444" t="s">
        <v>1127</v>
      </c>
      <c r="LEE347" s="444">
        <v>6</v>
      </c>
      <c r="LEF347" s="444" t="s">
        <v>1127</v>
      </c>
      <c r="LEG347" s="444">
        <v>6</v>
      </c>
      <c r="LEH347" s="444" t="s">
        <v>1127</v>
      </c>
      <c r="LEI347" s="444">
        <v>6</v>
      </c>
      <c r="LEJ347" s="444" t="s">
        <v>1127</v>
      </c>
      <c r="LEK347" s="444">
        <v>6</v>
      </c>
      <c r="LEL347" s="444" t="s">
        <v>1127</v>
      </c>
      <c r="LEM347" s="444">
        <v>6</v>
      </c>
      <c r="LEN347" s="444" t="s">
        <v>1127</v>
      </c>
      <c r="LEO347" s="444">
        <v>6</v>
      </c>
      <c r="LEP347" s="444" t="s">
        <v>1127</v>
      </c>
      <c r="LEQ347" s="444">
        <v>6</v>
      </c>
      <c r="LER347" s="444" t="s">
        <v>1127</v>
      </c>
      <c r="LES347" s="444">
        <v>6</v>
      </c>
      <c r="LET347" s="444" t="s">
        <v>1127</v>
      </c>
      <c r="LEU347" s="444">
        <v>6</v>
      </c>
      <c r="LEV347" s="444" t="s">
        <v>1127</v>
      </c>
      <c r="LEW347" s="444">
        <v>6</v>
      </c>
      <c r="LEX347" s="444" t="s">
        <v>1127</v>
      </c>
      <c r="LEY347" s="444">
        <v>6</v>
      </c>
      <c r="LEZ347" s="444" t="s">
        <v>1127</v>
      </c>
      <c r="LFA347" s="444">
        <v>6</v>
      </c>
      <c r="LFB347" s="444" t="s">
        <v>1127</v>
      </c>
      <c r="LFC347" s="444">
        <v>6</v>
      </c>
      <c r="LFD347" s="444" t="s">
        <v>1127</v>
      </c>
      <c r="LFE347" s="444">
        <v>6</v>
      </c>
      <c r="LFF347" s="444" t="s">
        <v>1127</v>
      </c>
      <c r="LFG347" s="444">
        <v>6</v>
      </c>
      <c r="LFH347" s="444" t="s">
        <v>1127</v>
      </c>
      <c r="LFI347" s="444">
        <v>6</v>
      </c>
      <c r="LFJ347" s="444" t="s">
        <v>1127</v>
      </c>
      <c r="LFK347" s="444">
        <v>6</v>
      </c>
      <c r="LFL347" s="444" t="s">
        <v>1127</v>
      </c>
      <c r="LFM347" s="444">
        <v>6</v>
      </c>
      <c r="LFN347" s="444" t="s">
        <v>1127</v>
      </c>
      <c r="LFO347" s="444">
        <v>6</v>
      </c>
      <c r="LFP347" s="444" t="s">
        <v>1127</v>
      </c>
      <c r="LFQ347" s="444">
        <v>6</v>
      </c>
      <c r="LFR347" s="444" t="s">
        <v>1127</v>
      </c>
      <c r="LFS347" s="444">
        <v>6</v>
      </c>
      <c r="LFT347" s="444" t="s">
        <v>1127</v>
      </c>
      <c r="LFU347" s="444">
        <v>6</v>
      </c>
      <c r="LFV347" s="444" t="s">
        <v>1127</v>
      </c>
      <c r="LFW347" s="444">
        <v>6</v>
      </c>
      <c r="LFX347" s="444" t="s">
        <v>1127</v>
      </c>
      <c r="LFY347" s="444">
        <v>6</v>
      </c>
      <c r="LFZ347" s="444" t="s">
        <v>1127</v>
      </c>
      <c r="LGA347" s="444">
        <v>6</v>
      </c>
      <c r="LGB347" s="444" t="s">
        <v>1127</v>
      </c>
      <c r="LGC347" s="444">
        <v>6</v>
      </c>
      <c r="LGD347" s="444" t="s">
        <v>1127</v>
      </c>
      <c r="LGE347" s="444">
        <v>6</v>
      </c>
      <c r="LGF347" s="444" t="s">
        <v>1127</v>
      </c>
      <c r="LGG347" s="444">
        <v>6</v>
      </c>
      <c r="LGH347" s="444" t="s">
        <v>1127</v>
      </c>
      <c r="LGI347" s="444">
        <v>6</v>
      </c>
      <c r="LGJ347" s="444" t="s">
        <v>1127</v>
      </c>
      <c r="LGK347" s="444">
        <v>6</v>
      </c>
      <c r="LGL347" s="444" t="s">
        <v>1127</v>
      </c>
      <c r="LGM347" s="444">
        <v>6</v>
      </c>
      <c r="LGN347" s="444" t="s">
        <v>1127</v>
      </c>
      <c r="LGO347" s="444">
        <v>6</v>
      </c>
      <c r="LGP347" s="444" t="s">
        <v>1127</v>
      </c>
      <c r="LGQ347" s="444">
        <v>6</v>
      </c>
      <c r="LGR347" s="444" t="s">
        <v>1127</v>
      </c>
      <c r="LGS347" s="444">
        <v>6</v>
      </c>
      <c r="LGT347" s="444" t="s">
        <v>1127</v>
      </c>
      <c r="LGU347" s="444">
        <v>6</v>
      </c>
      <c r="LGV347" s="444" t="s">
        <v>1127</v>
      </c>
      <c r="LGW347" s="444">
        <v>6</v>
      </c>
      <c r="LGX347" s="444" t="s">
        <v>1127</v>
      </c>
      <c r="LGY347" s="444">
        <v>6</v>
      </c>
      <c r="LGZ347" s="444" t="s">
        <v>1127</v>
      </c>
      <c r="LHA347" s="444">
        <v>6</v>
      </c>
      <c r="LHB347" s="444" t="s">
        <v>1127</v>
      </c>
      <c r="LHC347" s="444">
        <v>6</v>
      </c>
      <c r="LHD347" s="444" t="s">
        <v>1127</v>
      </c>
      <c r="LHE347" s="444">
        <v>6</v>
      </c>
      <c r="LHF347" s="444" t="s">
        <v>1127</v>
      </c>
      <c r="LHG347" s="444">
        <v>6</v>
      </c>
      <c r="LHH347" s="444" t="s">
        <v>1127</v>
      </c>
      <c r="LHI347" s="444">
        <v>6</v>
      </c>
      <c r="LHJ347" s="444" t="s">
        <v>1127</v>
      </c>
      <c r="LHK347" s="444">
        <v>6</v>
      </c>
      <c r="LHL347" s="444" t="s">
        <v>1127</v>
      </c>
      <c r="LHM347" s="444">
        <v>6</v>
      </c>
      <c r="LHN347" s="444" t="s">
        <v>1127</v>
      </c>
      <c r="LHO347" s="444">
        <v>6</v>
      </c>
      <c r="LHP347" s="444" t="s">
        <v>1127</v>
      </c>
      <c r="LHQ347" s="444">
        <v>6</v>
      </c>
      <c r="LHR347" s="444" t="s">
        <v>1127</v>
      </c>
      <c r="LHS347" s="444">
        <v>6</v>
      </c>
      <c r="LHT347" s="444" t="s">
        <v>1127</v>
      </c>
      <c r="LHU347" s="444">
        <v>6</v>
      </c>
      <c r="LHV347" s="444" t="s">
        <v>1127</v>
      </c>
      <c r="LHW347" s="444">
        <v>6</v>
      </c>
      <c r="LHX347" s="444" t="s">
        <v>1127</v>
      </c>
      <c r="LHY347" s="444">
        <v>6</v>
      </c>
      <c r="LHZ347" s="444" t="s">
        <v>1127</v>
      </c>
      <c r="LIA347" s="444">
        <v>6</v>
      </c>
      <c r="LIB347" s="444" t="s">
        <v>1127</v>
      </c>
      <c r="LIC347" s="444">
        <v>6</v>
      </c>
      <c r="LID347" s="444" t="s">
        <v>1127</v>
      </c>
      <c r="LIE347" s="444">
        <v>6</v>
      </c>
      <c r="LIF347" s="444" t="s">
        <v>1127</v>
      </c>
      <c r="LIG347" s="444">
        <v>6</v>
      </c>
      <c r="LIH347" s="444" t="s">
        <v>1127</v>
      </c>
      <c r="LII347" s="444">
        <v>6</v>
      </c>
      <c r="LIJ347" s="444" t="s">
        <v>1127</v>
      </c>
      <c r="LIK347" s="444">
        <v>6</v>
      </c>
      <c r="LIL347" s="444" t="s">
        <v>1127</v>
      </c>
      <c r="LIM347" s="444">
        <v>6</v>
      </c>
      <c r="LIN347" s="444" t="s">
        <v>1127</v>
      </c>
      <c r="LIO347" s="444">
        <v>6</v>
      </c>
      <c r="LIP347" s="444" t="s">
        <v>1127</v>
      </c>
      <c r="LIQ347" s="444">
        <v>6</v>
      </c>
      <c r="LIR347" s="444" t="s">
        <v>1127</v>
      </c>
      <c r="LIS347" s="444">
        <v>6</v>
      </c>
      <c r="LIT347" s="444" t="s">
        <v>1127</v>
      </c>
      <c r="LIU347" s="444">
        <v>6</v>
      </c>
      <c r="LIV347" s="444" t="s">
        <v>1127</v>
      </c>
      <c r="LIW347" s="444">
        <v>6</v>
      </c>
      <c r="LIX347" s="444" t="s">
        <v>1127</v>
      </c>
      <c r="LIY347" s="444">
        <v>6</v>
      </c>
      <c r="LIZ347" s="444" t="s">
        <v>1127</v>
      </c>
      <c r="LJA347" s="444">
        <v>6</v>
      </c>
      <c r="LJB347" s="444" t="s">
        <v>1127</v>
      </c>
      <c r="LJC347" s="444">
        <v>6</v>
      </c>
      <c r="LJD347" s="444" t="s">
        <v>1127</v>
      </c>
      <c r="LJE347" s="444">
        <v>6</v>
      </c>
      <c r="LJF347" s="444" t="s">
        <v>1127</v>
      </c>
      <c r="LJG347" s="444">
        <v>6</v>
      </c>
      <c r="LJH347" s="444" t="s">
        <v>1127</v>
      </c>
      <c r="LJI347" s="444">
        <v>6</v>
      </c>
      <c r="LJJ347" s="444" t="s">
        <v>1127</v>
      </c>
      <c r="LJK347" s="444">
        <v>6</v>
      </c>
      <c r="LJL347" s="444" t="s">
        <v>1127</v>
      </c>
      <c r="LJM347" s="444">
        <v>6</v>
      </c>
      <c r="LJN347" s="444" t="s">
        <v>1127</v>
      </c>
      <c r="LJO347" s="444">
        <v>6</v>
      </c>
      <c r="LJP347" s="444" t="s">
        <v>1127</v>
      </c>
      <c r="LJQ347" s="444">
        <v>6</v>
      </c>
      <c r="LJR347" s="444" t="s">
        <v>1127</v>
      </c>
      <c r="LJS347" s="444">
        <v>6</v>
      </c>
      <c r="LJT347" s="444" t="s">
        <v>1127</v>
      </c>
      <c r="LJU347" s="444">
        <v>6</v>
      </c>
      <c r="LJV347" s="444" t="s">
        <v>1127</v>
      </c>
      <c r="LJW347" s="444">
        <v>6</v>
      </c>
      <c r="LJX347" s="444" t="s">
        <v>1127</v>
      </c>
      <c r="LJY347" s="444">
        <v>6</v>
      </c>
      <c r="LJZ347" s="444" t="s">
        <v>1127</v>
      </c>
      <c r="LKA347" s="444">
        <v>6</v>
      </c>
      <c r="LKB347" s="444" t="s">
        <v>1127</v>
      </c>
      <c r="LKC347" s="444">
        <v>6</v>
      </c>
      <c r="LKD347" s="444" t="s">
        <v>1127</v>
      </c>
      <c r="LKE347" s="444">
        <v>6</v>
      </c>
      <c r="LKF347" s="444" t="s">
        <v>1127</v>
      </c>
      <c r="LKG347" s="444">
        <v>6</v>
      </c>
      <c r="LKH347" s="444" t="s">
        <v>1127</v>
      </c>
      <c r="LKI347" s="444">
        <v>6</v>
      </c>
      <c r="LKJ347" s="444" t="s">
        <v>1127</v>
      </c>
      <c r="LKK347" s="444">
        <v>6</v>
      </c>
      <c r="LKL347" s="444" t="s">
        <v>1127</v>
      </c>
      <c r="LKM347" s="444">
        <v>6</v>
      </c>
      <c r="LKN347" s="444" t="s">
        <v>1127</v>
      </c>
      <c r="LKO347" s="444">
        <v>6</v>
      </c>
      <c r="LKP347" s="444" t="s">
        <v>1127</v>
      </c>
      <c r="LKQ347" s="444">
        <v>6</v>
      </c>
      <c r="LKR347" s="444" t="s">
        <v>1127</v>
      </c>
      <c r="LKS347" s="444">
        <v>6</v>
      </c>
      <c r="LKT347" s="444" t="s">
        <v>1127</v>
      </c>
      <c r="LKU347" s="444">
        <v>6</v>
      </c>
      <c r="LKV347" s="444" t="s">
        <v>1127</v>
      </c>
      <c r="LKW347" s="444">
        <v>6</v>
      </c>
      <c r="LKX347" s="444" t="s">
        <v>1127</v>
      </c>
      <c r="LKY347" s="444">
        <v>6</v>
      </c>
      <c r="LKZ347" s="444" t="s">
        <v>1127</v>
      </c>
      <c r="LLA347" s="444">
        <v>6</v>
      </c>
      <c r="LLB347" s="444" t="s">
        <v>1127</v>
      </c>
      <c r="LLC347" s="444">
        <v>6</v>
      </c>
      <c r="LLD347" s="444" t="s">
        <v>1127</v>
      </c>
      <c r="LLE347" s="444">
        <v>6</v>
      </c>
      <c r="LLF347" s="444" t="s">
        <v>1127</v>
      </c>
      <c r="LLG347" s="444">
        <v>6</v>
      </c>
      <c r="LLH347" s="444" t="s">
        <v>1127</v>
      </c>
      <c r="LLI347" s="444">
        <v>6</v>
      </c>
      <c r="LLJ347" s="444" t="s">
        <v>1127</v>
      </c>
      <c r="LLK347" s="444">
        <v>6</v>
      </c>
      <c r="LLL347" s="444" t="s">
        <v>1127</v>
      </c>
      <c r="LLM347" s="444">
        <v>6</v>
      </c>
      <c r="LLN347" s="444" t="s">
        <v>1127</v>
      </c>
      <c r="LLO347" s="444">
        <v>6</v>
      </c>
      <c r="LLP347" s="444" t="s">
        <v>1127</v>
      </c>
      <c r="LLQ347" s="444">
        <v>6</v>
      </c>
      <c r="LLR347" s="444" t="s">
        <v>1127</v>
      </c>
      <c r="LLS347" s="444">
        <v>6</v>
      </c>
      <c r="LLT347" s="444" t="s">
        <v>1127</v>
      </c>
      <c r="LLU347" s="444">
        <v>6</v>
      </c>
      <c r="LLV347" s="444" t="s">
        <v>1127</v>
      </c>
      <c r="LLW347" s="444">
        <v>6</v>
      </c>
      <c r="LLX347" s="444" t="s">
        <v>1127</v>
      </c>
      <c r="LLY347" s="444">
        <v>6</v>
      </c>
      <c r="LLZ347" s="444" t="s">
        <v>1127</v>
      </c>
      <c r="LMA347" s="444">
        <v>6</v>
      </c>
      <c r="LMB347" s="444" t="s">
        <v>1127</v>
      </c>
      <c r="LMC347" s="444">
        <v>6</v>
      </c>
      <c r="LMD347" s="444" t="s">
        <v>1127</v>
      </c>
      <c r="LME347" s="444">
        <v>6</v>
      </c>
      <c r="LMF347" s="444" t="s">
        <v>1127</v>
      </c>
      <c r="LMG347" s="444">
        <v>6</v>
      </c>
      <c r="LMH347" s="444" t="s">
        <v>1127</v>
      </c>
      <c r="LMI347" s="444">
        <v>6</v>
      </c>
      <c r="LMJ347" s="444" t="s">
        <v>1127</v>
      </c>
      <c r="LMK347" s="444">
        <v>6</v>
      </c>
      <c r="LML347" s="444" t="s">
        <v>1127</v>
      </c>
      <c r="LMM347" s="444">
        <v>6</v>
      </c>
      <c r="LMN347" s="444" t="s">
        <v>1127</v>
      </c>
      <c r="LMO347" s="444">
        <v>6</v>
      </c>
      <c r="LMP347" s="444" t="s">
        <v>1127</v>
      </c>
      <c r="LMQ347" s="444">
        <v>6</v>
      </c>
      <c r="LMR347" s="444" t="s">
        <v>1127</v>
      </c>
      <c r="LMS347" s="444">
        <v>6</v>
      </c>
      <c r="LMT347" s="444" t="s">
        <v>1127</v>
      </c>
      <c r="LMU347" s="444">
        <v>6</v>
      </c>
      <c r="LMV347" s="444" t="s">
        <v>1127</v>
      </c>
      <c r="LMW347" s="444">
        <v>6</v>
      </c>
      <c r="LMX347" s="444" t="s">
        <v>1127</v>
      </c>
      <c r="LMY347" s="444">
        <v>6</v>
      </c>
      <c r="LMZ347" s="444" t="s">
        <v>1127</v>
      </c>
      <c r="LNA347" s="444">
        <v>6</v>
      </c>
      <c r="LNB347" s="444" t="s">
        <v>1127</v>
      </c>
      <c r="LNC347" s="444">
        <v>6</v>
      </c>
      <c r="LND347" s="444" t="s">
        <v>1127</v>
      </c>
      <c r="LNE347" s="444">
        <v>6</v>
      </c>
      <c r="LNF347" s="444" t="s">
        <v>1127</v>
      </c>
      <c r="LNG347" s="444">
        <v>6</v>
      </c>
      <c r="LNH347" s="444" t="s">
        <v>1127</v>
      </c>
      <c r="LNI347" s="444">
        <v>6</v>
      </c>
      <c r="LNJ347" s="444" t="s">
        <v>1127</v>
      </c>
      <c r="LNK347" s="444">
        <v>6</v>
      </c>
      <c r="LNL347" s="444" t="s">
        <v>1127</v>
      </c>
      <c r="LNM347" s="444">
        <v>6</v>
      </c>
      <c r="LNN347" s="444" t="s">
        <v>1127</v>
      </c>
      <c r="LNO347" s="444">
        <v>6</v>
      </c>
      <c r="LNP347" s="444" t="s">
        <v>1127</v>
      </c>
      <c r="LNQ347" s="444">
        <v>6</v>
      </c>
      <c r="LNR347" s="444" t="s">
        <v>1127</v>
      </c>
      <c r="LNS347" s="444">
        <v>6</v>
      </c>
      <c r="LNT347" s="444" t="s">
        <v>1127</v>
      </c>
      <c r="LNU347" s="444">
        <v>6</v>
      </c>
      <c r="LNV347" s="444" t="s">
        <v>1127</v>
      </c>
      <c r="LNW347" s="444">
        <v>6</v>
      </c>
      <c r="LNX347" s="444" t="s">
        <v>1127</v>
      </c>
      <c r="LNY347" s="444">
        <v>6</v>
      </c>
      <c r="LNZ347" s="444" t="s">
        <v>1127</v>
      </c>
      <c r="LOA347" s="444">
        <v>6</v>
      </c>
      <c r="LOB347" s="444" t="s">
        <v>1127</v>
      </c>
      <c r="LOC347" s="444">
        <v>6</v>
      </c>
      <c r="LOD347" s="444" t="s">
        <v>1127</v>
      </c>
      <c r="LOE347" s="444">
        <v>6</v>
      </c>
      <c r="LOF347" s="444" t="s">
        <v>1127</v>
      </c>
      <c r="LOG347" s="444">
        <v>6</v>
      </c>
      <c r="LOH347" s="444" t="s">
        <v>1127</v>
      </c>
      <c r="LOI347" s="444">
        <v>6</v>
      </c>
      <c r="LOJ347" s="444" t="s">
        <v>1127</v>
      </c>
      <c r="LOK347" s="444">
        <v>6</v>
      </c>
      <c r="LOL347" s="444" t="s">
        <v>1127</v>
      </c>
      <c r="LOM347" s="444">
        <v>6</v>
      </c>
      <c r="LON347" s="444" t="s">
        <v>1127</v>
      </c>
      <c r="LOO347" s="444">
        <v>6</v>
      </c>
      <c r="LOP347" s="444" t="s">
        <v>1127</v>
      </c>
      <c r="LOQ347" s="444">
        <v>6</v>
      </c>
      <c r="LOR347" s="444" t="s">
        <v>1127</v>
      </c>
      <c r="LOS347" s="444">
        <v>6</v>
      </c>
      <c r="LOT347" s="444" t="s">
        <v>1127</v>
      </c>
      <c r="LOU347" s="444">
        <v>6</v>
      </c>
      <c r="LOV347" s="444" t="s">
        <v>1127</v>
      </c>
      <c r="LOW347" s="444">
        <v>6</v>
      </c>
      <c r="LOX347" s="444" t="s">
        <v>1127</v>
      </c>
      <c r="LOY347" s="444">
        <v>6</v>
      </c>
      <c r="LOZ347" s="444" t="s">
        <v>1127</v>
      </c>
      <c r="LPA347" s="444">
        <v>6</v>
      </c>
      <c r="LPB347" s="444" t="s">
        <v>1127</v>
      </c>
      <c r="LPC347" s="444">
        <v>6</v>
      </c>
      <c r="LPD347" s="444" t="s">
        <v>1127</v>
      </c>
      <c r="LPE347" s="444">
        <v>6</v>
      </c>
      <c r="LPF347" s="444" t="s">
        <v>1127</v>
      </c>
      <c r="LPG347" s="444">
        <v>6</v>
      </c>
      <c r="LPH347" s="444" t="s">
        <v>1127</v>
      </c>
      <c r="LPI347" s="444">
        <v>6</v>
      </c>
      <c r="LPJ347" s="444" t="s">
        <v>1127</v>
      </c>
      <c r="LPK347" s="444">
        <v>6</v>
      </c>
      <c r="LPL347" s="444" t="s">
        <v>1127</v>
      </c>
      <c r="LPM347" s="444">
        <v>6</v>
      </c>
      <c r="LPN347" s="444" t="s">
        <v>1127</v>
      </c>
      <c r="LPO347" s="444">
        <v>6</v>
      </c>
      <c r="LPP347" s="444" t="s">
        <v>1127</v>
      </c>
      <c r="LPQ347" s="444">
        <v>6</v>
      </c>
      <c r="LPR347" s="444" t="s">
        <v>1127</v>
      </c>
      <c r="LPS347" s="444">
        <v>6</v>
      </c>
      <c r="LPT347" s="444" t="s">
        <v>1127</v>
      </c>
      <c r="LPU347" s="444">
        <v>6</v>
      </c>
      <c r="LPV347" s="444" t="s">
        <v>1127</v>
      </c>
      <c r="LPW347" s="444">
        <v>6</v>
      </c>
      <c r="LPX347" s="444" t="s">
        <v>1127</v>
      </c>
      <c r="LPY347" s="444">
        <v>6</v>
      </c>
      <c r="LPZ347" s="444" t="s">
        <v>1127</v>
      </c>
      <c r="LQA347" s="444">
        <v>6</v>
      </c>
      <c r="LQB347" s="444" t="s">
        <v>1127</v>
      </c>
      <c r="LQC347" s="444">
        <v>6</v>
      </c>
      <c r="LQD347" s="444" t="s">
        <v>1127</v>
      </c>
      <c r="LQE347" s="444">
        <v>6</v>
      </c>
      <c r="LQF347" s="444" t="s">
        <v>1127</v>
      </c>
      <c r="LQG347" s="444">
        <v>6</v>
      </c>
      <c r="LQH347" s="444" t="s">
        <v>1127</v>
      </c>
      <c r="LQI347" s="444">
        <v>6</v>
      </c>
      <c r="LQJ347" s="444" t="s">
        <v>1127</v>
      </c>
      <c r="LQK347" s="444">
        <v>6</v>
      </c>
      <c r="LQL347" s="444" t="s">
        <v>1127</v>
      </c>
      <c r="LQM347" s="444">
        <v>6</v>
      </c>
      <c r="LQN347" s="444" t="s">
        <v>1127</v>
      </c>
      <c r="LQO347" s="444">
        <v>6</v>
      </c>
      <c r="LQP347" s="444" t="s">
        <v>1127</v>
      </c>
      <c r="LQQ347" s="444">
        <v>6</v>
      </c>
      <c r="LQR347" s="444" t="s">
        <v>1127</v>
      </c>
      <c r="LQS347" s="444">
        <v>6</v>
      </c>
      <c r="LQT347" s="444" t="s">
        <v>1127</v>
      </c>
      <c r="LQU347" s="444">
        <v>6</v>
      </c>
      <c r="LQV347" s="444" t="s">
        <v>1127</v>
      </c>
      <c r="LQW347" s="444">
        <v>6</v>
      </c>
      <c r="LQX347" s="444" t="s">
        <v>1127</v>
      </c>
      <c r="LQY347" s="444">
        <v>6</v>
      </c>
      <c r="LQZ347" s="444" t="s">
        <v>1127</v>
      </c>
      <c r="LRA347" s="444">
        <v>6</v>
      </c>
      <c r="LRB347" s="444" t="s">
        <v>1127</v>
      </c>
      <c r="LRC347" s="444">
        <v>6</v>
      </c>
      <c r="LRD347" s="444" t="s">
        <v>1127</v>
      </c>
      <c r="LRE347" s="444">
        <v>6</v>
      </c>
      <c r="LRF347" s="444" t="s">
        <v>1127</v>
      </c>
      <c r="LRG347" s="444">
        <v>6</v>
      </c>
      <c r="LRH347" s="444" t="s">
        <v>1127</v>
      </c>
      <c r="LRI347" s="444">
        <v>6</v>
      </c>
      <c r="LRJ347" s="444" t="s">
        <v>1127</v>
      </c>
      <c r="LRK347" s="444">
        <v>6</v>
      </c>
      <c r="LRL347" s="444" t="s">
        <v>1127</v>
      </c>
      <c r="LRM347" s="444">
        <v>6</v>
      </c>
      <c r="LRN347" s="444" t="s">
        <v>1127</v>
      </c>
      <c r="LRO347" s="444">
        <v>6</v>
      </c>
      <c r="LRP347" s="444" t="s">
        <v>1127</v>
      </c>
      <c r="LRQ347" s="444">
        <v>6</v>
      </c>
      <c r="LRR347" s="444" t="s">
        <v>1127</v>
      </c>
      <c r="LRS347" s="444">
        <v>6</v>
      </c>
      <c r="LRT347" s="444" t="s">
        <v>1127</v>
      </c>
      <c r="LRU347" s="444">
        <v>6</v>
      </c>
      <c r="LRV347" s="444" t="s">
        <v>1127</v>
      </c>
      <c r="LRW347" s="444">
        <v>6</v>
      </c>
      <c r="LRX347" s="444" t="s">
        <v>1127</v>
      </c>
      <c r="LRY347" s="444">
        <v>6</v>
      </c>
      <c r="LRZ347" s="444" t="s">
        <v>1127</v>
      </c>
      <c r="LSA347" s="444">
        <v>6</v>
      </c>
      <c r="LSB347" s="444" t="s">
        <v>1127</v>
      </c>
      <c r="LSC347" s="444">
        <v>6</v>
      </c>
      <c r="LSD347" s="444" t="s">
        <v>1127</v>
      </c>
      <c r="LSE347" s="444">
        <v>6</v>
      </c>
      <c r="LSF347" s="444" t="s">
        <v>1127</v>
      </c>
      <c r="LSG347" s="444">
        <v>6</v>
      </c>
      <c r="LSH347" s="444" t="s">
        <v>1127</v>
      </c>
      <c r="LSI347" s="444">
        <v>6</v>
      </c>
      <c r="LSJ347" s="444" t="s">
        <v>1127</v>
      </c>
      <c r="LSK347" s="444">
        <v>6</v>
      </c>
      <c r="LSL347" s="444" t="s">
        <v>1127</v>
      </c>
      <c r="LSM347" s="444">
        <v>6</v>
      </c>
      <c r="LSN347" s="444" t="s">
        <v>1127</v>
      </c>
      <c r="LSO347" s="444">
        <v>6</v>
      </c>
      <c r="LSP347" s="444" t="s">
        <v>1127</v>
      </c>
      <c r="LSQ347" s="444">
        <v>6</v>
      </c>
      <c r="LSR347" s="444" t="s">
        <v>1127</v>
      </c>
      <c r="LSS347" s="444">
        <v>6</v>
      </c>
      <c r="LST347" s="444" t="s">
        <v>1127</v>
      </c>
      <c r="LSU347" s="444">
        <v>6</v>
      </c>
      <c r="LSV347" s="444" t="s">
        <v>1127</v>
      </c>
      <c r="LSW347" s="444">
        <v>6</v>
      </c>
      <c r="LSX347" s="444" t="s">
        <v>1127</v>
      </c>
      <c r="LSY347" s="444">
        <v>6</v>
      </c>
      <c r="LSZ347" s="444" t="s">
        <v>1127</v>
      </c>
      <c r="LTA347" s="444">
        <v>6</v>
      </c>
      <c r="LTB347" s="444" t="s">
        <v>1127</v>
      </c>
      <c r="LTC347" s="444">
        <v>6</v>
      </c>
      <c r="LTD347" s="444" t="s">
        <v>1127</v>
      </c>
      <c r="LTE347" s="444">
        <v>6</v>
      </c>
      <c r="LTF347" s="444" t="s">
        <v>1127</v>
      </c>
      <c r="LTG347" s="444">
        <v>6</v>
      </c>
      <c r="LTH347" s="444" t="s">
        <v>1127</v>
      </c>
      <c r="LTI347" s="444">
        <v>6</v>
      </c>
      <c r="LTJ347" s="444" t="s">
        <v>1127</v>
      </c>
      <c r="LTK347" s="444">
        <v>6</v>
      </c>
      <c r="LTL347" s="444" t="s">
        <v>1127</v>
      </c>
      <c r="LTM347" s="444">
        <v>6</v>
      </c>
      <c r="LTN347" s="444" t="s">
        <v>1127</v>
      </c>
      <c r="LTO347" s="444">
        <v>6</v>
      </c>
      <c r="LTP347" s="444" t="s">
        <v>1127</v>
      </c>
      <c r="LTQ347" s="444">
        <v>6</v>
      </c>
      <c r="LTR347" s="444" t="s">
        <v>1127</v>
      </c>
      <c r="LTS347" s="444">
        <v>6</v>
      </c>
      <c r="LTT347" s="444" t="s">
        <v>1127</v>
      </c>
      <c r="LTU347" s="444">
        <v>6</v>
      </c>
      <c r="LTV347" s="444" t="s">
        <v>1127</v>
      </c>
      <c r="LTW347" s="444">
        <v>6</v>
      </c>
      <c r="LTX347" s="444" t="s">
        <v>1127</v>
      </c>
      <c r="LTY347" s="444">
        <v>6</v>
      </c>
      <c r="LTZ347" s="444" t="s">
        <v>1127</v>
      </c>
      <c r="LUA347" s="444">
        <v>6</v>
      </c>
      <c r="LUB347" s="444" t="s">
        <v>1127</v>
      </c>
      <c r="LUC347" s="444">
        <v>6</v>
      </c>
      <c r="LUD347" s="444" t="s">
        <v>1127</v>
      </c>
      <c r="LUE347" s="444">
        <v>6</v>
      </c>
      <c r="LUF347" s="444" t="s">
        <v>1127</v>
      </c>
      <c r="LUG347" s="444">
        <v>6</v>
      </c>
      <c r="LUH347" s="444" t="s">
        <v>1127</v>
      </c>
      <c r="LUI347" s="444">
        <v>6</v>
      </c>
      <c r="LUJ347" s="444" t="s">
        <v>1127</v>
      </c>
      <c r="LUK347" s="444">
        <v>6</v>
      </c>
      <c r="LUL347" s="444" t="s">
        <v>1127</v>
      </c>
      <c r="LUM347" s="444">
        <v>6</v>
      </c>
      <c r="LUN347" s="444" t="s">
        <v>1127</v>
      </c>
      <c r="LUO347" s="444">
        <v>6</v>
      </c>
      <c r="LUP347" s="444" t="s">
        <v>1127</v>
      </c>
      <c r="LUQ347" s="444">
        <v>6</v>
      </c>
      <c r="LUR347" s="444" t="s">
        <v>1127</v>
      </c>
      <c r="LUS347" s="444">
        <v>6</v>
      </c>
      <c r="LUT347" s="444" t="s">
        <v>1127</v>
      </c>
      <c r="LUU347" s="444">
        <v>6</v>
      </c>
      <c r="LUV347" s="444" t="s">
        <v>1127</v>
      </c>
      <c r="LUW347" s="444">
        <v>6</v>
      </c>
      <c r="LUX347" s="444" t="s">
        <v>1127</v>
      </c>
      <c r="LUY347" s="444">
        <v>6</v>
      </c>
      <c r="LUZ347" s="444" t="s">
        <v>1127</v>
      </c>
      <c r="LVA347" s="444">
        <v>6</v>
      </c>
      <c r="LVB347" s="444" t="s">
        <v>1127</v>
      </c>
      <c r="LVC347" s="444">
        <v>6</v>
      </c>
      <c r="LVD347" s="444" t="s">
        <v>1127</v>
      </c>
      <c r="LVE347" s="444">
        <v>6</v>
      </c>
      <c r="LVF347" s="444" t="s">
        <v>1127</v>
      </c>
      <c r="LVG347" s="444">
        <v>6</v>
      </c>
      <c r="LVH347" s="444" t="s">
        <v>1127</v>
      </c>
      <c r="LVI347" s="444">
        <v>6</v>
      </c>
      <c r="LVJ347" s="444" t="s">
        <v>1127</v>
      </c>
      <c r="LVK347" s="444">
        <v>6</v>
      </c>
      <c r="LVL347" s="444" t="s">
        <v>1127</v>
      </c>
      <c r="LVM347" s="444">
        <v>6</v>
      </c>
      <c r="LVN347" s="444" t="s">
        <v>1127</v>
      </c>
      <c r="LVO347" s="444">
        <v>6</v>
      </c>
      <c r="LVP347" s="444" t="s">
        <v>1127</v>
      </c>
      <c r="LVQ347" s="444">
        <v>6</v>
      </c>
      <c r="LVR347" s="444" t="s">
        <v>1127</v>
      </c>
      <c r="LVS347" s="444">
        <v>6</v>
      </c>
      <c r="LVT347" s="444" t="s">
        <v>1127</v>
      </c>
      <c r="LVU347" s="444">
        <v>6</v>
      </c>
      <c r="LVV347" s="444" t="s">
        <v>1127</v>
      </c>
      <c r="LVW347" s="444">
        <v>6</v>
      </c>
      <c r="LVX347" s="444" t="s">
        <v>1127</v>
      </c>
      <c r="LVY347" s="444">
        <v>6</v>
      </c>
      <c r="LVZ347" s="444" t="s">
        <v>1127</v>
      </c>
      <c r="LWA347" s="444">
        <v>6</v>
      </c>
      <c r="LWB347" s="444" t="s">
        <v>1127</v>
      </c>
      <c r="LWC347" s="444">
        <v>6</v>
      </c>
      <c r="LWD347" s="444" t="s">
        <v>1127</v>
      </c>
      <c r="LWE347" s="444">
        <v>6</v>
      </c>
      <c r="LWF347" s="444" t="s">
        <v>1127</v>
      </c>
      <c r="LWG347" s="444">
        <v>6</v>
      </c>
      <c r="LWH347" s="444" t="s">
        <v>1127</v>
      </c>
      <c r="LWI347" s="444">
        <v>6</v>
      </c>
      <c r="LWJ347" s="444" t="s">
        <v>1127</v>
      </c>
      <c r="LWK347" s="444">
        <v>6</v>
      </c>
      <c r="LWL347" s="444" t="s">
        <v>1127</v>
      </c>
      <c r="LWM347" s="444">
        <v>6</v>
      </c>
      <c r="LWN347" s="444" t="s">
        <v>1127</v>
      </c>
      <c r="LWO347" s="444">
        <v>6</v>
      </c>
      <c r="LWP347" s="444" t="s">
        <v>1127</v>
      </c>
      <c r="LWQ347" s="444">
        <v>6</v>
      </c>
      <c r="LWR347" s="444" t="s">
        <v>1127</v>
      </c>
      <c r="LWS347" s="444">
        <v>6</v>
      </c>
      <c r="LWT347" s="444" t="s">
        <v>1127</v>
      </c>
      <c r="LWU347" s="444">
        <v>6</v>
      </c>
      <c r="LWV347" s="444" t="s">
        <v>1127</v>
      </c>
      <c r="LWW347" s="444">
        <v>6</v>
      </c>
      <c r="LWX347" s="444" t="s">
        <v>1127</v>
      </c>
      <c r="LWY347" s="444">
        <v>6</v>
      </c>
      <c r="LWZ347" s="444" t="s">
        <v>1127</v>
      </c>
      <c r="LXA347" s="444">
        <v>6</v>
      </c>
      <c r="LXB347" s="444" t="s">
        <v>1127</v>
      </c>
      <c r="LXC347" s="444">
        <v>6</v>
      </c>
      <c r="LXD347" s="444" t="s">
        <v>1127</v>
      </c>
      <c r="LXE347" s="444">
        <v>6</v>
      </c>
      <c r="LXF347" s="444" t="s">
        <v>1127</v>
      </c>
      <c r="LXG347" s="444">
        <v>6</v>
      </c>
      <c r="LXH347" s="444" t="s">
        <v>1127</v>
      </c>
      <c r="LXI347" s="444">
        <v>6</v>
      </c>
      <c r="LXJ347" s="444" t="s">
        <v>1127</v>
      </c>
      <c r="LXK347" s="444">
        <v>6</v>
      </c>
      <c r="LXL347" s="444" t="s">
        <v>1127</v>
      </c>
      <c r="LXM347" s="444">
        <v>6</v>
      </c>
      <c r="LXN347" s="444" t="s">
        <v>1127</v>
      </c>
      <c r="LXO347" s="444">
        <v>6</v>
      </c>
      <c r="LXP347" s="444" t="s">
        <v>1127</v>
      </c>
      <c r="LXQ347" s="444">
        <v>6</v>
      </c>
      <c r="LXR347" s="444" t="s">
        <v>1127</v>
      </c>
      <c r="LXS347" s="444">
        <v>6</v>
      </c>
      <c r="LXT347" s="444" t="s">
        <v>1127</v>
      </c>
      <c r="LXU347" s="444">
        <v>6</v>
      </c>
      <c r="LXV347" s="444" t="s">
        <v>1127</v>
      </c>
      <c r="LXW347" s="444">
        <v>6</v>
      </c>
      <c r="LXX347" s="444" t="s">
        <v>1127</v>
      </c>
      <c r="LXY347" s="444">
        <v>6</v>
      </c>
      <c r="LXZ347" s="444" t="s">
        <v>1127</v>
      </c>
      <c r="LYA347" s="444">
        <v>6</v>
      </c>
      <c r="LYB347" s="444" t="s">
        <v>1127</v>
      </c>
      <c r="LYC347" s="444">
        <v>6</v>
      </c>
      <c r="LYD347" s="444" t="s">
        <v>1127</v>
      </c>
      <c r="LYE347" s="444">
        <v>6</v>
      </c>
      <c r="LYF347" s="444" t="s">
        <v>1127</v>
      </c>
      <c r="LYG347" s="444">
        <v>6</v>
      </c>
      <c r="LYH347" s="444" t="s">
        <v>1127</v>
      </c>
      <c r="LYI347" s="444">
        <v>6</v>
      </c>
      <c r="LYJ347" s="444" t="s">
        <v>1127</v>
      </c>
      <c r="LYK347" s="444">
        <v>6</v>
      </c>
      <c r="LYL347" s="444" t="s">
        <v>1127</v>
      </c>
      <c r="LYM347" s="444">
        <v>6</v>
      </c>
      <c r="LYN347" s="444" t="s">
        <v>1127</v>
      </c>
      <c r="LYO347" s="444">
        <v>6</v>
      </c>
      <c r="LYP347" s="444" t="s">
        <v>1127</v>
      </c>
      <c r="LYQ347" s="444">
        <v>6</v>
      </c>
      <c r="LYR347" s="444" t="s">
        <v>1127</v>
      </c>
      <c r="LYS347" s="444">
        <v>6</v>
      </c>
      <c r="LYT347" s="444" t="s">
        <v>1127</v>
      </c>
      <c r="LYU347" s="444">
        <v>6</v>
      </c>
      <c r="LYV347" s="444" t="s">
        <v>1127</v>
      </c>
      <c r="LYW347" s="444">
        <v>6</v>
      </c>
      <c r="LYX347" s="444" t="s">
        <v>1127</v>
      </c>
      <c r="LYY347" s="444">
        <v>6</v>
      </c>
      <c r="LYZ347" s="444" t="s">
        <v>1127</v>
      </c>
      <c r="LZA347" s="444">
        <v>6</v>
      </c>
      <c r="LZB347" s="444" t="s">
        <v>1127</v>
      </c>
      <c r="LZC347" s="444">
        <v>6</v>
      </c>
      <c r="LZD347" s="444" t="s">
        <v>1127</v>
      </c>
      <c r="LZE347" s="444">
        <v>6</v>
      </c>
      <c r="LZF347" s="444" t="s">
        <v>1127</v>
      </c>
      <c r="LZG347" s="444">
        <v>6</v>
      </c>
      <c r="LZH347" s="444" t="s">
        <v>1127</v>
      </c>
      <c r="LZI347" s="444">
        <v>6</v>
      </c>
      <c r="LZJ347" s="444" t="s">
        <v>1127</v>
      </c>
      <c r="LZK347" s="444">
        <v>6</v>
      </c>
      <c r="LZL347" s="444" t="s">
        <v>1127</v>
      </c>
      <c r="LZM347" s="444">
        <v>6</v>
      </c>
      <c r="LZN347" s="444" t="s">
        <v>1127</v>
      </c>
      <c r="LZO347" s="444">
        <v>6</v>
      </c>
      <c r="LZP347" s="444" t="s">
        <v>1127</v>
      </c>
      <c r="LZQ347" s="444">
        <v>6</v>
      </c>
      <c r="LZR347" s="444" t="s">
        <v>1127</v>
      </c>
      <c r="LZS347" s="444">
        <v>6</v>
      </c>
      <c r="LZT347" s="444" t="s">
        <v>1127</v>
      </c>
      <c r="LZU347" s="444">
        <v>6</v>
      </c>
      <c r="LZV347" s="444" t="s">
        <v>1127</v>
      </c>
      <c r="LZW347" s="444">
        <v>6</v>
      </c>
      <c r="LZX347" s="444" t="s">
        <v>1127</v>
      </c>
      <c r="LZY347" s="444">
        <v>6</v>
      </c>
      <c r="LZZ347" s="444" t="s">
        <v>1127</v>
      </c>
      <c r="MAA347" s="444">
        <v>6</v>
      </c>
      <c r="MAB347" s="444" t="s">
        <v>1127</v>
      </c>
      <c r="MAC347" s="444">
        <v>6</v>
      </c>
      <c r="MAD347" s="444" t="s">
        <v>1127</v>
      </c>
      <c r="MAE347" s="444">
        <v>6</v>
      </c>
      <c r="MAF347" s="444" t="s">
        <v>1127</v>
      </c>
      <c r="MAG347" s="444">
        <v>6</v>
      </c>
      <c r="MAH347" s="444" t="s">
        <v>1127</v>
      </c>
      <c r="MAI347" s="444">
        <v>6</v>
      </c>
      <c r="MAJ347" s="444" t="s">
        <v>1127</v>
      </c>
      <c r="MAK347" s="444">
        <v>6</v>
      </c>
      <c r="MAL347" s="444" t="s">
        <v>1127</v>
      </c>
      <c r="MAM347" s="444">
        <v>6</v>
      </c>
      <c r="MAN347" s="444" t="s">
        <v>1127</v>
      </c>
      <c r="MAO347" s="444">
        <v>6</v>
      </c>
      <c r="MAP347" s="444" t="s">
        <v>1127</v>
      </c>
      <c r="MAQ347" s="444">
        <v>6</v>
      </c>
      <c r="MAR347" s="444" t="s">
        <v>1127</v>
      </c>
      <c r="MAS347" s="444">
        <v>6</v>
      </c>
      <c r="MAT347" s="444" t="s">
        <v>1127</v>
      </c>
      <c r="MAU347" s="444">
        <v>6</v>
      </c>
      <c r="MAV347" s="444" t="s">
        <v>1127</v>
      </c>
      <c r="MAW347" s="444">
        <v>6</v>
      </c>
      <c r="MAX347" s="444" t="s">
        <v>1127</v>
      </c>
      <c r="MAY347" s="444">
        <v>6</v>
      </c>
      <c r="MAZ347" s="444" t="s">
        <v>1127</v>
      </c>
      <c r="MBA347" s="444">
        <v>6</v>
      </c>
      <c r="MBB347" s="444" t="s">
        <v>1127</v>
      </c>
      <c r="MBC347" s="444">
        <v>6</v>
      </c>
      <c r="MBD347" s="444" t="s">
        <v>1127</v>
      </c>
      <c r="MBE347" s="444">
        <v>6</v>
      </c>
      <c r="MBF347" s="444" t="s">
        <v>1127</v>
      </c>
      <c r="MBG347" s="444">
        <v>6</v>
      </c>
      <c r="MBH347" s="444" t="s">
        <v>1127</v>
      </c>
      <c r="MBI347" s="444">
        <v>6</v>
      </c>
      <c r="MBJ347" s="444" t="s">
        <v>1127</v>
      </c>
      <c r="MBK347" s="444">
        <v>6</v>
      </c>
      <c r="MBL347" s="444" t="s">
        <v>1127</v>
      </c>
      <c r="MBM347" s="444">
        <v>6</v>
      </c>
      <c r="MBN347" s="444" t="s">
        <v>1127</v>
      </c>
      <c r="MBO347" s="444">
        <v>6</v>
      </c>
      <c r="MBP347" s="444" t="s">
        <v>1127</v>
      </c>
      <c r="MBQ347" s="444">
        <v>6</v>
      </c>
      <c r="MBR347" s="444" t="s">
        <v>1127</v>
      </c>
      <c r="MBS347" s="444">
        <v>6</v>
      </c>
      <c r="MBT347" s="444" t="s">
        <v>1127</v>
      </c>
      <c r="MBU347" s="444">
        <v>6</v>
      </c>
      <c r="MBV347" s="444" t="s">
        <v>1127</v>
      </c>
      <c r="MBW347" s="444">
        <v>6</v>
      </c>
      <c r="MBX347" s="444" t="s">
        <v>1127</v>
      </c>
      <c r="MBY347" s="444">
        <v>6</v>
      </c>
      <c r="MBZ347" s="444" t="s">
        <v>1127</v>
      </c>
      <c r="MCA347" s="444">
        <v>6</v>
      </c>
      <c r="MCB347" s="444" t="s">
        <v>1127</v>
      </c>
      <c r="MCC347" s="444">
        <v>6</v>
      </c>
      <c r="MCD347" s="444" t="s">
        <v>1127</v>
      </c>
      <c r="MCE347" s="444">
        <v>6</v>
      </c>
      <c r="MCF347" s="444" t="s">
        <v>1127</v>
      </c>
      <c r="MCG347" s="444">
        <v>6</v>
      </c>
      <c r="MCH347" s="444" t="s">
        <v>1127</v>
      </c>
      <c r="MCI347" s="444">
        <v>6</v>
      </c>
      <c r="MCJ347" s="444" t="s">
        <v>1127</v>
      </c>
      <c r="MCK347" s="444">
        <v>6</v>
      </c>
      <c r="MCL347" s="444" t="s">
        <v>1127</v>
      </c>
      <c r="MCM347" s="444">
        <v>6</v>
      </c>
      <c r="MCN347" s="444" t="s">
        <v>1127</v>
      </c>
      <c r="MCO347" s="444">
        <v>6</v>
      </c>
      <c r="MCP347" s="444" t="s">
        <v>1127</v>
      </c>
      <c r="MCQ347" s="444">
        <v>6</v>
      </c>
      <c r="MCR347" s="444" t="s">
        <v>1127</v>
      </c>
      <c r="MCS347" s="444">
        <v>6</v>
      </c>
      <c r="MCT347" s="444" t="s">
        <v>1127</v>
      </c>
      <c r="MCU347" s="444">
        <v>6</v>
      </c>
      <c r="MCV347" s="444" t="s">
        <v>1127</v>
      </c>
      <c r="MCW347" s="444">
        <v>6</v>
      </c>
      <c r="MCX347" s="444" t="s">
        <v>1127</v>
      </c>
      <c r="MCY347" s="444">
        <v>6</v>
      </c>
      <c r="MCZ347" s="444" t="s">
        <v>1127</v>
      </c>
      <c r="MDA347" s="444">
        <v>6</v>
      </c>
      <c r="MDB347" s="444" t="s">
        <v>1127</v>
      </c>
      <c r="MDC347" s="444">
        <v>6</v>
      </c>
      <c r="MDD347" s="444" t="s">
        <v>1127</v>
      </c>
      <c r="MDE347" s="444">
        <v>6</v>
      </c>
      <c r="MDF347" s="444" t="s">
        <v>1127</v>
      </c>
      <c r="MDG347" s="444">
        <v>6</v>
      </c>
      <c r="MDH347" s="444" t="s">
        <v>1127</v>
      </c>
      <c r="MDI347" s="444">
        <v>6</v>
      </c>
      <c r="MDJ347" s="444" t="s">
        <v>1127</v>
      </c>
      <c r="MDK347" s="444">
        <v>6</v>
      </c>
      <c r="MDL347" s="444" t="s">
        <v>1127</v>
      </c>
      <c r="MDM347" s="444">
        <v>6</v>
      </c>
      <c r="MDN347" s="444" t="s">
        <v>1127</v>
      </c>
      <c r="MDO347" s="444">
        <v>6</v>
      </c>
      <c r="MDP347" s="444" t="s">
        <v>1127</v>
      </c>
      <c r="MDQ347" s="444">
        <v>6</v>
      </c>
      <c r="MDR347" s="444" t="s">
        <v>1127</v>
      </c>
      <c r="MDS347" s="444">
        <v>6</v>
      </c>
      <c r="MDT347" s="444" t="s">
        <v>1127</v>
      </c>
      <c r="MDU347" s="444">
        <v>6</v>
      </c>
      <c r="MDV347" s="444" t="s">
        <v>1127</v>
      </c>
      <c r="MDW347" s="444">
        <v>6</v>
      </c>
      <c r="MDX347" s="444" t="s">
        <v>1127</v>
      </c>
      <c r="MDY347" s="444">
        <v>6</v>
      </c>
      <c r="MDZ347" s="444" t="s">
        <v>1127</v>
      </c>
      <c r="MEA347" s="444">
        <v>6</v>
      </c>
      <c r="MEB347" s="444" t="s">
        <v>1127</v>
      </c>
      <c r="MEC347" s="444">
        <v>6</v>
      </c>
      <c r="MED347" s="444" t="s">
        <v>1127</v>
      </c>
      <c r="MEE347" s="444">
        <v>6</v>
      </c>
      <c r="MEF347" s="444" t="s">
        <v>1127</v>
      </c>
      <c r="MEG347" s="444">
        <v>6</v>
      </c>
      <c r="MEH347" s="444" t="s">
        <v>1127</v>
      </c>
      <c r="MEI347" s="444">
        <v>6</v>
      </c>
      <c r="MEJ347" s="444" t="s">
        <v>1127</v>
      </c>
      <c r="MEK347" s="444">
        <v>6</v>
      </c>
      <c r="MEL347" s="444" t="s">
        <v>1127</v>
      </c>
      <c r="MEM347" s="444">
        <v>6</v>
      </c>
      <c r="MEN347" s="444" t="s">
        <v>1127</v>
      </c>
      <c r="MEO347" s="444">
        <v>6</v>
      </c>
      <c r="MEP347" s="444" t="s">
        <v>1127</v>
      </c>
      <c r="MEQ347" s="444">
        <v>6</v>
      </c>
      <c r="MER347" s="444" t="s">
        <v>1127</v>
      </c>
      <c r="MES347" s="444">
        <v>6</v>
      </c>
      <c r="MET347" s="444" t="s">
        <v>1127</v>
      </c>
      <c r="MEU347" s="444">
        <v>6</v>
      </c>
      <c r="MEV347" s="444" t="s">
        <v>1127</v>
      </c>
      <c r="MEW347" s="444">
        <v>6</v>
      </c>
      <c r="MEX347" s="444" t="s">
        <v>1127</v>
      </c>
      <c r="MEY347" s="444">
        <v>6</v>
      </c>
      <c r="MEZ347" s="444" t="s">
        <v>1127</v>
      </c>
      <c r="MFA347" s="444">
        <v>6</v>
      </c>
      <c r="MFB347" s="444" t="s">
        <v>1127</v>
      </c>
      <c r="MFC347" s="444">
        <v>6</v>
      </c>
      <c r="MFD347" s="444" t="s">
        <v>1127</v>
      </c>
      <c r="MFE347" s="444">
        <v>6</v>
      </c>
      <c r="MFF347" s="444" t="s">
        <v>1127</v>
      </c>
      <c r="MFG347" s="444">
        <v>6</v>
      </c>
      <c r="MFH347" s="444" t="s">
        <v>1127</v>
      </c>
      <c r="MFI347" s="444">
        <v>6</v>
      </c>
      <c r="MFJ347" s="444" t="s">
        <v>1127</v>
      </c>
      <c r="MFK347" s="444">
        <v>6</v>
      </c>
      <c r="MFL347" s="444" t="s">
        <v>1127</v>
      </c>
      <c r="MFM347" s="444">
        <v>6</v>
      </c>
      <c r="MFN347" s="444" t="s">
        <v>1127</v>
      </c>
      <c r="MFO347" s="444">
        <v>6</v>
      </c>
      <c r="MFP347" s="444" t="s">
        <v>1127</v>
      </c>
      <c r="MFQ347" s="444">
        <v>6</v>
      </c>
      <c r="MFR347" s="444" t="s">
        <v>1127</v>
      </c>
      <c r="MFS347" s="444">
        <v>6</v>
      </c>
      <c r="MFT347" s="444" t="s">
        <v>1127</v>
      </c>
      <c r="MFU347" s="444">
        <v>6</v>
      </c>
      <c r="MFV347" s="444" t="s">
        <v>1127</v>
      </c>
      <c r="MFW347" s="444">
        <v>6</v>
      </c>
      <c r="MFX347" s="444" t="s">
        <v>1127</v>
      </c>
      <c r="MFY347" s="444">
        <v>6</v>
      </c>
      <c r="MFZ347" s="444" t="s">
        <v>1127</v>
      </c>
      <c r="MGA347" s="444">
        <v>6</v>
      </c>
      <c r="MGB347" s="444" t="s">
        <v>1127</v>
      </c>
      <c r="MGC347" s="444">
        <v>6</v>
      </c>
      <c r="MGD347" s="444" t="s">
        <v>1127</v>
      </c>
      <c r="MGE347" s="444">
        <v>6</v>
      </c>
      <c r="MGF347" s="444" t="s">
        <v>1127</v>
      </c>
      <c r="MGG347" s="444">
        <v>6</v>
      </c>
      <c r="MGH347" s="444" t="s">
        <v>1127</v>
      </c>
      <c r="MGI347" s="444">
        <v>6</v>
      </c>
      <c r="MGJ347" s="444" t="s">
        <v>1127</v>
      </c>
      <c r="MGK347" s="444">
        <v>6</v>
      </c>
      <c r="MGL347" s="444" t="s">
        <v>1127</v>
      </c>
      <c r="MGM347" s="444">
        <v>6</v>
      </c>
      <c r="MGN347" s="444" t="s">
        <v>1127</v>
      </c>
      <c r="MGO347" s="444">
        <v>6</v>
      </c>
      <c r="MGP347" s="444" t="s">
        <v>1127</v>
      </c>
      <c r="MGQ347" s="444">
        <v>6</v>
      </c>
      <c r="MGR347" s="444" t="s">
        <v>1127</v>
      </c>
      <c r="MGS347" s="444">
        <v>6</v>
      </c>
      <c r="MGT347" s="444" t="s">
        <v>1127</v>
      </c>
      <c r="MGU347" s="444">
        <v>6</v>
      </c>
      <c r="MGV347" s="444" t="s">
        <v>1127</v>
      </c>
      <c r="MGW347" s="444">
        <v>6</v>
      </c>
      <c r="MGX347" s="444" t="s">
        <v>1127</v>
      </c>
      <c r="MGY347" s="444">
        <v>6</v>
      </c>
      <c r="MGZ347" s="444" t="s">
        <v>1127</v>
      </c>
      <c r="MHA347" s="444">
        <v>6</v>
      </c>
      <c r="MHB347" s="444" t="s">
        <v>1127</v>
      </c>
      <c r="MHC347" s="444">
        <v>6</v>
      </c>
      <c r="MHD347" s="444" t="s">
        <v>1127</v>
      </c>
      <c r="MHE347" s="444">
        <v>6</v>
      </c>
      <c r="MHF347" s="444" t="s">
        <v>1127</v>
      </c>
      <c r="MHG347" s="444">
        <v>6</v>
      </c>
      <c r="MHH347" s="444" t="s">
        <v>1127</v>
      </c>
      <c r="MHI347" s="444">
        <v>6</v>
      </c>
      <c r="MHJ347" s="444" t="s">
        <v>1127</v>
      </c>
      <c r="MHK347" s="444">
        <v>6</v>
      </c>
      <c r="MHL347" s="444" t="s">
        <v>1127</v>
      </c>
      <c r="MHM347" s="444">
        <v>6</v>
      </c>
      <c r="MHN347" s="444" t="s">
        <v>1127</v>
      </c>
      <c r="MHO347" s="444">
        <v>6</v>
      </c>
      <c r="MHP347" s="444" t="s">
        <v>1127</v>
      </c>
      <c r="MHQ347" s="444">
        <v>6</v>
      </c>
      <c r="MHR347" s="444" t="s">
        <v>1127</v>
      </c>
      <c r="MHS347" s="444">
        <v>6</v>
      </c>
      <c r="MHT347" s="444" t="s">
        <v>1127</v>
      </c>
      <c r="MHU347" s="444">
        <v>6</v>
      </c>
      <c r="MHV347" s="444" t="s">
        <v>1127</v>
      </c>
      <c r="MHW347" s="444">
        <v>6</v>
      </c>
      <c r="MHX347" s="444" t="s">
        <v>1127</v>
      </c>
      <c r="MHY347" s="444">
        <v>6</v>
      </c>
      <c r="MHZ347" s="444" t="s">
        <v>1127</v>
      </c>
      <c r="MIA347" s="444">
        <v>6</v>
      </c>
      <c r="MIB347" s="444" t="s">
        <v>1127</v>
      </c>
      <c r="MIC347" s="444">
        <v>6</v>
      </c>
      <c r="MID347" s="444" t="s">
        <v>1127</v>
      </c>
      <c r="MIE347" s="444">
        <v>6</v>
      </c>
      <c r="MIF347" s="444" t="s">
        <v>1127</v>
      </c>
      <c r="MIG347" s="444">
        <v>6</v>
      </c>
      <c r="MIH347" s="444" t="s">
        <v>1127</v>
      </c>
      <c r="MII347" s="444">
        <v>6</v>
      </c>
      <c r="MIJ347" s="444" t="s">
        <v>1127</v>
      </c>
      <c r="MIK347" s="444">
        <v>6</v>
      </c>
      <c r="MIL347" s="444" t="s">
        <v>1127</v>
      </c>
      <c r="MIM347" s="444">
        <v>6</v>
      </c>
      <c r="MIN347" s="444" t="s">
        <v>1127</v>
      </c>
      <c r="MIO347" s="444">
        <v>6</v>
      </c>
      <c r="MIP347" s="444" t="s">
        <v>1127</v>
      </c>
      <c r="MIQ347" s="444">
        <v>6</v>
      </c>
      <c r="MIR347" s="444" t="s">
        <v>1127</v>
      </c>
      <c r="MIS347" s="444">
        <v>6</v>
      </c>
      <c r="MIT347" s="444" t="s">
        <v>1127</v>
      </c>
      <c r="MIU347" s="444">
        <v>6</v>
      </c>
      <c r="MIV347" s="444" t="s">
        <v>1127</v>
      </c>
      <c r="MIW347" s="444">
        <v>6</v>
      </c>
      <c r="MIX347" s="444" t="s">
        <v>1127</v>
      </c>
      <c r="MIY347" s="444">
        <v>6</v>
      </c>
      <c r="MIZ347" s="444" t="s">
        <v>1127</v>
      </c>
      <c r="MJA347" s="444">
        <v>6</v>
      </c>
      <c r="MJB347" s="444" t="s">
        <v>1127</v>
      </c>
      <c r="MJC347" s="444">
        <v>6</v>
      </c>
      <c r="MJD347" s="444" t="s">
        <v>1127</v>
      </c>
      <c r="MJE347" s="444">
        <v>6</v>
      </c>
      <c r="MJF347" s="444" t="s">
        <v>1127</v>
      </c>
      <c r="MJG347" s="444">
        <v>6</v>
      </c>
      <c r="MJH347" s="444" t="s">
        <v>1127</v>
      </c>
      <c r="MJI347" s="444">
        <v>6</v>
      </c>
      <c r="MJJ347" s="444" t="s">
        <v>1127</v>
      </c>
      <c r="MJK347" s="444">
        <v>6</v>
      </c>
      <c r="MJL347" s="444" t="s">
        <v>1127</v>
      </c>
      <c r="MJM347" s="444">
        <v>6</v>
      </c>
      <c r="MJN347" s="444" t="s">
        <v>1127</v>
      </c>
      <c r="MJO347" s="444">
        <v>6</v>
      </c>
      <c r="MJP347" s="444" t="s">
        <v>1127</v>
      </c>
      <c r="MJQ347" s="444">
        <v>6</v>
      </c>
      <c r="MJR347" s="444" t="s">
        <v>1127</v>
      </c>
      <c r="MJS347" s="444">
        <v>6</v>
      </c>
      <c r="MJT347" s="444" t="s">
        <v>1127</v>
      </c>
      <c r="MJU347" s="444">
        <v>6</v>
      </c>
      <c r="MJV347" s="444" t="s">
        <v>1127</v>
      </c>
      <c r="MJW347" s="444">
        <v>6</v>
      </c>
      <c r="MJX347" s="444" t="s">
        <v>1127</v>
      </c>
      <c r="MJY347" s="444">
        <v>6</v>
      </c>
      <c r="MJZ347" s="444" t="s">
        <v>1127</v>
      </c>
      <c r="MKA347" s="444">
        <v>6</v>
      </c>
      <c r="MKB347" s="444" t="s">
        <v>1127</v>
      </c>
      <c r="MKC347" s="444">
        <v>6</v>
      </c>
      <c r="MKD347" s="444" t="s">
        <v>1127</v>
      </c>
      <c r="MKE347" s="444">
        <v>6</v>
      </c>
      <c r="MKF347" s="444" t="s">
        <v>1127</v>
      </c>
      <c r="MKG347" s="444">
        <v>6</v>
      </c>
      <c r="MKH347" s="444" t="s">
        <v>1127</v>
      </c>
      <c r="MKI347" s="444">
        <v>6</v>
      </c>
      <c r="MKJ347" s="444" t="s">
        <v>1127</v>
      </c>
      <c r="MKK347" s="444">
        <v>6</v>
      </c>
      <c r="MKL347" s="444" t="s">
        <v>1127</v>
      </c>
      <c r="MKM347" s="444">
        <v>6</v>
      </c>
      <c r="MKN347" s="444" t="s">
        <v>1127</v>
      </c>
      <c r="MKO347" s="444">
        <v>6</v>
      </c>
      <c r="MKP347" s="444" t="s">
        <v>1127</v>
      </c>
      <c r="MKQ347" s="444">
        <v>6</v>
      </c>
      <c r="MKR347" s="444" t="s">
        <v>1127</v>
      </c>
      <c r="MKS347" s="444">
        <v>6</v>
      </c>
      <c r="MKT347" s="444" t="s">
        <v>1127</v>
      </c>
      <c r="MKU347" s="444">
        <v>6</v>
      </c>
      <c r="MKV347" s="444" t="s">
        <v>1127</v>
      </c>
      <c r="MKW347" s="444">
        <v>6</v>
      </c>
      <c r="MKX347" s="444" t="s">
        <v>1127</v>
      </c>
      <c r="MKY347" s="444">
        <v>6</v>
      </c>
      <c r="MKZ347" s="444" t="s">
        <v>1127</v>
      </c>
      <c r="MLA347" s="444">
        <v>6</v>
      </c>
      <c r="MLB347" s="444" t="s">
        <v>1127</v>
      </c>
      <c r="MLC347" s="444">
        <v>6</v>
      </c>
      <c r="MLD347" s="444" t="s">
        <v>1127</v>
      </c>
      <c r="MLE347" s="444">
        <v>6</v>
      </c>
      <c r="MLF347" s="444" t="s">
        <v>1127</v>
      </c>
      <c r="MLG347" s="444">
        <v>6</v>
      </c>
      <c r="MLH347" s="444" t="s">
        <v>1127</v>
      </c>
      <c r="MLI347" s="444">
        <v>6</v>
      </c>
      <c r="MLJ347" s="444" t="s">
        <v>1127</v>
      </c>
      <c r="MLK347" s="444">
        <v>6</v>
      </c>
      <c r="MLL347" s="444" t="s">
        <v>1127</v>
      </c>
      <c r="MLM347" s="444">
        <v>6</v>
      </c>
      <c r="MLN347" s="444" t="s">
        <v>1127</v>
      </c>
      <c r="MLO347" s="444">
        <v>6</v>
      </c>
      <c r="MLP347" s="444" t="s">
        <v>1127</v>
      </c>
      <c r="MLQ347" s="444">
        <v>6</v>
      </c>
      <c r="MLR347" s="444" t="s">
        <v>1127</v>
      </c>
      <c r="MLS347" s="444">
        <v>6</v>
      </c>
      <c r="MLT347" s="444" t="s">
        <v>1127</v>
      </c>
      <c r="MLU347" s="444">
        <v>6</v>
      </c>
      <c r="MLV347" s="444" t="s">
        <v>1127</v>
      </c>
      <c r="MLW347" s="444">
        <v>6</v>
      </c>
      <c r="MLX347" s="444" t="s">
        <v>1127</v>
      </c>
      <c r="MLY347" s="444">
        <v>6</v>
      </c>
      <c r="MLZ347" s="444" t="s">
        <v>1127</v>
      </c>
      <c r="MMA347" s="444">
        <v>6</v>
      </c>
      <c r="MMB347" s="444" t="s">
        <v>1127</v>
      </c>
      <c r="MMC347" s="444">
        <v>6</v>
      </c>
      <c r="MMD347" s="444" t="s">
        <v>1127</v>
      </c>
      <c r="MME347" s="444">
        <v>6</v>
      </c>
      <c r="MMF347" s="444" t="s">
        <v>1127</v>
      </c>
      <c r="MMG347" s="444">
        <v>6</v>
      </c>
      <c r="MMH347" s="444" t="s">
        <v>1127</v>
      </c>
      <c r="MMI347" s="444">
        <v>6</v>
      </c>
      <c r="MMJ347" s="444" t="s">
        <v>1127</v>
      </c>
      <c r="MMK347" s="444">
        <v>6</v>
      </c>
      <c r="MML347" s="444" t="s">
        <v>1127</v>
      </c>
      <c r="MMM347" s="444">
        <v>6</v>
      </c>
      <c r="MMN347" s="444" t="s">
        <v>1127</v>
      </c>
      <c r="MMO347" s="444">
        <v>6</v>
      </c>
      <c r="MMP347" s="444" t="s">
        <v>1127</v>
      </c>
      <c r="MMQ347" s="444">
        <v>6</v>
      </c>
      <c r="MMR347" s="444" t="s">
        <v>1127</v>
      </c>
      <c r="MMS347" s="444">
        <v>6</v>
      </c>
      <c r="MMT347" s="444" t="s">
        <v>1127</v>
      </c>
      <c r="MMU347" s="444">
        <v>6</v>
      </c>
      <c r="MMV347" s="444" t="s">
        <v>1127</v>
      </c>
      <c r="MMW347" s="444">
        <v>6</v>
      </c>
      <c r="MMX347" s="444" t="s">
        <v>1127</v>
      </c>
      <c r="MMY347" s="444">
        <v>6</v>
      </c>
      <c r="MMZ347" s="444" t="s">
        <v>1127</v>
      </c>
      <c r="MNA347" s="444">
        <v>6</v>
      </c>
      <c r="MNB347" s="444" t="s">
        <v>1127</v>
      </c>
      <c r="MNC347" s="444">
        <v>6</v>
      </c>
      <c r="MND347" s="444" t="s">
        <v>1127</v>
      </c>
      <c r="MNE347" s="444">
        <v>6</v>
      </c>
      <c r="MNF347" s="444" t="s">
        <v>1127</v>
      </c>
      <c r="MNG347" s="444">
        <v>6</v>
      </c>
      <c r="MNH347" s="444" t="s">
        <v>1127</v>
      </c>
      <c r="MNI347" s="444">
        <v>6</v>
      </c>
      <c r="MNJ347" s="444" t="s">
        <v>1127</v>
      </c>
      <c r="MNK347" s="444">
        <v>6</v>
      </c>
      <c r="MNL347" s="444" t="s">
        <v>1127</v>
      </c>
      <c r="MNM347" s="444">
        <v>6</v>
      </c>
      <c r="MNN347" s="444" t="s">
        <v>1127</v>
      </c>
      <c r="MNO347" s="444">
        <v>6</v>
      </c>
      <c r="MNP347" s="444" t="s">
        <v>1127</v>
      </c>
      <c r="MNQ347" s="444">
        <v>6</v>
      </c>
      <c r="MNR347" s="444" t="s">
        <v>1127</v>
      </c>
      <c r="MNS347" s="444">
        <v>6</v>
      </c>
      <c r="MNT347" s="444" t="s">
        <v>1127</v>
      </c>
      <c r="MNU347" s="444">
        <v>6</v>
      </c>
      <c r="MNV347" s="444" t="s">
        <v>1127</v>
      </c>
      <c r="MNW347" s="444">
        <v>6</v>
      </c>
      <c r="MNX347" s="444" t="s">
        <v>1127</v>
      </c>
      <c r="MNY347" s="444">
        <v>6</v>
      </c>
      <c r="MNZ347" s="444" t="s">
        <v>1127</v>
      </c>
      <c r="MOA347" s="444">
        <v>6</v>
      </c>
      <c r="MOB347" s="444" t="s">
        <v>1127</v>
      </c>
      <c r="MOC347" s="444">
        <v>6</v>
      </c>
      <c r="MOD347" s="444" t="s">
        <v>1127</v>
      </c>
      <c r="MOE347" s="444">
        <v>6</v>
      </c>
      <c r="MOF347" s="444" t="s">
        <v>1127</v>
      </c>
      <c r="MOG347" s="444">
        <v>6</v>
      </c>
      <c r="MOH347" s="444" t="s">
        <v>1127</v>
      </c>
      <c r="MOI347" s="444">
        <v>6</v>
      </c>
      <c r="MOJ347" s="444" t="s">
        <v>1127</v>
      </c>
      <c r="MOK347" s="444">
        <v>6</v>
      </c>
      <c r="MOL347" s="444" t="s">
        <v>1127</v>
      </c>
      <c r="MOM347" s="444">
        <v>6</v>
      </c>
      <c r="MON347" s="444" t="s">
        <v>1127</v>
      </c>
      <c r="MOO347" s="444">
        <v>6</v>
      </c>
      <c r="MOP347" s="444" t="s">
        <v>1127</v>
      </c>
      <c r="MOQ347" s="444">
        <v>6</v>
      </c>
      <c r="MOR347" s="444" t="s">
        <v>1127</v>
      </c>
      <c r="MOS347" s="444">
        <v>6</v>
      </c>
      <c r="MOT347" s="444" t="s">
        <v>1127</v>
      </c>
      <c r="MOU347" s="444">
        <v>6</v>
      </c>
      <c r="MOV347" s="444" t="s">
        <v>1127</v>
      </c>
      <c r="MOW347" s="444">
        <v>6</v>
      </c>
      <c r="MOX347" s="444" t="s">
        <v>1127</v>
      </c>
      <c r="MOY347" s="444">
        <v>6</v>
      </c>
      <c r="MOZ347" s="444" t="s">
        <v>1127</v>
      </c>
      <c r="MPA347" s="444">
        <v>6</v>
      </c>
      <c r="MPB347" s="444" t="s">
        <v>1127</v>
      </c>
      <c r="MPC347" s="444">
        <v>6</v>
      </c>
      <c r="MPD347" s="444" t="s">
        <v>1127</v>
      </c>
      <c r="MPE347" s="444">
        <v>6</v>
      </c>
      <c r="MPF347" s="444" t="s">
        <v>1127</v>
      </c>
      <c r="MPG347" s="444">
        <v>6</v>
      </c>
      <c r="MPH347" s="444" t="s">
        <v>1127</v>
      </c>
      <c r="MPI347" s="444">
        <v>6</v>
      </c>
      <c r="MPJ347" s="444" t="s">
        <v>1127</v>
      </c>
      <c r="MPK347" s="444">
        <v>6</v>
      </c>
      <c r="MPL347" s="444" t="s">
        <v>1127</v>
      </c>
      <c r="MPM347" s="444">
        <v>6</v>
      </c>
      <c r="MPN347" s="444" t="s">
        <v>1127</v>
      </c>
      <c r="MPO347" s="444">
        <v>6</v>
      </c>
      <c r="MPP347" s="444" t="s">
        <v>1127</v>
      </c>
      <c r="MPQ347" s="444">
        <v>6</v>
      </c>
      <c r="MPR347" s="444" t="s">
        <v>1127</v>
      </c>
      <c r="MPS347" s="444">
        <v>6</v>
      </c>
      <c r="MPT347" s="444" t="s">
        <v>1127</v>
      </c>
      <c r="MPU347" s="444">
        <v>6</v>
      </c>
      <c r="MPV347" s="444" t="s">
        <v>1127</v>
      </c>
      <c r="MPW347" s="444">
        <v>6</v>
      </c>
      <c r="MPX347" s="444" t="s">
        <v>1127</v>
      </c>
      <c r="MPY347" s="444">
        <v>6</v>
      </c>
      <c r="MPZ347" s="444" t="s">
        <v>1127</v>
      </c>
      <c r="MQA347" s="444">
        <v>6</v>
      </c>
      <c r="MQB347" s="444" t="s">
        <v>1127</v>
      </c>
      <c r="MQC347" s="444">
        <v>6</v>
      </c>
      <c r="MQD347" s="444" t="s">
        <v>1127</v>
      </c>
      <c r="MQE347" s="444">
        <v>6</v>
      </c>
      <c r="MQF347" s="444" t="s">
        <v>1127</v>
      </c>
      <c r="MQG347" s="444">
        <v>6</v>
      </c>
      <c r="MQH347" s="444" t="s">
        <v>1127</v>
      </c>
      <c r="MQI347" s="444">
        <v>6</v>
      </c>
      <c r="MQJ347" s="444" t="s">
        <v>1127</v>
      </c>
      <c r="MQK347" s="444">
        <v>6</v>
      </c>
      <c r="MQL347" s="444" t="s">
        <v>1127</v>
      </c>
      <c r="MQM347" s="444">
        <v>6</v>
      </c>
      <c r="MQN347" s="444" t="s">
        <v>1127</v>
      </c>
      <c r="MQO347" s="444">
        <v>6</v>
      </c>
      <c r="MQP347" s="444" t="s">
        <v>1127</v>
      </c>
      <c r="MQQ347" s="444">
        <v>6</v>
      </c>
      <c r="MQR347" s="444" t="s">
        <v>1127</v>
      </c>
      <c r="MQS347" s="444">
        <v>6</v>
      </c>
      <c r="MQT347" s="444" t="s">
        <v>1127</v>
      </c>
      <c r="MQU347" s="444">
        <v>6</v>
      </c>
      <c r="MQV347" s="444" t="s">
        <v>1127</v>
      </c>
      <c r="MQW347" s="444">
        <v>6</v>
      </c>
      <c r="MQX347" s="444" t="s">
        <v>1127</v>
      </c>
      <c r="MQY347" s="444">
        <v>6</v>
      </c>
      <c r="MQZ347" s="444" t="s">
        <v>1127</v>
      </c>
      <c r="MRA347" s="444">
        <v>6</v>
      </c>
      <c r="MRB347" s="444" t="s">
        <v>1127</v>
      </c>
      <c r="MRC347" s="444">
        <v>6</v>
      </c>
      <c r="MRD347" s="444" t="s">
        <v>1127</v>
      </c>
      <c r="MRE347" s="444">
        <v>6</v>
      </c>
      <c r="MRF347" s="444" t="s">
        <v>1127</v>
      </c>
      <c r="MRG347" s="444">
        <v>6</v>
      </c>
      <c r="MRH347" s="444" t="s">
        <v>1127</v>
      </c>
      <c r="MRI347" s="444">
        <v>6</v>
      </c>
      <c r="MRJ347" s="444" t="s">
        <v>1127</v>
      </c>
      <c r="MRK347" s="444">
        <v>6</v>
      </c>
      <c r="MRL347" s="444" t="s">
        <v>1127</v>
      </c>
      <c r="MRM347" s="444">
        <v>6</v>
      </c>
      <c r="MRN347" s="444" t="s">
        <v>1127</v>
      </c>
      <c r="MRO347" s="444">
        <v>6</v>
      </c>
      <c r="MRP347" s="444" t="s">
        <v>1127</v>
      </c>
      <c r="MRQ347" s="444">
        <v>6</v>
      </c>
      <c r="MRR347" s="444" t="s">
        <v>1127</v>
      </c>
      <c r="MRS347" s="444">
        <v>6</v>
      </c>
      <c r="MRT347" s="444" t="s">
        <v>1127</v>
      </c>
      <c r="MRU347" s="444">
        <v>6</v>
      </c>
      <c r="MRV347" s="444" t="s">
        <v>1127</v>
      </c>
      <c r="MRW347" s="444">
        <v>6</v>
      </c>
      <c r="MRX347" s="444" t="s">
        <v>1127</v>
      </c>
      <c r="MRY347" s="444">
        <v>6</v>
      </c>
      <c r="MRZ347" s="444" t="s">
        <v>1127</v>
      </c>
      <c r="MSA347" s="444">
        <v>6</v>
      </c>
      <c r="MSB347" s="444" t="s">
        <v>1127</v>
      </c>
      <c r="MSC347" s="444">
        <v>6</v>
      </c>
      <c r="MSD347" s="444" t="s">
        <v>1127</v>
      </c>
      <c r="MSE347" s="444">
        <v>6</v>
      </c>
      <c r="MSF347" s="444" t="s">
        <v>1127</v>
      </c>
      <c r="MSG347" s="444">
        <v>6</v>
      </c>
      <c r="MSH347" s="444" t="s">
        <v>1127</v>
      </c>
      <c r="MSI347" s="444">
        <v>6</v>
      </c>
      <c r="MSJ347" s="444" t="s">
        <v>1127</v>
      </c>
      <c r="MSK347" s="444">
        <v>6</v>
      </c>
      <c r="MSL347" s="444" t="s">
        <v>1127</v>
      </c>
      <c r="MSM347" s="444">
        <v>6</v>
      </c>
      <c r="MSN347" s="444" t="s">
        <v>1127</v>
      </c>
      <c r="MSO347" s="444">
        <v>6</v>
      </c>
      <c r="MSP347" s="444" t="s">
        <v>1127</v>
      </c>
      <c r="MSQ347" s="444">
        <v>6</v>
      </c>
      <c r="MSR347" s="444" t="s">
        <v>1127</v>
      </c>
      <c r="MSS347" s="444">
        <v>6</v>
      </c>
      <c r="MST347" s="444" t="s">
        <v>1127</v>
      </c>
      <c r="MSU347" s="444">
        <v>6</v>
      </c>
      <c r="MSV347" s="444" t="s">
        <v>1127</v>
      </c>
      <c r="MSW347" s="444">
        <v>6</v>
      </c>
      <c r="MSX347" s="444" t="s">
        <v>1127</v>
      </c>
      <c r="MSY347" s="444">
        <v>6</v>
      </c>
      <c r="MSZ347" s="444" t="s">
        <v>1127</v>
      </c>
      <c r="MTA347" s="444">
        <v>6</v>
      </c>
      <c r="MTB347" s="444" t="s">
        <v>1127</v>
      </c>
      <c r="MTC347" s="444">
        <v>6</v>
      </c>
      <c r="MTD347" s="444" t="s">
        <v>1127</v>
      </c>
      <c r="MTE347" s="444">
        <v>6</v>
      </c>
      <c r="MTF347" s="444" t="s">
        <v>1127</v>
      </c>
      <c r="MTG347" s="444">
        <v>6</v>
      </c>
      <c r="MTH347" s="444" t="s">
        <v>1127</v>
      </c>
      <c r="MTI347" s="444">
        <v>6</v>
      </c>
      <c r="MTJ347" s="444" t="s">
        <v>1127</v>
      </c>
      <c r="MTK347" s="444">
        <v>6</v>
      </c>
      <c r="MTL347" s="444" t="s">
        <v>1127</v>
      </c>
      <c r="MTM347" s="444">
        <v>6</v>
      </c>
      <c r="MTN347" s="444" t="s">
        <v>1127</v>
      </c>
      <c r="MTO347" s="444">
        <v>6</v>
      </c>
      <c r="MTP347" s="444" t="s">
        <v>1127</v>
      </c>
      <c r="MTQ347" s="444">
        <v>6</v>
      </c>
      <c r="MTR347" s="444" t="s">
        <v>1127</v>
      </c>
      <c r="MTS347" s="444">
        <v>6</v>
      </c>
      <c r="MTT347" s="444" t="s">
        <v>1127</v>
      </c>
      <c r="MTU347" s="444">
        <v>6</v>
      </c>
      <c r="MTV347" s="444" t="s">
        <v>1127</v>
      </c>
      <c r="MTW347" s="444">
        <v>6</v>
      </c>
      <c r="MTX347" s="444" t="s">
        <v>1127</v>
      </c>
      <c r="MTY347" s="444">
        <v>6</v>
      </c>
      <c r="MTZ347" s="444" t="s">
        <v>1127</v>
      </c>
      <c r="MUA347" s="444">
        <v>6</v>
      </c>
      <c r="MUB347" s="444" t="s">
        <v>1127</v>
      </c>
      <c r="MUC347" s="444">
        <v>6</v>
      </c>
      <c r="MUD347" s="444" t="s">
        <v>1127</v>
      </c>
      <c r="MUE347" s="444">
        <v>6</v>
      </c>
      <c r="MUF347" s="444" t="s">
        <v>1127</v>
      </c>
      <c r="MUG347" s="444">
        <v>6</v>
      </c>
      <c r="MUH347" s="444" t="s">
        <v>1127</v>
      </c>
      <c r="MUI347" s="444">
        <v>6</v>
      </c>
      <c r="MUJ347" s="444" t="s">
        <v>1127</v>
      </c>
      <c r="MUK347" s="444">
        <v>6</v>
      </c>
      <c r="MUL347" s="444" t="s">
        <v>1127</v>
      </c>
      <c r="MUM347" s="444">
        <v>6</v>
      </c>
      <c r="MUN347" s="444" t="s">
        <v>1127</v>
      </c>
      <c r="MUO347" s="444">
        <v>6</v>
      </c>
      <c r="MUP347" s="444" t="s">
        <v>1127</v>
      </c>
      <c r="MUQ347" s="444">
        <v>6</v>
      </c>
      <c r="MUR347" s="444" t="s">
        <v>1127</v>
      </c>
      <c r="MUS347" s="444">
        <v>6</v>
      </c>
      <c r="MUT347" s="444" t="s">
        <v>1127</v>
      </c>
      <c r="MUU347" s="444">
        <v>6</v>
      </c>
      <c r="MUV347" s="444" t="s">
        <v>1127</v>
      </c>
      <c r="MUW347" s="444">
        <v>6</v>
      </c>
      <c r="MUX347" s="444" t="s">
        <v>1127</v>
      </c>
      <c r="MUY347" s="444">
        <v>6</v>
      </c>
      <c r="MUZ347" s="444" t="s">
        <v>1127</v>
      </c>
      <c r="MVA347" s="444">
        <v>6</v>
      </c>
      <c r="MVB347" s="444" t="s">
        <v>1127</v>
      </c>
      <c r="MVC347" s="444">
        <v>6</v>
      </c>
      <c r="MVD347" s="444" t="s">
        <v>1127</v>
      </c>
      <c r="MVE347" s="444">
        <v>6</v>
      </c>
      <c r="MVF347" s="444" t="s">
        <v>1127</v>
      </c>
      <c r="MVG347" s="444">
        <v>6</v>
      </c>
      <c r="MVH347" s="444" t="s">
        <v>1127</v>
      </c>
      <c r="MVI347" s="444">
        <v>6</v>
      </c>
      <c r="MVJ347" s="444" t="s">
        <v>1127</v>
      </c>
      <c r="MVK347" s="444">
        <v>6</v>
      </c>
      <c r="MVL347" s="444" t="s">
        <v>1127</v>
      </c>
      <c r="MVM347" s="444">
        <v>6</v>
      </c>
      <c r="MVN347" s="444" t="s">
        <v>1127</v>
      </c>
      <c r="MVO347" s="444">
        <v>6</v>
      </c>
      <c r="MVP347" s="444" t="s">
        <v>1127</v>
      </c>
      <c r="MVQ347" s="444">
        <v>6</v>
      </c>
      <c r="MVR347" s="444" t="s">
        <v>1127</v>
      </c>
      <c r="MVS347" s="444">
        <v>6</v>
      </c>
      <c r="MVT347" s="444" t="s">
        <v>1127</v>
      </c>
      <c r="MVU347" s="444">
        <v>6</v>
      </c>
      <c r="MVV347" s="444" t="s">
        <v>1127</v>
      </c>
      <c r="MVW347" s="444">
        <v>6</v>
      </c>
      <c r="MVX347" s="444" t="s">
        <v>1127</v>
      </c>
      <c r="MVY347" s="444">
        <v>6</v>
      </c>
      <c r="MVZ347" s="444" t="s">
        <v>1127</v>
      </c>
      <c r="MWA347" s="444">
        <v>6</v>
      </c>
      <c r="MWB347" s="444" t="s">
        <v>1127</v>
      </c>
      <c r="MWC347" s="444">
        <v>6</v>
      </c>
      <c r="MWD347" s="444" t="s">
        <v>1127</v>
      </c>
      <c r="MWE347" s="444">
        <v>6</v>
      </c>
      <c r="MWF347" s="444" t="s">
        <v>1127</v>
      </c>
      <c r="MWG347" s="444">
        <v>6</v>
      </c>
      <c r="MWH347" s="444" t="s">
        <v>1127</v>
      </c>
      <c r="MWI347" s="444">
        <v>6</v>
      </c>
      <c r="MWJ347" s="444" t="s">
        <v>1127</v>
      </c>
      <c r="MWK347" s="444">
        <v>6</v>
      </c>
      <c r="MWL347" s="444" t="s">
        <v>1127</v>
      </c>
      <c r="MWM347" s="444">
        <v>6</v>
      </c>
      <c r="MWN347" s="444" t="s">
        <v>1127</v>
      </c>
      <c r="MWO347" s="444">
        <v>6</v>
      </c>
      <c r="MWP347" s="444" t="s">
        <v>1127</v>
      </c>
      <c r="MWQ347" s="444">
        <v>6</v>
      </c>
      <c r="MWR347" s="444" t="s">
        <v>1127</v>
      </c>
      <c r="MWS347" s="444">
        <v>6</v>
      </c>
      <c r="MWT347" s="444" t="s">
        <v>1127</v>
      </c>
      <c r="MWU347" s="444">
        <v>6</v>
      </c>
      <c r="MWV347" s="444" t="s">
        <v>1127</v>
      </c>
      <c r="MWW347" s="444">
        <v>6</v>
      </c>
      <c r="MWX347" s="444" t="s">
        <v>1127</v>
      </c>
      <c r="MWY347" s="444">
        <v>6</v>
      </c>
      <c r="MWZ347" s="444" t="s">
        <v>1127</v>
      </c>
      <c r="MXA347" s="444">
        <v>6</v>
      </c>
      <c r="MXB347" s="444" t="s">
        <v>1127</v>
      </c>
      <c r="MXC347" s="444">
        <v>6</v>
      </c>
      <c r="MXD347" s="444" t="s">
        <v>1127</v>
      </c>
      <c r="MXE347" s="444">
        <v>6</v>
      </c>
      <c r="MXF347" s="444" t="s">
        <v>1127</v>
      </c>
      <c r="MXG347" s="444">
        <v>6</v>
      </c>
      <c r="MXH347" s="444" t="s">
        <v>1127</v>
      </c>
      <c r="MXI347" s="444">
        <v>6</v>
      </c>
      <c r="MXJ347" s="444" t="s">
        <v>1127</v>
      </c>
      <c r="MXK347" s="444">
        <v>6</v>
      </c>
      <c r="MXL347" s="444" t="s">
        <v>1127</v>
      </c>
      <c r="MXM347" s="444">
        <v>6</v>
      </c>
      <c r="MXN347" s="444" t="s">
        <v>1127</v>
      </c>
      <c r="MXO347" s="444">
        <v>6</v>
      </c>
      <c r="MXP347" s="444" t="s">
        <v>1127</v>
      </c>
      <c r="MXQ347" s="444">
        <v>6</v>
      </c>
      <c r="MXR347" s="444" t="s">
        <v>1127</v>
      </c>
      <c r="MXS347" s="444">
        <v>6</v>
      </c>
      <c r="MXT347" s="444" t="s">
        <v>1127</v>
      </c>
      <c r="MXU347" s="444">
        <v>6</v>
      </c>
      <c r="MXV347" s="444" t="s">
        <v>1127</v>
      </c>
      <c r="MXW347" s="444">
        <v>6</v>
      </c>
      <c r="MXX347" s="444" t="s">
        <v>1127</v>
      </c>
      <c r="MXY347" s="444">
        <v>6</v>
      </c>
      <c r="MXZ347" s="444" t="s">
        <v>1127</v>
      </c>
      <c r="MYA347" s="444">
        <v>6</v>
      </c>
      <c r="MYB347" s="444" t="s">
        <v>1127</v>
      </c>
      <c r="MYC347" s="444">
        <v>6</v>
      </c>
      <c r="MYD347" s="444" t="s">
        <v>1127</v>
      </c>
      <c r="MYE347" s="444">
        <v>6</v>
      </c>
      <c r="MYF347" s="444" t="s">
        <v>1127</v>
      </c>
      <c r="MYG347" s="444">
        <v>6</v>
      </c>
      <c r="MYH347" s="444" t="s">
        <v>1127</v>
      </c>
      <c r="MYI347" s="444">
        <v>6</v>
      </c>
      <c r="MYJ347" s="444" t="s">
        <v>1127</v>
      </c>
      <c r="MYK347" s="444">
        <v>6</v>
      </c>
      <c r="MYL347" s="444" t="s">
        <v>1127</v>
      </c>
      <c r="MYM347" s="444">
        <v>6</v>
      </c>
      <c r="MYN347" s="444" t="s">
        <v>1127</v>
      </c>
      <c r="MYO347" s="444">
        <v>6</v>
      </c>
      <c r="MYP347" s="444" t="s">
        <v>1127</v>
      </c>
      <c r="MYQ347" s="444">
        <v>6</v>
      </c>
      <c r="MYR347" s="444" t="s">
        <v>1127</v>
      </c>
      <c r="MYS347" s="444">
        <v>6</v>
      </c>
      <c r="MYT347" s="444" t="s">
        <v>1127</v>
      </c>
      <c r="MYU347" s="444">
        <v>6</v>
      </c>
      <c r="MYV347" s="444" t="s">
        <v>1127</v>
      </c>
      <c r="MYW347" s="444">
        <v>6</v>
      </c>
      <c r="MYX347" s="444" t="s">
        <v>1127</v>
      </c>
      <c r="MYY347" s="444">
        <v>6</v>
      </c>
      <c r="MYZ347" s="444" t="s">
        <v>1127</v>
      </c>
      <c r="MZA347" s="444">
        <v>6</v>
      </c>
      <c r="MZB347" s="444" t="s">
        <v>1127</v>
      </c>
      <c r="MZC347" s="444">
        <v>6</v>
      </c>
      <c r="MZD347" s="444" t="s">
        <v>1127</v>
      </c>
      <c r="MZE347" s="444">
        <v>6</v>
      </c>
      <c r="MZF347" s="444" t="s">
        <v>1127</v>
      </c>
      <c r="MZG347" s="444">
        <v>6</v>
      </c>
      <c r="MZH347" s="444" t="s">
        <v>1127</v>
      </c>
      <c r="MZI347" s="444">
        <v>6</v>
      </c>
      <c r="MZJ347" s="444" t="s">
        <v>1127</v>
      </c>
      <c r="MZK347" s="444">
        <v>6</v>
      </c>
      <c r="MZL347" s="444" t="s">
        <v>1127</v>
      </c>
      <c r="MZM347" s="444">
        <v>6</v>
      </c>
      <c r="MZN347" s="444" t="s">
        <v>1127</v>
      </c>
      <c r="MZO347" s="444">
        <v>6</v>
      </c>
      <c r="MZP347" s="444" t="s">
        <v>1127</v>
      </c>
      <c r="MZQ347" s="444">
        <v>6</v>
      </c>
      <c r="MZR347" s="444" t="s">
        <v>1127</v>
      </c>
      <c r="MZS347" s="444">
        <v>6</v>
      </c>
      <c r="MZT347" s="444" t="s">
        <v>1127</v>
      </c>
      <c r="MZU347" s="444">
        <v>6</v>
      </c>
      <c r="MZV347" s="444" t="s">
        <v>1127</v>
      </c>
      <c r="MZW347" s="444">
        <v>6</v>
      </c>
      <c r="MZX347" s="444" t="s">
        <v>1127</v>
      </c>
      <c r="MZY347" s="444">
        <v>6</v>
      </c>
      <c r="MZZ347" s="444" t="s">
        <v>1127</v>
      </c>
      <c r="NAA347" s="444">
        <v>6</v>
      </c>
      <c r="NAB347" s="444" t="s">
        <v>1127</v>
      </c>
      <c r="NAC347" s="444">
        <v>6</v>
      </c>
      <c r="NAD347" s="444" t="s">
        <v>1127</v>
      </c>
      <c r="NAE347" s="444">
        <v>6</v>
      </c>
      <c r="NAF347" s="444" t="s">
        <v>1127</v>
      </c>
      <c r="NAG347" s="444">
        <v>6</v>
      </c>
      <c r="NAH347" s="444" t="s">
        <v>1127</v>
      </c>
      <c r="NAI347" s="444">
        <v>6</v>
      </c>
      <c r="NAJ347" s="444" t="s">
        <v>1127</v>
      </c>
      <c r="NAK347" s="444">
        <v>6</v>
      </c>
      <c r="NAL347" s="444" t="s">
        <v>1127</v>
      </c>
      <c r="NAM347" s="444">
        <v>6</v>
      </c>
      <c r="NAN347" s="444" t="s">
        <v>1127</v>
      </c>
      <c r="NAO347" s="444">
        <v>6</v>
      </c>
      <c r="NAP347" s="444" t="s">
        <v>1127</v>
      </c>
      <c r="NAQ347" s="444">
        <v>6</v>
      </c>
      <c r="NAR347" s="444" t="s">
        <v>1127</v>
      </c>
      <c r="NAS347" s="444">
        <v>6</v>
      </c>
      <c r="NAT347" s="444" t="s">
        <v>1127</v>
      </c>
      <c r="NAU347" s="444">
        <v>6</v>
      </c>
      <c r="NAV347" s="444" t="s">
        <v>1127</v>
      </c>
      <c r="NAW347" s="444">
        <v>6</v>
      </c>
      <c r="NAX347" s="444" t="s">
        <v>1127</v>
      </c>
      <c r="NAY347" s="444">
        <v>6</v>
      </c>
      <c r="NAZ347" s="444" t="s">
        <v>1127</v>
      </c>
      <c r="NBA347" s="444">
        <v>6</v>
      </c>
      <c r="NBB347" s="444" t="s">
        <v>1127</v>
      </c>
      <c r="NBC347" s="444">
        <v>6</v>
      </c>
      <c r="NBD347" s="444" t="s">
        <v>1127</v>
      </c>
      <c r="NBE347" s="444">
        <v>6</v>
      </c>
      <c r="NBF347" s="444" t="s">
        <v>1127</v>
      </c>
      <c r="NBG347" s="444">
        <v>6</v>
      </c>
      <c r="NBH347" s="444" t="s">
        <v>1127</v>
      </c>
      <c r="NBI347" s="444">
        <v>6</v>
      </c>
      <c r="NBJ347" s="444" t="s">
        <v>1127</v>
      </c>
      <c r="NBK347" s="444">
        <v>6</v>
      </c>
      <c r="NBL347" s="444" t="s">
        <v>1127</v>
      </c>
      <c r="NBM347" s="444">
        <v>6</v>
      </c>
      <c r="NBN347" s="444" t="s">
        <v>1127</v>
      </c>
      <c r="NBO347" s="444">
        <v>6</v>
      </c>
      <c r="NBP347" s="444" t="s">
        <v>1127</v>
      </c>
      <c r="NBQ347" s="444">
        <v>6</v>
      </c>
      <c r="NBR347" s="444" t="s">
        <v>1127</v>
      </c>
      <c r="NBS347" s="444">
        <v>6</v>
      </c>
      <c r="NBT347" s="444" t="s">
        <v>1127</v>
      </c>
      <c r="NBU347" s="444">
        <v>6</v>
      </c>
      <c r="NBV347" s="444" t="s">
        <v>1127</v>
      </c>
      <c r="NBW347" s="444">
        <v>6</v>
      </c>
      <c r="NBX347" s="444" t="s">
        <v>1127</v>
      </c>
      <c r="NBY347" s="444">
        <v>6</v>
      </c>
      <c r="NBZ347" s="444" t="s">
        <v>1127</v>
      </c>
      <c r="NCA347" s="444">
        <v>6</v>
      </c>
      <c r="NCB347" s="444" t="s">
        <v>1127</v>
      </c>
      <c r="NCC347" s="444">
        <v>6</v>
      </c>
      <c r="NCD347" s="444" t="s">
        <v>1127</v>
      </c>
      <c r="NCE347" s="444">
        <v>6</v>
      </c>
      <c r="NCF347" s="444" t="s">
        <v>1127</v>
      </c>
      <c r="NCG347" s="444">
        <v>6</v>
      </c>
      <c r="NCH347" s="444" t="s">
        <v>1127</v>
      </c>
      <c r="NCI347" s="444">
        <v>6</v>
      </c>
      <c r="NCJ347" s="444" t="s">
        <v>1127</v>
      </c>
      <c r="NCK347" s="444">
        <v>6</v>
      </c>
      <c r="NCL347" s="444" t="s">
        <v>1127</v>
      </c>
      <c r="NCM347" s="444">
        <v>6</v>
      </c>
      <c r="NCN347" s="444" t="s">
        <v>1127</v>
      </c>
      <c r="NCO347" s="444">
        <v>6</v>
      </c>
      <c r="NCP347" s="444" t="s">
        <v>1127</v>
      </c>
      <c r="NCQ347" s="444">
        <v>6</v>
      </c>
      <c r="NCR347" s="444" t="s">
        <v>1127</v>
      </c>
      <c r="NCS347" s="444">
        <v>6</v>
      </c>
      <c r="NCT347" s="444" t="s">
        <v>1127</v>
      </c>
      <c r="NCU347" s="444">
        <v>6</v>
      </c>
      <c r="NCV347" s="444" t="s">
        <v>1127</v>
      </c>
      <c r="NCW347" s="444">
        <v>6</v>
      </c>
      <c r="NCX347" s="444" t="s">
        <v>1127</v>
      </c>
      <c r="NCY347" s="444">
        <v>6</v>
      </c>
      <c r="NCZ347" s="444" t="s">
        <v>1127</v>
      </c>
      <c r="NDA347" s="444">
        <v>6</v>
      </c>
      <c r="NDB347" s="444" t="s">
        <v>1127</v>
      </c>
      <c r="NDC347" s="444">
        <v>6</v>
      </c>
      <c r="NDD347" s="444" t="s">
        <v>1127</v>
      </c>
      <c r="NDE347" s="444">
        <v>6</v>
      </c>
      <c r="NDF347" s="444" t="s">
        <v>1127</v>
      </c>
      <c r="NDG347" s="444">
        <v>6</v>
      </c>
      <c r="NDH347" s="444" t="s">
        <v>1127</v>
      </c>
      <c r="NDI347" s="444">
        <v>6</v>
      </c>
      <c r="NDJ347" s="444" t="s">
        <v>1127</v>
      </c>
      <c r="NDK347" s="444">
        <v>6</v>
      </c>
      <c r="NDL347" s="444" t="s">
        <v>1127</v>
      </c>
      <c r="NDM347" s="444">
        <v>6</v>
      </c>
      <c r="NDN347" s="444" t="s">
        <v>1127</v>
      </c>
      <c r="NDO347" s="444">
        <v>6</v>
      </c>
      <c r="NDP347" s="444" t="s">
        <v>1127</v>
      </c>
      <c r="NDQ347" s="444">
        <v>6</v>
      </c>
      <c r="NDR347" s="444" t="s">
        <v>1127</v>
      </c>
      <c r="NDS347" s="444">
        <v>6</v>
      </c>
      <c r="NDT347" s="444" t="s">
        <v>1127</v>
      </c>
      <c r="NDU347" s="444">
        <v>6</v>
      </c>
      <c r="NDV347" s="444" t="s">
        <v>1127</v>
      </c>
      <c r="NDW347" s="444">
        <v>6</v>
      </c>
      <c r="NDX347" s="444" t="s">
        <v>1127</v>
      </c>
      <c r="NDY347" s="444">
        <v>6</v>
      </c>
      <c r="NDZ347" s="444" t="s">
        <v>1127</v>
      </c>
      <c r="NEA347" s="444">
        <v>6</v>
      </c>
      <c r="NEB347" s="444" t="s">
        <v>1127</v>
      </c>
      <c r="NEC347" s="444">
        <v>6</v>
      </c>
      <c r="NED347" s="444" t="s">
        <v>1127</v>
      </c>
      <c r="NEE347" s="444">
        <v>6</v>
      </c>
      <c r="NEF347" s="444" t="s">
        <v>1127</v>
      </c>
      <c r="NEG347" s="444">
        <v>6</v>
      </c>
      <c r="NEH347" s="444" t="s">
        <v>1127</v>
      </c>
      <c r="NEI347" s="444">
        <v>6</v>
      </c>
      <c r="NEJ347" s="444" t="s">
        <v>1127</v>
      </c>
      <c r="NEK347" s="444">
        <v>6</v>
      </c>
      <c r="NEL347" s="444" t="s">
        <v>1127</v>
      </c>
      <c r="NEM347" s="444">
        <v>6</v>
      </c>
      <c r="NEN347" s="444" t="s">
        <v>1127</v>
      </c>
      <c r="NEO347" s="444">
        <v>6</v>
      </c>
      <c r="NEP347" s="444" t="s">
        <v>1127</v>
      </c>
      <c r="NEQ347" s="444">
        <v>6</v>
      </c>
      <c r="NER347" s="444" t="s">
        <v>1127</v>
      </c>
      <c r="NES347" s="444">
        <v>6</v>
      </c>
      <c r="NET347" s="444" t="s">
        <v>1127</v>
      </c>
      <c r="NEU347" s="444">
        <v>6</v>
      </c>
      <c r="NEV347" s="444" t="s">
        <v>1127</v>
      </c>
      <c r="NEW347" s="444">
        <v>6</v>
      </c>
      <c r="NEX347" s="444" t="s">
        <v>1127</v>
      </c>
      <c r="NEY347" s="444">
        <v>6</v>
      </c>
      <c r="NEZ347" s="444" t="s">
        <v>1127</v>
      </c>
      <c r="NFA347" s="444">
        <v>6</v>
      </c>
      <c r="NFB347" s="444" t="s">
        <v>1127</v>
      </c>
      <c r="NFC347" s="444">
        <v>6</v>
      </c>
      <c r="NFD347" s="444" t="s">
        <v>1127</v>
      </c>
      <c r="NFE347" s="444">
        <v>6</v>
      </c>
      <c r="NFF347" s="444" t="s">
        <v>1127</v>
      </c>
      <c r="NFG347" s="444">
        <v>6</v>
      </c>
      <c r="NFH347" s="444" t="s">
        <v>1127</v>
      </c>
      <c r="NFI347" s="444">
        <v>6</v>
      </c>
      <c r="NFJ347" s="444" t="s">
        <v>1127</v>
      </c>
      <c r="NFK347" s="444">
        <v>6</v>
      </c>
      <c r="NFL347" s="444" t="s">
        <v>1127</v>
      </c>
      <c r="NFM347" s="444">
        <v>6</v>
      </c>
      <c r="NFN347" s="444" t="s">
        <v>1127</v>
      </c>
      <c r="NFO347" s="444">
        <v>6</v>
      </c>
      <c r="NFP347" s="444" t="s">
        <v>1127</v>
      </c>
      <c r="NFQ347" s="444">
        <v>6</v>
      </c>
      <c r="NFR347" s="444" t="s">
        <v>1127</v>
      </c>
      <c r="NFS347" s="444">
        <v>6</v>
      </c>
      <c r="NFT347" s="444" t="s">
        <v>1127</v>
      </c>
      <c r="NFU347" s="444">
        <v>6</v>
      </c>
      <c r="NFV347" s="444" t="s">
        <v>1127</v>
      </c>
      <c r="NFW347" s="444">
        <v>6</v>
      </c>
      <c r="NFX347" s="444" t="s">
        <v>1127</v>
      </c>
      <c r="NFY347" s="444">
        <v>6</v>
      </c>
      <c r="NFZ347" s="444" t="s">
        <v>1127</v>
      </c>
      <c r="NGA347" s="444">
        <v>6</v>
      </c>
      <c r="NGB347" s="444" t="s">
        <v>1127</v>
      </c>
      <c r="NGC347" s="444">
        <v>6</v>
      </c>
      <c r="NGD347" s="444" t="s">
        <v>1127</v>
      </c>
      <c r="NGE347" s="444">
        <v>6</v>
      </c>
      <c r="NGF347" s="444" t="s">
        <v>1127</v>
      </c>
      <c r="NGG347" s="444">
        <v>6</v>
      </c>
      <c r="NGH347" s="444" t="s">
        <v>1127</v>
      </c>
      <c r="NGI347" s="444">
        <v>6</v>
      </c>
      <c r="NGJ347" s="444" t="s">
        <v>1127</v>
      </c>
      <c r="NGK347" s="444">
        <v>6</v>
      </c>
      <c r="NGL347" s="444" t="s">
        <v>1127</v>
      </c>
      <c r="NGM347" s="444">
        <v>6</v>
      </c>
      <c r="NGN347" s="444" t="s">
        <v>1127</v>
      </c>
      <c r="NGO347" s="444">
        <v>6</v>
      </c>
      <c r="NGP347" s="444" t="s">
        <v>1127</v>
      </c>
      <c r="NGQ347" s="444">
        <v>6</v>
      </c>
      <c r="NGR347" s="444" t="s">
        <v>1127</v>
      </c>
      <c r="NGS347" s="444">
        <v>6</v>
      </c>
      <c r="NGT347" s="444" t="s">
        <v>1127</v>
      </c>
      <c r="NGU347" s="444">
        <v>6</v>
      </c>
      <c r="NGV347" s="444" t="s">
        <v>1127</v>
      </c>
      <c r="NGW347" s="444">
        <v>6</v>
      </c>
      <c r="NGX347" s="444" t="s">
        <v>1127</v>
      </c>
      <c r="NGY347" s="444">
        <v>6</v>
      </c>
      <c r="NGZ347" s="444" t="s">
        <v>1127</v>
      </c>
      <c r="NHA347" s="444">
        <v>6</v>
      </c>
      <c r="NHB347" s="444" t="s">
        <v>1127</v>
      </c>
      <c r="NHC347" s="444">
        <v>6</v>
      </c>
      <c r="NHD347" s="444" t="s">
        <v>1127</v>
      </c>
      <c r="NHE347" s="444">
        <v>6</v>
      </c>
      <c r="NHF347" s="444" t="s">
        <v>1127</v>
      </c>
      <c r="NHG347" s="444">
        <v>6</v>
      </c>
      <c r="NHH347" s="444" t="s">
        <v>1127</v>
      </c>
      <c r="NHI347" s="444">
        <v>6</v>
      </c>
      <c r="NHJ347" s="444" t="s">
        <v>1127</v>
      </c>
      <c r="NHK347" s="444">
        <v>6</v>
      </c>
      <c r="NHL347" s="444" t="s">
        <v>1127</v>
      </c>
      <c r="NHM347" s="444">
        <v>6</v>
      </c>
      <c r="NHN347" s="444" t="s">
        <v>1127</v>
      </c>
      <c r="NHO347" s="444">
        <v>6</v>
      </c>
      <c r="NHP347" s="444" t="s">
        <v>1127</v>
      </c>
      <c r="NHQ347" s="444">
        <v>6</v>
      </c>
      <c r="NHR347" s="444" t="s">
        <v>1127</v>
      </c>
      <c r="NHS347" s="444">
        <v>6</v>
      </c>
      <c r="NHT347" s="444" t="s">
        <v>1127</v>
      </c>
      <c r="NHU347" s="444">
        <v>6</v>
      </c>
      <c r="NHV347" s="444" t="s">
        <v>1127</v>
      </c>
      <c r="NHW347" s="444">
        <v>6</v>
      </c>
      <c r="NHX347" s="444" t="s">
        <v>1127</v>
      </c>
      <c r="NHY347" s="444">
        <v>6</v>
      </c>
      <c r="NHZ347" s="444" t="s">
        <v>1127</v>
      </c>
      <c r="NIA347" s="444">
        <v>6</v>
      </c>
      <c r="NIB347" s="444" t="s">
        <v>1127</v>
      </c>
      <c r="NIC347" s="444">
        <v>6</v>
      </c>
      <c r="NID347" s="444" t="s">
        <v>1127</v>
      </c>
      <c r="NIE347" s="444">
        <v>6</v>
      </c>
      <c r="NIF347" s="444" t="s">
        <v>1127</v>
      </c>
      <c r="NIG347" s="444">
        <v>6</v>
      </c>
      <c r="NIH347" s="444" t="s">
        <v>1127</v>
      </c>
      <c r="NII347" s="444">
        <v>6</v>
      </c>
      <c r="NIJ347" s="444" t="s">
        <v>1127</v>
      </c>
      <c r="NIK347" s="444">
        <v>6</v>
      </c>
      <c r="NIL347" s="444" t="s">
        <v>1127</v>
      </c>
      <c r="NIM347" s="444">
        <v>6</v>
      </c>
      <c r="NIN347" s="444" t="s">
        <v>1127</v>
      </c>
      <c r="NIO347" s="444">
        <v>6</v>
      </c>
      <c r="NIP347" s="444" t="s">
        <v>1127</v>
      </c>
      <c r="NIQ347" s="444">
        <v>6</v>
      </c>
      <c r="NIR347" s="444" t="s">
        <v>1127</v>
      </c>
      <c r="NIS347" s="444">
        <v>6</v>
      </c>
      <c r="NIT347" s="444" t="s">
        <v>1127</v>
      </c>
      <c r="NIU347" s="444">
        <v>6</v>
      </c>
      <c r="NIV347" s="444" t="s">
        <v>1127</v>
      </c>
      <c r="NIW347" s="444">
        <v>6</v>
      </c>
      <c r="NIX347" s="444" t="s">
        <v>1127</v>
      </c>
      <c r="NIY347" s="444">
        <v>6</v>
      </c>
      <c r="NIZ347" s="444" t="s">
        <v>1127</v>
      </c>
      <c r="NJA347" s="444">
        <v>6</v>
      </c>
      <c r="NJB347" s="444" t="s">
        <v>1127</v>
      </c>
      <c r="NJC347" s="444">
        <v>6</v>
      </c>
      <c r="NJD347" s="444" t="s">
        <v>1127</v>
      </c>
      <c r="NJE347" s="444">
        <v>6</v>
      </c>
      <c r="NJF347" s="444" t="s">
        <v>1127</v>
      </c>
      <c r="NJG347" s="444">
        <v>6</v>
      </c>
      <c r="NJH347" s="444" t="s">
        <v>1127</v>
      </c>
      <c r="NJI347" s="444">
        <v>6</v>
      </c>
      <c r="NJJ347" s="444" t="s">
        <v>1127</v>
      </c>
      <c r="NJK347" s="444">
        <v>6</v>
      </c>
      <c r="NJL347" s="444" t="s">
        <v>1127</v>
      </c>
      <c r="NJM347" s="444">
        <v>6</v>
      </c>
      <c r="NJN347" s="444" t="s">
        <v>1127</v>
      </c>
      <c r="NJO347" s="444">
        <v>6</v>
      </c>
      <c r="NJP347" s="444" t="s">
        <v>1127</v>
      </c>
      <c r="NJQ347" s="444">
        <v>6</v>
      </c>
      <c r="NJR347" s="444" t="s">
        <v>1127</v>
      </c>
      <c r="NJS347" s="444">
        <v>6</v>
      </c>
      <c r="NJT347" s="444" t="s">
        <v>1127</v>
      </c>
      <c r="NJU347" s="444">
        <v>6</v>
      </c>
      <c r="NJV347" s="444" t="s">
        <v>1127</v>
      </c>
      <c r="NJW347" s="444">
        <v>6</v>
      </c>
      <c r="NJX347" s="444" t="s">
        <v>1127</v>
      </c>
      <c r="NJY347" s="444">
        <v>6</v>
      </c>
      <c r="NJZ347" s="444" t="s">
        <v>1127</v>
      </c>
      <c r="NKA347" s="444">
        <v>6</v>
      </c>
      <c r="NKB347" s="444" t="s">
        <v>1127</v>
      </c>
      <c r="NKC347" s="444">
        <v>6</v>
      </c>
      <c r="NKD347" s="444" t="s">
        <v>1127</v>
      </c>
      <c r="NKE347" s="444">
        <v>6</v>
      </c>
      <c r="NKF347" s="444" t="s">
        <v>1127</v>
      </c>
      <c r="NKG347" s="444">
        <v>6</v>
      </c>
      <c r="NKH347" s="444" t="s">
        <v>1127</v>
      </c>
      <c r="NKI347" s="444">
        <v>6</v>
      </c>
      <c r="NKJ347" s="444" t="s">
        <v>1127</v>
      </c>
      <c r="NKK347" s="444">
        <v>6</v>
      </c>
      <c r="NKL347" s="444" t="s">
        <v>1127</v>
      </c>
      <c r="NKM347" s="444">
        <v>6</v>
      </c>
      <c r="NKN347" s="444" t="s">
        <v>1127</v>
      </c>
      <c r="NKO347" s="444">
        <v>6</v>
      </c>
      <c r="NKP347" s="444" t="s">
        <v>1127</v>
      </c>
      <c r="NKQ347" s="444">
        <v>6</v>
      </c>
      <c r="NKR347" s="444" t="s">
        <v>1127</v>
      </c>
      <c r="NKS347" s="444">
        <v>6</v>
      </c>
      <c r="NKT347" s="444" t="s">
        <v>1127</v>
      </c>
      <c r="NKU347" s="444">
        <v>6</v>
      </c>
      <c r="NKV347" s="444" t="s">
        <v>1127</v>
      </c>
      <c r="NKW347" s="444">
        <v>6</v>
      </c>
      <c r="NKX347" s="444" t="s">
        <v>1127</v>
      </c>
      <c r="NKY347" s="444">
        <v>6</v>
      </c>
      <c r="NKZ347" s="444" t="s">
        <v>1127</v>
      </c>
      <c r="NLA347" s="444">
        <v>6</v>
      </c>
      <c r="NLB347" s="444" t="s">
        <v>1127</v>
      </c>
      <c r="NLC347" s="444">
        <v>6</v>
      </c>
      <c r="NLD347" s="444" t="s">
        <v>1127</v>
      </c>
      <c r="NLE347" s="444">
        <v>6</v>
      </c>
      <c r="NLF347" s="444" t="s">
        <v>1127</v>
      </c>
      <c r="NLG347" s="444">
        <v>6</v>
      </c>
      <c r="NLH347" s="444" t="s">
        <v>1127</v>
      </c>
      <c r="NLI347" s="444">
        <v>6</v>
      </c>
      <c r="NLJ347" s="444" t="s">
        <v>1127</v>
      </c>
      <c r="NLK347" s="444">
        <v>6</v>
      </c>
      <c r="NLL347" s="444" t="s">
        <v>1127</v>
      </c>
      <c r="NLM347" s="444">
        <v>6</v>
      </c>
      <c r="NLN347" s="444" t="s">
        <v>1127</v>
      </c>
      <c r="NLO347" s="444">
        <v>6</v>
      </c>
      <c r="NLP347" s="444" t="s">
        <v>1127</v>
      </c>
      <c r="NLQ347" s="444">
        <v>6</v>
      </c>
      <c r="NLR347" s="444" t="s">
        <v>1127</v>
      </c>
      <c r="NLS347" s="444">
        <v>6</v>
      </c>
      <c r="NLT347" s="444" t="s">
        <v>1127</v>
      </c>
      <c r="NLU347" s="444">
        <v>6</v>
      </c>
      <c r="NLV347" s="444" t="s">
        <v>1127</v>
      </c>
      <c r="NLW347" s="444">
        <v>6</v>
      </c>
      <c r="NLX347" s="444" t="s">
        <v>1127</v>
      </c>
      <c r="NLY347" s="444">
        <v>6</v>
      </c>
      <c r="NLZ347" s="444" t="s">
        <v>1127</v>
      </c>
      <c r="NMA347" s="444">
        <v>6</v>
      </c>
      <c r="NMB347" s="444" t="s">
        <v>1127</v>
      </c>
      <c r="NMC347" s="444">
        <v>6</v>
      </c>
      <c r="NMD347" s="444" t="s">
        <v>1127</v>
      </c>
      <c r="NME347" s="444">
        <v>6</v>
      </c>
      <c r="NMF347" s="444" t="s">
        <v>1127</v>
      </c>
      <c r="NMG347" s="444">
        <v>6</v>
      </c>
      <c r="NMH347" s="444" t="s">
        <v>1127</v>
      </c>
      <c r="NMI347" s="444">
        <v>6</v>
      </c>
      <c r="NMJ347" s="444" t="s">
        <v>1127</v>
      </c>
      <c r="NMK347" s="444">
        <v>6</v>
      </c>
      <c r="NML347" s="444" t="s">
        <v>1127</v>
      </c>
      <c r="NMM347" s="444">
        <v>6</v>
      </c>
      <c r="NMN347" s="444" t="s">
        <v>1127</v>
      </c>
      <c r="NMO347" s="444">
        <v>6</v>
      </c>
      <c r="NMP347" s="444" t="s">
        <v>1127</v>
      </c>
      <c r="NMQ347" s="444">
        <v>6</v>
      </c>
      <c r="NMR347" s="444" t="s">
        <v>1127</v>
      </c>
      <c r="NMS347" s="444">
        <v>6</v>
      </c>
      <c r="NMT347" s="444" t="s">
        <v>1127</v>
      </c>
      <c r="NMU347" s="444">
        <v>6</v>
      </c>
      <c r="NMV347" s="444" t="s">
        <v>1127</v>
      </c>
      <c r="NMW347" s="444">
        <v>6</v>
      </c>
      <c r="NMX347" s="444" t="s">
        <v>1127</v>
      </c>
      <c r="NMY347" s="444">
        <v>6</v>
      </c>
      <c r="NMZ347" s="444" t="s">
        <v>1127</v>
      </c>
      <c r="NNA347" s="444">
        <v>6</v>
      </c>
      <c r="NNB347" s="444" t="s">
        <v>1127</v>
      </c>
      <c r="NNC347" s="444">
        <v>6</v>
      </c>
      <c r="NND347" s="444" t="s">
        <v>1127</v>
      </c>
      <c r="NNE347" s="444">
        <v>6</v>
      </c>
      <c r="NNF347" s="444" t="s">
        <v>1127</v>
      </c>
      <c r="NNG347" s="444">
        <v>6</v>
      </c>
      <c r="NNH347" s="444" t="s">
        <v>1127</v>
      </c>
      <c r="NNI347" s="444">
        <v>6</v>
      </c>
      <c r="NNJ347" s="444" t="s">
        <v>1127</v>
      </c>
      <c r="NNK347" s="444">
        <v>6</v>
      </c>
      <c r="NNL347" s="444" t="s">
        <v>1127</v>
      </c>
      <c r="NNM347" s="444">
        <v>6</v>
      </c>
      <c r="NNN347" s="444" t="s">
        <v>1127</v>
      </c>
      <c r="NNO347" s="444">
        <v>6</v>
      </c>
      <c r="NNP347" s="444" t="s">
        <v>1127</v>
      </c>
      <c r="NNQ347" s="444">
        <v>6</v>
      </c>
      <c r="NNR347" s="444" t="s">
        <v>1127</v>
      </c>
      <c r="NNS347" s="444">
        <v>6</v>
      </c>
      <c r="NNT347" s="444" t="s">
        <v>1127</v>
      </c>
      <c r="NNU347" s="444">
        <v>6</v>
      </c>
      <c r="NNV347" s="444" t="s">
        <v>1127</v>
      </c>
      <c r="NNW347" s="444">
        <v>6</v>
      </c>
      <c r="NNX347" s="444" t="s">
        <v>1127</v>
      </c>
      <c r="NNY347" s="444">
        <v>6</v>
      </c>
      <c r="NNZ347" s="444" t="s">
        <v>1127</v>
      </c>
      <c r="NOA347" s="444">
        <v>6</v>
      </c>
      <c r="NOB347" s="444" t="s">
        <v>1127</v>
      </c>
      <c r="NOC347" s="444">
        <v>6</v>
      </c>
      <c r="NOD347" s="444" t="s">
        <v>1127</v>
      </c>
      <c r="NOE347" s="444">
        <v>6</v>
      </c>
      <c r="NOF347" s="444" t="s">
        <v>1127</v>
      </c>
      <c r="NOG347" s="444">
        <v>6</v>
      </c>
      <c r="NOH347" s="444" t="s">
        <v>1127</v>
      </c>
      <c r="NOI347" s="444">
        <v>6</v>
      </c>
      <c r="NOJ347" s="444" t="s">
        <v>1127</v>
      </c>
      <c r="NOK347" s="444">
        <v>6</v>
      </c>
      <c r="NOL347" s="444" t="s">
        <v>1127</v>
      </c>
      <c r="NOM347" s="444">
        <v>6</v>
      </c>
      <c r="NON347" s="444" t="s">
        <v>1127</v>
      </c>
      <c r="NOO347" s="444">
        <v>6</v>
      </c>
      <c r="NOP347" s="444" t="s">
        <v>1127</v>
      </c>
      <c r="NOQ347" s="444">
        <v>6</v>
      </c>
      <c r="NOR347" s="444" t="s">
        <v>1127</v>
      </c>
      <c r="NOS347" s="444">
        <v>6</v>
      </c>
      <c r="NOT347" s="444" t="s">
        <v>1127</v>
      </c>
      <c r="NOU347" s="444">
        <v>6</v>
      </c>
      <c r="NOV347" s="444" t="s">
        <v>1127</v>
      </c>
      <c r="NOW347" s="444">
        <v>6</v>
      </c>
      <c r="NOX347" s="444" t="s">
        <v>1127</v>
      </c>
      <c r="NOY347" s="444">
        <v>6</v>
      </c>
      <c r="NOZ347" s="444" t="s">
        <v>1127</v>
      </c>
      <c r="NPA347" s="444">
        <v>6</v>
      </c>
      <c r="NPB347" s="444" t="s">
        <v>1127</v>
      </c>
      <c r="NPC347" s="444">
        <v>6</v>
      </c>
      <c r="NPD347" s="444" t="s">
        <v>1127</v>
      </c>
      <c r="NPE347" s="444">
        <v>6</v>
      </c>
      <c r="NPF347" s="444" t="s">
        <v>1127</v>
      </c>
      <c r="NPG347" s="444">
        <v>6</v>
      </c>
      <c r="NPH347" s="444" t="s">
        <v>1127</v>
      </c>
      <c r="NPI347" s="444">
        <v>6</v>
      </c>
      <c r="NPJ347" s="444" t="s">
        <v>1127</v>
      </c>
      <c r="NPK347" s="444">
        <v>6</v>
      </c>
      <c r="NPL347" s="444" t="s">
        <v>1127</v>
      </c>
      <c r="NPM347" s="444">
        <v>6</v>
      </c>
      <c r="NPN347" s="444" t="s">
        <v>1127</v>
      </c>
      <c r="NPO347" s="444">
        <v>6</v>
      </c>
      <c r="NPP347" s="444" t="s">
        <v>1127</v>
      </c>
      <c r="NPQ347" s="444">
        <v>6</v>
      </c>
      <c r="NPR347" s="444" t="s">
        <v>1127</v>
      </c>
      <c r="NPS347" s="444">
        <v>6</v>
      </c>
      <c r="NPT347" s="444" t="s">
        <v>1127</v>
      </c>
      <c r="NPU347" s="444">
        <v>6</v>
      </c>
      <c r="NPV347" s="444" t="s">
        <v>1127</v>
      </c>
      <c r="NPW347" s="444">
        <v>6</v>
      </c>
      <c r="NPX347" s="444" t="s">
        <v>1127</v>
      </c>
      <c r="NPY347" s="444">
        <v>6</v>
      </c>
      <c r="NPZ347" s="444" t="s">
        <v>1127</v>
      </c>
      <c r="NQA347" s="444">
        <v>6</v>
      </c>
      <c r="NQB347" s="444" t="s">
        <v>1127</v>
      </c>
      <c r="NQC347" s="444">
        <v>6</v>
      </c>
      <c r="NQD347" s="444" t="s">
        <v>1127</v>
      </c>
      <c r="NQE347" s="444">
        <v>6</v>
      </c>
      <c r="NQF347" s="444" t="s">
        <v>1127</v>
      </c>
      <c r="NQG347" s="444">
        <v>6</v>
      </c>
      <c r="NQH347" s="444" t="s">
        <v>1127</v>
      </c>
      <c r="NQI347" s="444">
        <v>6</v>
      </c>
      <c r="NQJ347" s="444" t="s">
        <v>1127</v>
      </c>
      <c r="NQK347" s="444">
        <v>6</v>
      </c>
      <c r="NQL347" s="444" t="s">
        <v>1127</v>
      </c>
      <c r="NQM347" s="444">
        <v>6</v>
      </c>
      <c r="NQN347" s="444" t="s">
        <v>1127</v>
      </c>
      <c r="NQO347" s="444">
        <v>6</v>
      </c>
      <c r="NQP347" s="444" t="s">
        <v>1127</v>
      </c>
      <c r="NQQ347" s="444">
        <v>6</v>
      </c>
      <c r="NQR347" s="444" t="s">
        <v>1127</v>
      </c>
      <c r="NQS347" s="444">
        <v>6</v>
      </c>
      <c r="NQT347" s="444" t="s">
        <v>1127</v>
      </c>
      <c r="NQU347" s="444">
        <v>6</v>
      </c>
      <c r="NQV347" s="444" t="s">
        <v>1127</v>
      </c>
      <c r="NQW347" s="444">
        <v>6</v>
      </c>
      <c r="NQX347" s="444" t="s">
        <v>1127</v>
      </c>
      <c r="NQY347" s="444">
        <v>6</v>
      </c>
      <c r="NQZ347" s="444" t="s">
        <v>1127</v>
      </c>
      <c r="NRA347" s="444">
        <v>6</v>
      </c>
      <c r="NRB347" s="444" t="s">
        <v>1127</v>
      </c>
      <c r="NRC347" s="444">
        <v>6</v>
      </c>
      <c r="NRD347" s="444" t="s">
        <v>1127</v>
      </c>
      <c r="NRE347" s="444">
        <v>6</v>
      </c>
      <c r="NRF347" s="444" t="s">
        <v>1127</v>
      </c>
      <c r="NRG347" s="444">
        <v>6</v>
      </c>
      <c r="NRH347" s="444" t="s">
        <v>1127</v>
      </c>
      <c r="NRI347" s="444">
        <v>6</v>
      </c>
      <c r="NRJ347" s="444" t="s">
        <v>1127</v>
      </c>
      <c r="NRK347" s="444">
        <v>6</v>
      </c>
      <c r="NRL347" s="444" t="s">
        <v>1127</v>
      </c>
      <c r="NRM347" s="444">
        <v>6</v>
      </c>
      <c r="NRN347" s="444" t="s">
        <v>1127</v>
      </c>
      <c r="NRO347" s="444">
        <v>6</v>
      </c>
      <c r="NRP347" s="444" t="s">
        <v>1127</v>
      </c>
      <c r="NRQ347" s="444">
        <v>6</v>
      </c>
      <c r="NRR347" s="444" t="s">
        <v>1127</v>
      </c>
      <c r="NRS347" s="444">
        <v>6</v>
      </c>
      <c r="NRT347" s="444" t="s">
        <v>1127</v>
      </c>
      <c r="NRU347" s="444">
        <v>6</v>
      </c>
      <c r="NRV347" s="444" t="s">
        <v>1127</v>
      </c>
      <c r="NRW347" s="444">
        <v>6</v>
      </c>
      <c r="NRX347" s="444" t="s">
        <v>1127</v>
      </c>
      <c r="NRY347" s="444">
        <v>6</v>
      </c>
      <c r="NRZ347" s="444" t="s">
        <v>1127</v>
      </c>
      <c r="NSA347" s="444">
        <v>6</v>
      </c>
      <c r="NSB347" s="444" t="s">
        <v>1127</v>
      </c>
      <c r="NSC347" s="444">
        <v>6</v>
      </c>
      <c r="NSD347" s="444" t="s">
        <v>1127</v>
      </c>
      <c r="NSE347" s="444">
        <v>6</v>
      </c>
      <c r="NSF347" s="444" t="s">
        <v>1127</v>
      </c>
      <c r="NSG347" s="444">
        <v>6</v>
      </c>
      <c r="NSH347" s="444" t="s">
        <v>1127</v>
      </c>
      <c r="NSI347" s="444">
        <v>6</v>
      </c>
      <c r="NSJ347" s="444" t="s">
        <v>1127</v>
      </c>
      <c r="NSK347" s="444">
        <v>6</v>
      </c>
      <c r="NSL347" s="444" t="s">
        <v>1127</v>
      </c>
      <c r="NSM347" s="444">
        <v>6</v>
      </c>
      <c r="NSN347" s="444" t="s">
        <v>1127</v>
      </c>
      <c r="NSO347" s="444">
        <v>6</v>
      </c>
      <c r="NSP347" s="444" t="s">
        <v>1127</v>
      </c>
      <c r="NSQ347" s="444">
        <v>6</v>
      </c>
      <c r="NSR347" s="444" t="s">
        <v>1127</v>
      </c>
      <c r="NSS347" s="444">
        <v>6</v>
      </c>
      <c r="NST347" s="444" t="s">
        <v>1127</v>
      </c>
      <c r="NSU347" s="444">
        <v>6</v>
      </c>
      <c r="NSV347" s="444" t="s">
        <v>1127</v>
      </c>
      <c r="NSW347" s="444">
        <v>6</v>
      </c>
      <c r="NSX347" s="444" t="s">
        <v>1127</v>
      </c>
      <c r="NSY347" s="444">
        <v>6</v>
      </c>
      <c r="NSZ347" s="444" t="s">
        <v>1127</v>
      </c>
      <c r="NTA347" s="444">
        <v>6</v>
      </c>
      <c r="NTB347" s="444" t="s">
        <v>1127</v>
      </c>
      <c r="NTC347" s="444">
        <v>6</v>
      </c>
      <c r="NTD347" s="444" t="s">
        <v>1127</v>
      </c>
      <c r="NTE347" s="444">
        <v>6</v>
      </c>
      <c r="NTF347" s="444" t="s">
        <v>1127</v>
      </c>
      <c r="NTG347" s="444">
        <v>6</v>
      </c>
      <c r="NTH347" s="444" t="s">
        <v>1127</v>
      </c>
      <c r="NTI347" s="444">
        <v>6</v>
      </c>
      <c r="NTJ347" s="444" t="s">
        <v>1127</v>
      </c>
      <c r="NTK347" s="444">
        <v>6</v>
      </c>
      <c r="NTL347" s="444" t="s">
        <v>1127</v>
      </c>
      <c r="NTM347" s="444">
        <v>6</v>
      </c>
      <c r="NTN347" s="444" t="s">
        <v>1127</v>
      </c>
      <c r="NTO347" s="444">
        <v>6</v>
      </c>
      <c r="NTP347" s="444" t="s">
        <v>1127</v>
      </c>
      <c r="NTQ347" s="444">
        <v>6</v>
      </c>
      <c r="NTR347" s="444" t="s">
        <v>1127</v>
      </c>
      <c r="NTS347" s="444">
        <v>6</v>
      </c>
      <c r="NTT347" s="444" t="s">
        <v>1127</v>
      </c>
      <c r="NTU347" s="444">
        <v>6</v>
      </c>
      <c r="NTV347" s="444" t="s">
        <v>1127</v>
      </c>
      <c r="NTW347" s="444">
        <v>6</v>
      </c>
      <c r="NTX347" s="444" t="s">
        <v>1127</v>
      </c>
      <c r="NTY347" s="444">
        <v>6</v>
      </c>
      <c r="NTZ347" s="444" t="s">
        <v>1127</v>
      </c>
      <c r="NUA347" s="444">
        <v>6</v>
      </c>
      <c r="NUB347" s="444" t="s">
        <v>1127</v>
      </c>
      <c r="NUC347" s="444">
        <v>6</v>
      </c>
      <c r="NUD347" s="444" t="s">
        <v>1127</v>
      </c>
      <c r="NUE347" s="444">
        <v>6</v>
      </c>
      <c r="NUF347" s="444" t="s">
        <v>1127</v>
      </c>
      <c r="NUG347" s="444">
        <v>6</v>
      </c>
      <c r="NUH347" s="444" t="s">
        <v>1127</v>
      </c>
      <c r="NUI347" s="444">
        <v>6</v>
      </c>
      <c r="NUJ347" s="444" t="s">
        <v>1127</v>
      </c>
      <c r="NUK347" s="444">
        <v>6</v>
      </c>
      <c r="NUL347" s="444" t="s">
        <v>1127</v>
      </c>
      <c r="NUM347" s="444">
        <v>6</v>
      </c>
      <c r="NUN347" s="444" t="s">
        <v>1127</v>
      </c>
      <c r="NUO347" s="444">
        <v>6</v>
      </c>
      <c r="NUP347" s="444" t="s">
        <v>1127</v>
      </c>
      <c r="NUQ347" s="444">
        <v>6</v>
      </c>
      <c r="NUR347" s="444" t="s">
        <v>1127</v>
      </c>
      <c r="NUS347" s="444">
        <v>6</v>
      </c>
      <c r="NUT347" s="444" t="s">
        <v>1127</v>
      </c>
      <c r="NUU347" s="444">
        <v>6</v>
      </c>
      <c r="NUV347" s="444" t="s">
        <v>1127</v>
      </c>
      <c r="NUW347" s="444">
        <v>6</v>
      </c>
      <c r="NUX347" s="444" t="s">
        <v>1127</v>
      </c>
      <c r="NUY347" s="444">
        <v>6</v>
      </c>
      <c r="NUZ347" s="444" t="s">
        <v>1127</v>
      </c>
      <c r="NVA347" s="444">
        <v>6</v>
      </c>
      <c r="NVB347" s="444" t="s">
        <v>1127</v>
      </c>
      <c r="NVC347" s="444">
        <v>6</v>
      </c>
      <c r="NVD347" s="444" t="s">
        <v>1127</v>
      </c>
      <c r="NVE347" s="444">
        <v>6</v>
      </c>
      <c r="NVF347" s="444" t="s">
        <v>1127</v>
      </c>
      <c r="NVG347" s="444">
        <v>6</v>
      </c>
      <c r="NVH347" s="444" t="s">
        <v>1127</v>
      </c>
      <c r="NVI347" s="444">
        <v>6</v>
      </c>
      <c r="NVJ347" s="444" t="s">
        <v>1127</v>
      </c>
      <c r="NVK347" s="444">
        <v>6</v>
      </c>
      <c r="NVL347" s="444" t="s">
        <v>1127</v>
      </c>
      <c r="NVM347" s="444">
        <v>6</v>
      </c>
      <c r="NVN347" s="444" t="s">
        <v>1127</v>
      </c>
      <c r="NVO347" s="444">
        <v>6</v>
      </c>
      <c r="NVP347" s="444" t="s">
        <v>1127</v>
      </c>
      <c r="NVQ347" s="444">
        <v>6</v>
      </c>
      <c r="NVR347" s="444" t="s">
        <v>1127</v>
      </c>
      <c r="NVS347" s="444">
        <v>6</v>
      </c>
      <c r="NVT347" s="444" t="s">
        <v>1127</v>
      </c>
      <c r="NVU347" s="444">
        <v>6</v>
      </c>
      <c r="NVV347" s="444" t="s">
        <v>1127</v>
      </c>
      <c r="NVW347" s="444">
        <v>6</v>
      </c>
      <c r="NVX347" s="444" t="s">
        <v>1127</v>
      </c>
      <c r="NVY347" s="444">
        <v>6</v>
      </c>
      <c r="NVZ347" s="444" t="s">
        <v>1127</v>
      </c>
      <c r="NWA347" s="444">
        <v>6</v>
      </c>
      <c r="NWB347" s="444" t="s">
        <v>1127</v>
      </c>
      <c r="NWC347" s="444">
        <v>6</v>
      </c>
      <c r="NWD347" s="444" t="s">
        <v>1127</v>
      </c>
      <c r="NWE347" s="444">
        <v>6</v>
      </c>
      <c r="NWF347" s="444" t="s">
        <v>1127</v>
      </c>
      <c r="NWG347" s="444">
        <v>6</v>
      </c>
      <c r="NWH347" s="444" t="s">
        <v>1127</v>
      </c>
      <c r="NWI347" s="444">
        <v>6</v>
      </c>
      <c r="NWJ347" s="444" t="s">
        <v>1127</v>
      </c>
      <c r="NWK347" s="444">
        <v>6</v>
      </c>
      <c r="NWL347" s="444" t="s">
        <v>1127</v>
      </c>
      <c r="NWM347" s="444">
        <v>6</v>
      </c>
      <c r="NWN347" s="444" t="s">
        <v>1127</v>
      </c>
      <c r="NWO347" s="444">
        <v>6</v>
      </c>
      <c r="NWP347" s="444" t="s">
        <v>1127</v>
      </c>
      <c r="NWQ347" s="444">
        <v>6</v>
      </c>
      <c r="NWR347" s="444" t="s">
        <v>1127</v>
      </c>
      <c r="NWS347" s="444">
        <v>6</v>
      </c>
      <c r="NWT347" s="444" t="s">
        <v>1127</v>
      </c>
      <c r="NWU347" s="444">
        <v>6</v>
      </c>
      <c r="NWV347" s="444" t="s">
        <v>1127</v>
      </c>
      <c r="NWW347" s="444">
        <v>6</v>
      </c>
      <c r="NWX347" s="444" t="s">
        <v>1127</v>
      </c>
      <c r="NWY347" s="444">
        <v>6</v>
      </c>
      <c r="NWZ347" s="444" t="s">
        <v>1127</v>
      </c>
      <c r="NXA347" s="444">
        <v>6</v>
      </c>
      <c r="NXB347" s="444" t="s">
        <v>1127</v>
      </c>
      <c r="NXC347" s="444">
        <v>6</v>
      </c>
      <c r="NXD347" s="444" t="s">
        <v>1127</v>
      </c>
      <c r="NXE347" s="444">
        <v>6</v>
      </c>
      <c r="NXF347" s="444" t="s">
        <v>1127</v>
      </c>
      <c r="NXG347" s="444">
        <v>6</v>
      </c>
      <c r="NXH347" s="444" t="s">
        <v>1127</v>
      </c>
      <c r="NXI347" s="444">
        <v>6</v>
      </c>
      <c r="NXJ347" s="444" t="s">
        <v>1127</v>
      </c>
      <c r="NXK347" s="444">
        <v>6</v>
      </c>
      <c r="NXL347" s="444" t="s">
        <v>1127</v>
      </c>
      <c r="NXM347" s="444">
        <v>6</v>
      </c>
      <c r="NXN347" s="444" t="s">
        <v>1127</v>
      </c>
      <c r="NXO347" s="444">
        <v>6</v>
      </c>
      <c r="NXP347" s="444" t="s">
        <v>1127</v>
      </c>
      <c r="NXQ347" s="444">
        <v>6</v>
      </c>
      <c r="NXR347" s="444" t="s">
        <v>1127</v>
      </c>
      <c r="NXS347" s="444">
        <v>6</v>
      </c>
      <c r="NXT347" s="444" t="s">
        <v>1127</v>
      </c>
      <c r="NXU347" s="444">
        <v>6</v>
      </c>
      <c r="NXV347" s="444" t="s">
        <v>1127</v>
      </c>
      <c r="NXW347" s="444">
        <v>6</v>
      </c>
      <c r="NXX347" s="444" t="s">
        <v>1127</v>
      </c>
      <c r="NXY347" s="444">
        <v>6</v>
      </c>
      <c r="NXZ347" s="444" t="s">
        <v>1127</v>
      </c>
      <c r="NYA347" s="444">
        <v>6</v>
      </c>
      <c r="NYB347" s="444" t="s">
        <v>1127</v>
      </c>
      <c r="NYC347" s="444">
        <v>6</v>
      </c>
      <c r="NYD347" s="444" t="s">
        <v>1127</v>
      </c>
      <c r="NYE347" s="444">
        <v>6</v>
      </c>
      <c r="NYF347" s="444" t="s">
        <v>1127</v>
      </c>
      <c r="NYG347" s="444">
        <v>6</v>
      </c>
      <c r="NYH347" s="444" t="s">
        <v>1127</v>
      </c>
      <c r="NYI347" s="444">
        <v>6</v>
      </c>
      <c r="NYJ347" s="444" t="s">
        <v>1127</v>
      </c>
      <c r="NYK347" s="444">
        <v>6</v>
      </c>
      <c r="NYL347" s="444" t="s">
        <v>1127</v>
      </c>
      <c r="NYM347" s="444">
        <v>6</v>
      </c>
      <c r="NYN347" s="444" t="s">
        <v>1127</v>
      </c>
      <c r="NYO347" s="444">
        <v>6</v>
      </c>
      <c r="NYP347" s="444" t="s">
        <v>1127</v>
      </c>
      <c r="NYQ347" s="444">
        <v>6</v>
      </c>
      <c r="NYR347" s="444" t="s">
        <v>1127</v>
      </c>
      <c r="NYS347" s="444">
        <v>6</v>
      </c>
      <c r="NYT347" s="444" t="s">
        <v>1127</v>
      </c>
      <c r="NYU347" s="444">
        <v>6</v>
      </c>
      <c r="NYV347" s="444" t="s">
        <v>1127</v>
      </c>
      <c r="NYW347" s="444">
        <v>6</v>
      </c>
      <c r="NYX347" s="444" t="s">
        <v>1127</v>
      </c>
      <c r="NYY347" s="444">
        <v>6</v>
      </c>
      <c r="NYZ347" s="444" t="s">
        <v>1127</v>
      </c>
      <c r="NZA347" s="444">
        <v>6</v>
      </c>
      <c r="NZB347" s="444" t="s">
        <v>1127</v>
      </c>
      <c r="NZC347" s="444">
        <v>6</v>
      </c>
      <c r="NZD347" s="444" t="s">
        <v>1127</v>
      </c>
      <c r="NZE347" s="444">
        <v>6</v>
      </c>
      <c r="NZF347" s="444" t="s">
        <v>1127</v>
      </c>
      <c r="NZG347" s="444">
        <v>6</v>
      </c>
      <c r="NZH347" s="444" t="s">
        <v>1127</v>
      </c>
      <c r="NZI347" s="444">
        <v>6</v>
      </c>
      <c r="NZJ347" s="444" t="s">
        <v>1127</v>
      </c>
      <c r="NZK347" s="444">
        <v>6</v>
      </c>
      <c r="NZL347" s="444" t="s">
        <v>1127</v>
      </c>
      <c r="NZM347" s="444">
        <v>6</v>
      </c>
      <c r="NZN347" s="444" t="s">
        <v>1127</v>
      </c>
      <c r="NZO347" s="444">
        <v>6</v>
      </c>
      <c r="NZP347" s="444" t="s">
        <v>1127</v>
      </c>
      <c r="NZQ347" s="444">
        <v>6</v>
      </c>
      <c r="NZR347" s="444" t="s">
        <v>1127</v>
      </c>
      <c r="NZS347" s="444">
        <v>6</v>
      </c>
      <c r="NZT347" s="444" t="s">
        <v>1127</v>
      </c>
      <c r="NZU347" s="444">
        <v>6</v>
      </c>
      <c r="NZV347" s="444" t="s">
        <v>1127</v>
      </c>
      <c r="NZW347" s="444">
        <v>6</v>
      </c>
      <c r="NZX347" s="444" t="s">
        <v>1127</v>
      </c>
      <c r="NZY347" s="444">
        <v>6</v>
      </c>
      <c r="NZZ347" s="444" t="s">
        <v>1127</v>
      </c>
      <c r="OAA347" s="444">
        <v>6</v>
      </c>
      <c r="OAB347" s="444" t="s">
        <v>1127</v>
      </c>
      <c r="OAC347" s="444">
        <v>6</v>
      </c>
      <c r="OAD347" s="444" t="s">
        <v>1127</v>
      </c>
      <c r="OAE347" s="444">
        <v>6</v>
      </c>
      <c r="OAF347" s="444" t="s">
        <v>1127</v>
      </c>
      <c r="OAG347" s="444">
        <v>6</v>
      </c>
      <c r="OAH347" s="444" t="s">
        <v>1127</v>
      </c>
      <c r="OAI347" s="444">
        <v>6</v>
      </c>
      <c r="OAJ347" s="444" t="s">
        <v>1127</v>
      </c>
      <c r="OAK347" s="444">
        <v>6</v>
      </c>
      <c r="OAL347" s="444" t="s">
        <v>1127</v>
      </c>
      <c r="OAM347" s="444">
        <v>6</v>
      </c>
      <c r="OAN347" s="444" t="s">
        <v>1127</v>
      </c>
      <c r="OAO347" s="444">
        <v>6</v>
      </c>
      <c r="OAP347" s="444" t="s">
        <v>1127</v>
      </c>
      <c r="OAQ347" s="444">
        <v>6</v>
      </c>
      <c r="OAR347" s="444" t="s">
        <v>1127</v>
      </c>
      <c r="OAS347" s="444">
        <v>6</v>
      </c>
      <c r="OAT347" s="444" t="s">
        <v>1127</v>
      </c>
      <c r="OAU347" s="444">
        <v>6</v>
      </c>
      <c r="OAV347" s="444" t="s">
        <v>1127</v>
      </c>
      <c r="OAW347" s="444">
        <v>6</v>
      </c>
      <c r="OAX347" s="444" t="s">
        <v>1127</v>
      </c>
      <c r="OAY347" s="444">
        <v>6</v>
      </c>
      <c r="OAZ347" s="444" t="s">
        <v>1127</v>
      </c>
      <c r="OBA347" s="444">
        <v>6</v>
      </c>
      <c r="OBB347" s="444" t="s">
        <v>1127</v>
      </c>
      <c r="OBC347" s="444">
        <v>6</v>
      </c>
      <c r="OBD347" s="444" t="s">
        <v>1127</v>
      </c>
      <c r="OBE347" s="444">
        <v>6</v>
      </c>
      <c r="OBF347" s="444" t="s">
        <v>1127</v>
      </c>
      <c r="OBG347" s="444">
        <v>6</v>
      </c>
      <c r="OBH347" s="444" t="s">
        <v>1127</v>
      </c>
      <c r="OBI347" s="444">
        <v>6</v>
      </c>
      <c r="OBJ347" s="444" t="s">
        <v>1127</v>
      </c>
      <c r="OBK347" s="444">
        <v>6</v>
      </c>
      <c r="OBL347" s="444" t="s">
        <v>1127</v>
      </c>
      <c r="OBM347" s="444">
        <v>6</v>
      </c>
      <c r="OBN347" s="444" t="s">
        <v>1127</v>
      </c>
      <c r="OBO347" s="444">
        <v>6</v>
      </c>
      <c r="OBP347" s="444" t="s">
        <v>1127</v>
      </c>
      <c r="OBQ347" s="444">
        <v>6</v>
      </c>
      <c r="OBR347" s="444" t="s">
        <v>1127</v>
      </c>
      <c r="OBS347" s="444">
        <v>6</v>
      </c>
      <c r="OBT347" s="444" t="s">
        <v>1127</v>
      </c>
      <c r="OBU347" s="444">
        <v>6</v>
      </c>
      <c r="OBV347" s="444" t="s">
        <v>1127</v>
      </c>
      <c r="OBW347" s="444">
        <v>6</v>
      </c>
      <c r="OBX347" s="444" t="s">
        <v>1127</v>
      </c>
      <c r="OBY347" s="444">
        <v>6</v>
      </c>
      <c r="OBZ347" s="444" t="s">
        <v>1127</v>
      </c>
      <c r="OCA347" s="444">
        <v>6</v>
      </c>
      <c r="OCB347" s="444" t="s">
        <v>1127</v>
      </c>
      <c r="OCC347" s="444">
        <v>6</v>
      </c>
      <c r="OCD347" s="444" t="s">
        <v>1127</v>
      </c>
      <c r="OCE347" s="444">
        <v>6</v>
      </c>
      <c r="OCF347" s="444" t="s">
        <v>1127</v>
      </c>
      <c r="OCG347" s="444">
        <v>6</v>
      </c>
      <c r="OCH347" s="444" t="s">
        <v>1127</v>
      </c>
      <c r="OCI347" s="444">
        <v>6</v>
      </c>
      <c r="OCJ347" s="444" t="s">
        <v>1127</v>
      </c>
      <c r="OCK347" s="444">
        <v>6</v>
      </c>
      <c r="OCL347" s="444" t="s">
        <v>1127</v>
      </c>
      <c r="OCM347" s="444">
        <v>6</v>
      </c>
      <c r="OCN347" s="444" t="s">
        <v>1127</v>
      </c>
      <c r="OCO347" s="444">
        <v>6</v>
      </c>
      <c r="OCP347" s="444" t="s">
        <v>1127</v>
      </c>
      <c r="OCQ347" s="444">
        <v>6</v>
      </c>
      <c r="OCR347" s="444" t="s">
        <v>1127</v>
      </c>
      <c r="OCS347" s="444">
        <v>6</v>
      </c>
      <c r="OCT347" s="444" t="s">
        <v>1127</v>
      </c>
      <c r="OCU347" s="444">
        <v>6</v>
      </c>
      <c r="OCV347" s="444" t="s">
        <v>1127</v>
      </c>
      <c r="OCW347" s="444">
        <v>6</v>
      </c>
      <c r="OCX347" s="444" t="s">
        <v>1127</v>
      </c>
      <c r="OCY347" s="444">
        <v>6</v>
      </c>
      <c r="OCZ347" s="444" t="s">
        <v>1127</v>
      </c>
      <c r="ODA347" s="444">
        <v>6</v>
      </c>
      <c r="ODB347" s="444" t="s">
        <v>1127</v>
      </c>
      <c r="ODC347" s="444">
        <v>6</v>
      </c>
      <c r="ODD347" s="444" t="s">
        <v>1127</v>
      </c>
      <c r="ODE347" s="444">
        <v>6</v>
      </c>
      <c r="ODF347" s="444" t="s">
        <v>1127</v>
      </c>
      <c r="ODG347" s="444">
        <v>6</v>
      </c>
      <c r="ODH347" s="444" t="s">
        <v>1127</v>
      </c>
      <c r="ODI347" s="444">
        <v>6</v>
      </c>
      <c r="ODJ347" s="444" t="s">
        <v>1127</v>
      </c>
      <c r="ODK347" s="444">
        <v>6</v>
      </c>
      <c r="ODL347" s="444" t="s">
        <v>1127</v>
      </c>
      <c r="ODM347" s="444">
        <v>6</v>
      </c>
      <c r="ODN347" s="444" t="s">
        <v>1127</v>
      </c>
      <c r="ODO347" s="444">
        <v>6</v>
      </c>
      <c r="ODP347" s="444" t="s">
        <v>1127</v>
      </c>
      <c r="ODQ347" s="444">
        <v>6</v>
      </c>
      <c r="ODR347" s="444" t="s">
        <v>1127</v>
      </c>
      <c r="ODS347" s="444">
        <v>6</v>
      </c>
      <c r="ODT347" s="444" t="s">
        <v>1127</v>
      </c>
      <c r="ODU347" s="444">
        <v>6</v>
      </c>
      <c r="ODV347" s="444" t="s">
        <v>1127</v>
      </c>
      <c r="ODW347" s="444">
        <v>6</v>
      </c>
      <c r="ODX347" s="444" t="s">
        <v>1127</v>
      </c>
      <c r="ODY347" s="444">
        <v>6</v>
      </c>
      <c r="ODZ347" s="444" t="s">
        <v>1127</v>
      </c>
      <c r="OEA347" s="444">
        <v>6</v>
      </c>
      <c r="OEB347" s="444" t="s">
        <v>1127</v>
      </c>
      <c r="OEC347" s="444">
        <v>6</v>
      </c>
      <c r="OED347" s="444" t="s">
        <v>1127</v>
      </c>
      <c r="OEE347" s="444">
        <v>6</v>
      </c>
      <c r="OEF347" s="444" t="s">
        <v>1127</v>
      </c>
      <c r="OEG347" s="444">
        <v>6</v>
      </c>
      <c r="OEH347" s="444" t="s">
        <v>1127</v>
      </c>
      <c r="OEI347" s="444">
        <v>6</v>
      </c>
      <c r="OEJ347" s="444" t="s">
        <v>1127</v>
      </c>
      <c r="OEK347" s="444">
        <v>6</v>
      </c>
      <c r="OEL347" s="444" t="s">
        <v>1127</v>
      </c>
      <c r="OEM347" s="444">
        <v>6</v>
      </c>
      <c r="OEN347" s="444" t="s">
        <v>1127</v>
      </c>
      <c r="OEO347" s="444">
        <v>6</v>
      </c>
      <c r="OEP347" s="444" t="s">
        <v>1127</v>
      </c>
      <c r="OEQ347" s="444">
        <v>6</v>
      </c>
      <c r="OER347" s="444" t="s">
        <v>1127</v>
      </c>
      <c r="OES347" s="444">
        <v>6</v>
      </c>
      <c r="OET347" s="444" t="s">
        <v>1127</v>
      </c>
      <c r="OEU347" s="444">
        <v>6</v>
      </c>
      <c r="OEV347" s="444" t="s">
        <v>1127</v>
      </c>
      <c r="OEW347" s="444">
        <v>6</v>
      </c>
      <c r="OEX347" s="444" t="s">
        <v>1127</v>
      </c>
      <c r="OEY347" s="444">
        <v>6</v>
      </c>
      <c r="OEZ347" s="444" t="s">
        <v>1127</v>
      </c>
      <c r="OFA347" s="444">
        <v>6</v>
      </c>
      <c r="OFB347" s="444" t="s">
        <v>1127</v>
      </c>
      <c r="OFC347" s="444">
        <v>6</v>
      </c>
      <c r="OFD347" s="444" t="s">
        <v>1127</v>
      </c>
      <c r="OFE347" s="444">
        <v>6</v>
      </c>
      <c r="OFF347" s="444" t="s">
        <v>1127</v>
      </c>
      <c r="OFG347" s="444">
        <v>6</v>
      </c>
      <c r="OFH347" s="444" t="s">
        <v>1127</v>
      </c>
      <c r="OFI347" s="444">
        <v>6</v>
      </c>
      <c r="OFJ347" s="444" t="s">
        <v>1127</v>
      </c>
      <c r="OFK347" s="444">
        <v>6</v>
      </c>
      <c r="OFL347" s="444" t="s">
        <v>1127</v>
      </c>
      <c r="OFM347" s="444">
        <v>6</v>
      </c>
      <c r="OFN347" s="444" t="s">
        <v>1127</v>
      </c>
      <c r="OFO347" s="444">
        <v>6</v>
      </c>
      <c r="OFP347" s="444" t="s">
        <v>1127</v>
      </c>
      <c r="OFQ347" s="444">
        <v>6</v>
      </c>
      <c r="OFR347" s="444" t="s">
        <v>1127</v>
      </c>
      <c r="OFS347" s="444">
        <v>6</v>
      </c>
      <c r="OFT347" s="444" t="s">
        <v>1127</v>
      </c>
      <c r="OFU347" s="444">
        <v>6</v>
      </c>
      <c r="OFV347" s="444" t="s">
        <v>1127</v>
      </c>
      <c r="OFW347" s="444">
        <v>6</v>
      </c>
      <c r="OFX347" s="444" t="s">
        <v>1127</v>
      </c>
      <c r="OFY347" s="444">
        <v>6</v>
      </c>
      <c r="OFZ347" s="444" t="s">
        <v>1127</v>
      </c>
      <c r="OGA347" s="444">
        <v>6</v>
      </c>
      <c r="OGB347" s="444" t="s">
        <v>1127</v>
      </c>
      <c r="OGC347" s="444">
        <v>6</v>
      </c>
      <c r="OGD347" s="444" t="s">
        <v>1127</v>
      </c>
      <c r="OGE347" s="444">
        <v>6</v>
      </c>
      <c r="OGF347" s="444" t="s">
        <v>1127</v>
      </c>
      <c r="OGG347" s="444">
        <v>6</v>
      </c>
      <c r="OGH347" s="444" t="s">
        <v>1127</v>
      </c>
      <c r="OGI347" s="444">
        <v>6</v>
      </c>
      <c r="OGJ347" s="444" t="s">
        <v>1127</v>
      </c>
      <c r="OGK347" s="444">
        <v>6</v>
      </c>
      <c r="OGL347" s="444" t="s">
        <v>1127</v>
      </c>
      <c r="OGM347" s="444">
        <v>6</v>
      </c>
      <c r="OGN347" s="444" t="s">
        <v>1127</v>
      </c>
      <c r="OGO347" s="444">
        <v>6</v>
      </c>
      <c r="OGP347" s="444" t="s">
        <v>1127</v>
      </c>
      <c r="OGQ347" s="444">
        <v>6</v>
      </c>
      <c r="OGR347" s="444" t="s">
        <v>1127</v>
      </c>
      <c r="OGS347" s="444">
        <v>6</v>
      </c>
      <c r="OGT347" s="444" t="s">
        <v>1127</v>
      </c>
      <c r="OGU347" s="444">
        <v>6</v>
      </c>
      <c r="OGV347" s="444" t="s">
        <v>1127</v>
      </c>
      <c r="OGW347" s="444">
        <v>6</v>
      </c>
      <c r="OGX347" s="444" t="s">
        <v>1127</v>
      </c>
      <c r="OGY347" s="444">
        <v>6</v>
      </c>
      <c r="OGZ347" s="444" t="s">
        <v>1127</v>
      </c>
      <c r="OHA347" s="444">
        <v>6</v>
      </c>
      <c r="OHB347" s="444" t="s">
        <v>1127</v>
      </c>
      <c r="OHC347" s="444">
        <v>6</v>
      </c>
      <c r="OHD347" s="444" t="s">
        <v>1127</v>
      </c>
      <c r="OHE347" s="444">
        <v>6</v>
      </c>
      <c r="OHF347" s="444" t="s">
        <v>1127</v>
      </c>
      <c r="OHG347" s="444">
        <v>6</v>
      </c>
      <c r="OHH347" s="444" t="s">
        <v>1127</v>
      </c>
      <c r="OHI347" s="444">
        <v>6</v>
      </c>
      <c r="OHJ347" s="444" t="s">
        <v>1127</v>
      </c>
      <c r="OHK347" s="444">
        <v>6</v>
      </c>
      <c r="OHL347" s="444" t="s">
        <v>1127</v>
      </c>
      <c r="OHM347" s="444">
        <v>6</v>
      </c>
      <c r="OHN347" s="444" t="s">
        <v>1127</v>
      </c>
      <c r="OHO347" s="444">
        <v>6</v>
      </c>
      <c r="OHP347" s="444" t="s">
        <v>1127</v>
      </c>
      <c r="OHQ347" s="444">
        <v>6</v>
      </c>
      <c r="OHR347" s="444" t="s">
        <v>1127</v>
      </c>
      <c r="OHS347" s="444">
        <v>6</v>
      </c>
      <c r="OHT347" s="444" t="s">
        <v>1127</v>
      </c>
      <c r="OHU347" s="444">
        <v>6</v>
      </c>
      <c r="OHV347" s="444" t="s">
        <v>1127</v>
      </c>
      <c r="OHW347" s="444">
        <v>6</v>
      </c>
      <c r="OHX347" s="444" t="s">
        <v>1127</v>
      </c>
      <c r="OHY347" s="444">
        <v>6</v>
      </c>
      <c r="OHZ347" s="444" t="s">
        <v>1127</v>
      </c>
      <c r="OIA347" s="444">
        <v>6</v>
      </c>
      <c r="OIB347" s="444" t="s">
        <v>1127</v>
      </c>
      <c r="OIC347" s="444">
        <v>6</v>
      </c>
      <c r="OID347" s="444" t="s">
        <v>1127</v>
      </c>
      <c r="OIE347" s="444">
        <v>6</v>
      </c>
      <c r="OIF347" s="444" t="s">
        <v>1127</v>
      </c>
      <c r="OIG347" s="444">
        <v>6</v>
      </c>
      <c r="OIH347" s="444" t="s">
        <v>1127</v>
      </c>
      <c r="OII347" s="444">
        <v>6</v>
      </c>
      <c r="OIJ347" s="444" t="s">
        <v>1127</v>
      </c>
      <c r="OIK347" s="444">
        <v>6</v>
      </c>
      <c r="OIL347" s="444" t="s">
        <v>1127</v>
      </c>
      <c r="OIM347" s="444">
        <v>6</v>
      </c>
      <c r="OIN347" s="444" t="s">
        <v>1127</v>
      </c>
      <c r="OIO347" s="444">
        <v>6</v>
      </c>
      <c r="OIP347" s="444" t="s">
        <v>1127</v>
      </c>
      <c r="OIQ347" s="444">
        <v>6</v>
      </c>
      <c r="OIR347" s="444" t="s">
        <v>1127</v>
      </c>
      <c r="OIS347" s="444">
        <v>6</v>
      </c>
      <c r="OIT347" s="444" t="s">
        <v>1127</v>
      </c>
      <c r="OIU347" s="444">
        <v>6</v>
      </c>
      <c r="OIV347" s="444" t="s">
        <v>1127</v>
      </c>
      <c r="OIW347" s="444">
        <v>6</v>
      </c>
      <c r="OIX347" s="444" t="s">
        <v>1127</v>
      </c>
      <c r="OIY347" s="444">
        <v>6</v>
      </c>
      <c r="OIZ347" s="444" t="s">
        <v>1127</v>
      </c>
      <c r="OJA347" s="444">
        <v>6</v>
      </c>
      <c r="OJB347" s="444" t="s">
        <v>1127</v>
      </c>
      <c r="OJC347" s="444">
        <v>6</v>
      </c>
      <c r="OJD347" s="444" t="s">
        <v>1127</v>
      </c>
      <c r="OJE347" s="444">
        <v>6</v>
      </c>
      <c r="OJF347" s="444" t="s">
        <v>1127</v>
      </c>
      <c r="OJG347" s="444">
        <v>6</v>
      </c>
      <c r="OJH347" s="444" t="s">
        <v>1127</v>
      </c>
      <c r="OJI347" s="444">
        <v>6</v>
      </c>
      <c r="OJJ347" s="444" t="s">
        <v>1127</v>
      </c>
      <c r="OJK347" s="444">
        <v>6</v>
      </c>
      <c r="OJL347" s="444" t="s">
        <v>1127</v>
      </c>
      <c r="OJM347" s="444">
        <v>6</v>
      </c>
      <c r="OJN347" s="444" t="s">
        <v>1127</v>
      </c>
      <c r="OJO347" s="444">
        <v>6</v>
      </c>
      <c r="OJP347" s="444" t="s">
        <v>1127</v>
      </c>
      <c r="OJQ347" s="444">
        <v>6</v>
      </c>
      <c r="OJR347" s="444" t="s">
        <v>1127</v>
      </c>
      <c r="OJS347" s="444">
        <v>6</v>
      </c>
      <c r="OJT347" s="444" t="s">
        <v>1127</v>
      </c>
      <c r="OJU347" s="444">
        <v>6</v>
      </c>
      <c r="OJV347" s="444" t="s">
        <v>1127</v>
      </c>
      <c r="OJW347" s="444">
        <v>6</v>
      </c>
      <c r="OJX347" s="444" t="s">
        <v>1127</v>
      </c>
      <c r="OJY347" s="444">
        <v>6</v>
      </c>
      <c r="OJZ347" s="444" t="s">
        <v>1127</v>
      </c>
      <c r="OKA347" s="444">
        <v>6</v>
      </c>
      <c r="OKB347" s="444" t="s">
        <v>1127</v>
      </c>
      <c r="OKC347" s="444">
        <v>6</v>
      </c>
      <c r="OKD347" s="444" t="s">
        <v>1127</v>
      </c>
      <c r="OKE347" s="444">
        <v>6</v>
      </c>
      <c r="OKF347" s="444" t="s">
        <v>1127</v>
      </c>
      <c r="OKG347" s="444">
        <v>6</v>
      </c>
      <c r="OKH347" s="444" t="s">
        <v>1127</v>
      </c>
      <c r="OKI347" s="444">
        <v>6</v>
      </c>
      <c r="OKJ347" s="444" t="s">
        <v>1127</v>
      </c>
      <c r="OKK347" s="444">
        <v>6</v>
      </c>
      <c r="OKL347" s="444" t="s">
        <v>1127</v>
      </c>
      <c r="OKM347" s="444">
        <v>6</v>
      </c>
      <c r="OKN347" s="444" t="s">
        <v>1127</v>
      </c>
      <c r="OKO347" s="444">
        <v>6</v>
      </c>
      <c r="OKP347" s="444" t="s">
        <v>1127</v>
      </c>
      <c r="OKQ347" s="444">
        <v>6</v>
      </c>
      <c r="OKR347" s="444" t="s">
        <v>1127</v>
      </c>
      <c r="OKS347" s="444">
        <v>6</v>
      </c>
      <c r="OKT347" s="444" t="s">
        <v>1127</v>
      </c>
      <c r="OKU347" s="444">
        <v>6</v>
      </c>
      <c r="OKV347" s="444" t="s">
        <v>1127</v>
      </c>
      <c r="OKW347" s="444">
        <v>6</v>
      </c>
      <c r="OKX347" s="444" t="s">
        <v>1127</v>
      </c>
      <c r="OKY347" s="444">
        <v>6</v>
      </c>
      <c r="OKZ347" s="444" t="s">
        <v>1127</v>
      </c>
      <c r="OLA347" s="444">
        <v>6</v>
      </c>
      <c r="OLB347" s="444" t="s">
        <v>1127</v>
      </c>
      <c r="OLC347" s="444">
        <v>6</v>
      </c>
      <c r="OLD347" s="444" t="s">
        <v>1127</v>
      </c>
      <c r="OLE347" s="444">
        <v>6</v>
      </c>
      <c r="OLF347" s="444" t="s">
        <v>1127</v>
      </c>
      <c r="OLG347" s="444">
        <v>6</v>
      </c>
      <c r="OLH347" s="444" t="s">
        <v>1127</v>
      </c>
      <c r="OLI347" s="444">
        <v>6</v>
      </c>
      <c r="OLJ347" s="444" t="s">
        <v>1127</v>
      </c>
      <c r="OLK347" s="444">
        <v>6</v>
      </c>
      <c r="OLL347" s="444" t="s">
        <v>1127</v>
      </c>
      <c r="OLM347" s="444">
        <v>6</v>
      </c>
      <c r="OLN347" s="444" t="s">
        <v>1127</v>
      </c>
      <c r="OLO347" s="444">
        <v>6</v>
      </c>
      <c r="OLP347" s="444" t="s">
        <v>1127</v>
      </c>
      <c r="OLQ347" s="444">
        <v>6</v>
      </c>
      <c r="OLR347" s="444" t="s">
        <v>1127</v>
      </c>
      <c r="OLS347" s="444">
        <v>6</v>
      </c>
      <c r="OLT347" s="444" t="s">
        <v>1127</v>
      </c>
      <c r="OLU347" s="444">
        <v>6</v>
      </c>
      <c r="OLV347" s="444" t="s">
        <v>1127</v>
      </c>
      <c r="OLW347" s="444">
        <v>6</v>
      </c>
      <c r="OLX347" s="444" t="s">
        <v>1127</v>
      </c>
      <c r="OLY347" s="444">
        <v>6</v>
      </c>
      <c r="OLZ347" s="444" t="s">
        <v>1127</v>
      </c>
      <c r="OMA347" s="444">
        <v>6</v>
      </c>
      <c r="OMB347" s="444" t="s">
        <v>1127</v>
      </c>
      <c r="OMC347" s="444">
        <v>6</v>
      </c>
      <c r="OMD347" s="444" t="s">
        <v>1127</v>
      </c>
      <c r="OME347" s="444">
        <v>6</v>
      </c>
      <c r="OMF347" s="444" t="s">
        <v>1127</v>
      </c>
      <c r="OMG347" s="444">
        <v>6</v>
      </c>
      <c r="OMH347" s="444" t="s">
        <v>1127</v>
      </c>
      <c r="OMI347" s="444">
        <v>6</v>
      </c>
      <c r="OMJ347" s="444" t="s">
        <v>1127</v>
      </c>
      <c r="OMK347" s="444">
        <v>6</v>
      </c>
      <c r="OML347" s="444" t="s">
        <v>1127</v>
      </c>
      <c r="OMM347" s="444">
        <v>6</v>
      </c>
      <c r="OMN347" s="444" t="s">
        <v>1127</v>
      </c>
      <c r="OMO347" s="444">
        <v>6</v>
      </c>
      <c r="OMP347" s="444" t="s">
        <v>1127</v>
      </c>
      <c r="OMQ347" s="444">
        <v>6</v>
      </c>
      <c r="OMR347" s="444" t="s">
        <v>1127</v>
      </c>
      <c r="OMS347" s="444">
        <v>6</v>
      </c>
      <c r="OMT347" s="444" t="s">
        <v>1127</v>
      </c>
      <c r="OMU347" s="444">
        <v>6</v>
      </c>
      <c r="OMV347" s="444" t="s">
        <v>1127</v>
      </c>
      <c r="OMW347" s="444">
        <v>6</v>
      </c>
      <c r="OMX347" s="444" t="s">
        <v>1127</v>
      </c>
      <c r="OMY347" s="444">
        <v>6</v>
      </c>
      <c r="OMZ347" s="444" t="s">
        <v>1127</v>
      </c>
      <c r="ONA347" s="444">
        <v>6</v>
      </c>
      <c r="ONB347" s="444" t="s">
        <v>1127</v>
      </c>
      <c r="ONC347" s="444">
        <v>6</v>
      </c>
      <c r="OND347" s="444" t="s">
        <v>1127</v>
      </c>
      <c r="ONE347" s="444">
        <v>6</v>
      </c>
      <c r="ONF347" s="444" t="s">
        <v>1127</v>
      </c>
      <c r="ONG347" s="444">
        <v>6</v>
      </c>
      <c r="ONH347" s="444" t="s">
        <v>1127</v>
      </c>
      <c r="ONI347" s="444">
        <v>6</v>
      </c>
      <c r="ONJ347" s="444" t="s">
        <v>1127</v>
      </c>
      <c r="ONK347" s="444">
        <v>6</v>
      </c>
      <c r="ONL347" s="444" t="s">
        <v>1127</v>
      </c>
      <c r="ONM347" s="444">
        <v>6</v>
      </c>
      <c r="ONN347" s="444" t="s">
        <v>1127</v>
      </c>
      <c r="ONO347" s="444">
        <v>6</v>
      </c>
      <c r="ONP347" s="444" t="s">
        <v>1127</v>
      </c>
      <c r="ONQ347" s="444">
        <v>6</v>
      </c>
      <c r="ONR347" s="444" t="s">
        <v>1127</v>
      </c>
      <c r="ONS347" s="444">
        <v>6</v>
      </c>
      <c r="ONT347" s="444" t="s">
        <v>1127</v>
      </c>
      <c r="ONU347" s="444">
        <v>6</v>
      </c>
      <c r="ONV347" s="444" t="s">
        <v>1127</v>
      </c>
      <c r="ONW347" s="444">
        <v>6</v>
      </c>
      <c r="ONX347" s="444" t="s">
        <v>1127</v>
      </c>
      <c r="ONY347" s="444">
        <v>6</v>
      </c>
      <c r="ONZ347" s="444" t="s">
        <v>1127</v>
      </c>
      <c r="OOA347" s="444">
        <v>6</v>
      </c>
      <c r="OOB347" s="444" t="s">
        <v>1127</v>
      </c>
      <c r="OOC347" s="444">
        <v>6</v>
      </c>
      <c r="OOD347" s="444" t="s">
        <v>1127</v>
      </c>
      <c r="OOE347" s="444">
        <v>6</v>
      </c>
      <c r="OOF347" s="444" t="s">
        <v>1127</v>
      </c>
      <c r="OOG347" s="444">
        <v>6</v>
      </c>
      <c r="OOH347" s="444" t="s">
        <v>1127</v>
      </c>
      <c r="OOI347" s="444">
        <v>6</v>
      </c>
      <c r="OOJ347" s="444" t="s">
        <v>1127</v>
      </c>
      <c r="OOK347" s="444">
        <v>6</v>
      </c>
      <c r="OOL347" s="444" t="s">
        <v>1127</v>
      </c>
      <c r="OOM347" s="444">
        <v>6</v>
      </c>
      <c r="OON347" s="444" t="s">
        <v>1127</v>
      </c>
      <c r="OOO347" s="444">
        <v>6</v>
      </c>
      <c r="OOP347" s="444" t="s">
        <v>1127</v>
      </c>
      <c r="OOQ347" s="444">
        <v>6</v>
      </c>
      <c r="OOR347" s="444" t="s">
        <v>1127</v>
      </c>
      <c r="OOS347" s="444">
        <v>6</v>
      </c>
      <c r="OOT347" s="444" t="s">
        <v>1127</v>
      </c>
      <c r="OOU347" s="444">
        <v>6</v>
      </c>
      <c r="OOV347" s="444" t="s">
        <v>1127</v>
      </c>
      <c r="OOW347" s="444">
        <v>6</v>
      </c>
      <c r="OOX347" s="444" t="s">
        <v>1127</v>
      </c>
      <c r="OOY347" s="444">
        <v>6</v>
      </c>
      <c r="OOZ347" s="444" t="s">
        <v>1127</v>
      </c>
      <c r="OPA347" s="444">
        <v>6</v>
      </c>
      <c r="OPB347" s="444" t="s">
        <v>1127</v>
      </c>
      <c r="OPC347" s="444">
        <v>6</v>
      </c>
      <c r="OPD347" s="444" t="s">
        <v>1127</v>
      </c>
      <c r="OPE347" s="444">
        <v>6</v>
      </c>
      <c r="OPF347" s="444" t="s">
        <v>1127</v>
      </c>
      <c r="OPG347" s="444">
        <v>6</v>
      </c>
      <c r="OPH347" s="444" t="s">
        <v>1127</v>
      </c>
      <c r="OPI347" s="444">
        <v>6</v>
      </c>
      <c r="OPJ347" s="444" t="s">
        <v>1127</v>
      </c>
      <c r="OPK347" s="444">
        <v>6</v>
      </c>
      <c r="OPL347" s="444" t="s">
        <v>1127</v>
      </c>
      <c r="OPM347" s="444">
        <v>6</v>
      </c>
      <c r="OPN347" s="444" t="s">
        <v>1127</v>
      </c>
      <c r="OPO347" s="444">
        <v>6</v>
      </c>
      <c r="OPP347" s="444" t="s">
        <v>1127</v>
      </c>
      <c r="OPQ347" s="444">
        <v>6</v>
      </c>
      <c r="OPR347" s="444" t="s">
        <v>1127</v>
      </c>
      <c r="OPS347" s="444">
        <v>6</v>
      </c>
      <c r="OPT347" s="444" t="s">
        <v>1127</v>
      </c>
      <c r="OPU347" s="444">
        <v>6</v>
      </c>
      <c r="OPV347" s="444" t="s">
        <v>1127</v>
      </c>
      <c r="OPW347" s="444">
        <v>6</v>
      </c>
      <c r="OPX347" s="444" t="s">
        <v>1127</v>
      </c>
      <c r="OPY347" s="444">
        <v>6</v>
      </c>
      <c r="OPZ347" s="444" t="s">
        <v>1127</v>
      </c>
      <c r="OQA347" s="444">
        <v>6</v>
      </c>
      <c r="OQB347" s="444" t="s">
        <v>1127</v>
      </c>
      <c r="OQC347" s="444">
        <v>6</v>
      </c>
      <c r="OQD347" s="444" t="s">
        <v>1127</v>
      </c>
      <c r="OQE347" s="444">
        <v>6</v>
      </c>
      <c r="OQF347" s="444" t="s">
        <v>1127</v>
      </c>
      <c r="OQG347" s="444">
        <v>6</v>
      </c>
      <c r="OQH347" s="444" t="s">
        <v>1127</v>
      </c>
      <c r="OQI347" s="444">
        <v>6</v>
      </c>
      <c r="OQJ347" s="444" t="s">
        <v>1127</v>
      </c>
      <c r="OQK347" s="444">
        <v>6</v>
      </c>
      <c r="OQL347" s="444" t="s">
        <v>1127</v>
      </c>
      <c r="OQM347" s="444">
        <v>6</v>
      </c>
      <c r="OQN347" s="444" t="s">
        <v>1127</v>
      </c>
      <c r="OQO347" s="444">
        <v>6</v>
      </c>
      <c r="OQP347" s="444" t="s">
        <v>1127</v>
      </c>
      <c r="OQQ347" s="444">
        <v>6</v>
      </c>
      <c r="OQR347" s="444" t="s">
        <v>1127</v>
      </c>
      <c r="OQS347" s="444">
        <v>6</v>
      </c>
      <c r="OQT347" s="444" t="s">
        <v>1127</v>
      </c>
      <c r="OQU347" s="444">
        <v>6</v>
      </c>
      <c r="OQV347" s="444" t="s">
        <v>1127</v>
      </c>
      <c r="OQW347" s="444">
        <v>6</v>
      </c>
      <c r="OQX347" s="444" t="s">
        <v>1127</v>
      </c>
      <c r="OQY347" s="444">
        <v>6</v>
      </c>
      <c r="OQZ347" s="444" t="s">
        <v>1127</v>
      </c>
      <c r="ORA347" s="444">
        <v>6</v>
      </c>
      <c r="ORB347" s="444" t="s">
        <v>1127</v>
      </c>
      <c r="ORC347" s="444">
        <v>6</v>
      </c>
      <c r="ORD347" s="444" t="s">
        <v>1127</v>
      </c>
      <c r="ORE347" s="444">
        <v>6</v>
      </c>
      <c r="ORF347" s="444" t="s">
        <v>1127</v>
      </c>
      <c r="ORG347" s="444">
        <v>6</v>
      </c>
      <c r="ORH347" s="444" t="s">
        <v>1127</v>
      </c>
      <c r="ORI347" s="444">
        <v>6</v>
      </c>
      <c r="ORJ347" s="444" t="s">
        <v>1127</v>
      </c>
      <c r="ORK347" s="444">
        <v>6</v>
      </c>
      <c r="ORL347" s="444" t="s">
        <v>1127</v>
      </c>
      <c r="ORM347" s="444">
        <v>6</v>
      </c>
      <c r="ORN347" s="444" t="s">
        <v>1127</v>
      </c>
      <c r="ORO347" s="444">
        <v>6</v>
      </c>
      <c r="ORP347" s="444" t="s">
        <v>1127</v>
      </c>
      <c r="ORQ347" s="444">
        <v>6</v>
      </c>
      <c r="ORR347" s="444" t="s">
        <v>1127</v>
      </c>
      <c r="ORS347" s="444">
        <v>6</v>
      </c>
      <c r="ORT347" s="444" t="s">
        <v>1127</v>
      </c>
      <c r="ORU347" s="444">
        <v>6</v>
      </c>
      <c r="ORV347" s="444" t="s">
        <v>1127</v>
      </c>
      <c r="ORW347" s="444">
        <v>6</v>
      </c>
      <c r="ORX347" s="444" t="s">
        <v>1127</v>
      </c>
      <c r="ORY347" s="444">
        <v>6</v>
      </c>
      <c r="ORZ347" s="444" t="s">
        <v>1127</v>
      </c>
      <c r="OSA347" s="444">
        <v>6</v>
      </c>
      <c r="OSB347" s="444" t="s">
        <v>1127</v>
      </c>
      <c r="OSC347" s="444">
        <v>6</v>
      </c>
      <c r="OSD347" s="444" t="s">
        <v>1127</v>
      </c>
      <c r="OSE347" s="444">
        <v>6</v>
      </c>
      <c r="OSF347" s="444" t="s">
        <v>1127</v>
      </c>
      <c r="OSG347" s="444">
        <v>6</v>
      </c>
      <c r="OSH347" s="444" t="s">
        <v>1127</v>
      </c>
      <c r="OSI347" s="444">
        <v>6</v>
      </c>
      <c r="OSJ347" s="444" t="s">
        <v>1127</v>
      </c>
      <c r="OSK347" s="444">
        <v>6</v>
      </c>
      <c r="OSL347" s="444" t="s">
        <v>1127</v>
      </c>
      <c r="OSM347" s="444">
        <v>6</v>
      </c>
      <c r="OSN347" s="444" t="s">
        <v>1127</v>
      </c>
      <c r="OSO347" s="444">
        <v>6</v>
      </c>
      <c r="OSP347" s="444" t="s">
        <v>1127</v>
      </c>
      <c r="OSQ347" s="444">
        <v>6</v>
      </c>
      <c r="OSR347" s="444" t="s">
        <v>1127</v>
      </c>
      <c r="OSS347" s="444">
        <v>6</v>
      </c>
      <c r="OST347" s="444" t="s">
        <v>1127</v>
      </c>
      <c r="OSU347" s="444">
        <v>6</v>
      </c>
      <c r="OSV347" s="444" t="s">
        <v>1127</v>
      </c>
      <c r="OSW347" s="444">
        <v>6</v>
      </c>
      <c r="OSX347" s="444" t="s">
        <v>1127</v>
      </c>
      <c r="OSY347" s="444">
        <v>6</v>
      </c>
      <c r="OSZ347" s="444" t="s">
        <v>1127</v>
      </c>
      <c r="OTA347" s="444">
        <v>6</v>
      </c>
      <c r="OTB347" s="444" t="s">
        <v>1127</v>
      </c>
      <c r="OTC347" s="444">
        <v>6</v>
      </c>
      <c r="OTD347" s="444" t="s">
        <v>1127</v>
      </c>
      <c r="OTE347" s="444">
        <v>6</v>
      </c>
      <c r="OTF347" s="444" t="s">
        <v>1127</v>
      </c>
      <c r="OTG347" s="444">
        <v>6</v>
      </c>
      <c r="OTH347" s="444" t="s">
        <v>1127</v>
      </c>
      <c r="OTI347" s="444">
        <v>6</v>
      </c>
      <c r="OTJ347" s="444" t="s">
        <v>1127</v>
      </c>
      <c r="OTK347" s="444">
        <v>6</v>
      </c>
      <c r="OTL347" s="444" t="s">
        <v>1127</v>
      </c>
      <c r="OTM347" s="444">
        <v>6</v>
      </c>
      <c r="OTN347" s="444" t="s">
        <v>1127</v>
      </c>
      <c r="OTO347" s="444">
        <v>6</v>
      </c>
      <c r="OTP347" s="444" t="s">
        <v>1127</v>
      </c>
      <c r="OTQ347" s="444">
        <v>6</v>
      </c>
      <c r="OTR347" s="444" t="s">
        <v>1127</v>
      </c>
      <c r="OTS347" s="444">
        <v>6</v>
      </c>
      <c r="OTT347" s="444" t="s">
        <v>1127</v>
      </c>
      <c r="OTU347" s="444">
        <v>6</v>
      </c>
      <c r="OTV347" s="444" t="s">
        <v>1127</v>
      </c>
      <c r="OTW347" s="444">
        <v>6</v>
      </c>
      <c r="OTX347" s="444" t="s">
        <v>1127</v>
      </c>
      <c r="OTY347" s="444">
        <v>6</v>
      </c>
      <c r="OTZ347" s="444" t="s">
        <v>1127</v>
      </c>
      <c r="OUA347" s="444">
        <v>6</v>
      </c>
      <c r="OUB347" s="444" t="s">
        <v>1127</v>
      </c>
      <c r="OUC347" s="444">
        <v>6</v>
      </c>
      <c r="OUD347" s="444" t="s">
        <v>1127</v>
      </c>
      <c r="OUE347" s="444">
        <v>6</v>
      </c>
      <c r="OUF347" s="444" t="s">
        <v>1127</v>
      </c>
      <c r="OUG347" s="444">
        <v>6</v>
      </c>
      <c r="OUH347" s="444" t="s">
        <v>1127</v>
      </c>
      <c r="OUI347" s="444">
        <v>6</v>
      </c>
      <c r="OUJ347" s="444" t="s">
        <v>1127</v>
      </c>
      <c r="OUK347" s="444">
        <v>6</v>
      </c>
      <c r="OUL347" s="444" t="s">
        <v>1127</v>
      </c>
      <c r="OUM347" s="444">
        <v>6</v>
      </c>
      <c r="OUN347" s="444" t="s">
        <v>1127</v>
      </c>
      <c r="OUO347" s="444">
        <v>6</v>
      </c>
      <c r="OUP347" s="444" t="s">
        <v>1127</v>
      </c>
      <c r="OUQ347" s="444">
        <v>6</v>
      </c>
      <c r="OUR347" s="444" t="s">
        <v>1127</v>
      </c>
      <c r="OUS347" s="444">
        <v>6</v>
      </c>
      <c r="OUT347" s="444" t="s">
        <v>1127</v>
      </c>
      <c r="OUU347" s="444">
        <v>6</v>
      </c>
      <c r="OUV347" s="444" t="s">
        <v>1127</v>
      </c>
      <c r="OUW347" s="444">
        <v>6</v>
      </c>
      <c r="OUX347" s="444" t="s">
        <v>1127</v>
      </c>
      <c r="OUY347" s="444">
        <v>6</v>
      </c>
      <c r="OUZ347" s="444" t="s">
        <v>1127</v>
      </c>
      <c r="OVA347" s="444">
        <v>6</v>
      </c>
      <c r="OVB347" s="444" t="s">
        <v>1127</v>
      </c>
      <c r="OVC347" s="444">
        <v>6</v>
      </c>
      <c r="OVD347" s="444" t="s">
        <v>1127</v>
      </c>
      <c r="OVE347" s="444">
        <v>6</v>
      </c>
      <c r="OVF347" s="444" t="s">
        <v>1127</v>
      </c>
      <c r="OVG347" s="444">
        <v>6</v>
      </c>
      <c r="OVH347" s="444" t="s">
        <v>1127</v>
      </c>
      <c r="OVI347" s="444">
        <v>6</v>
      </c>
      <c r="OVJ347" s="444" t="s">
        <v>1127</v>
      </c>
      <c r="OVK347" s="444">
        <v>6</v>
      </c>
      <c r="OVL347" s="444" t="s">
        <v>1127</v>
      </c>
      <c r="OVM347" s="444">
        <v>6</v>
      </c>
      <c r="OVN347" s="444" t="s">
        <v>1127</v>
      </c>
      <c r="OVO347" s="444">
        <v>6</v>
      </c>
      <c r="OVP347" s="444" t="s">
        <v>1127</v>
      </c>
      <c r="OVQ347" s="444">
        <v>6</v>
      </c>
      <c r="OVR347" s="444" t="s">
        <v>1127</v>
      </c>
      <c r="OVS347" s="444">
        <v>6</v>
      </c>
      <c r="OVT347" s="444" t="s">
        <v>1127</v>
      </c>
      <c r="OVU347" s="444">
        <v>6</v>
      </c>
      <c r="OVV347" s="444" t="s">
        <v>1127</v>
      </c>
      <c r="OVW347" s="444">
        <v>6</v>
      </c>
      <c r="OVX347" s="444" t="s">
        <v>1127</v>
      </c>
      <c r="OVY347" s="444">
        <v>6</v>
      </c>
      <c r="OVZ347" s="444" t="s">
        <v>1127</v>
      </c>
      <c r="OWA347" s="444">
        <v>6</v>
      </c>
      <c r="OWB347" s="444" t="s">
        <v>1127</v>
      </c>
      <c r="OWC347" s="444">
        <v>6</v>
      </c>
      <c r="OWD347" s="444" t="s">
        <v>1127</v>
      </c>
      <c r="OWE347" s="444">
        <v>6</v>
      </c>
      <c r="OWF347" s="444" t="s">
        <v>1127</v>
      </c>
      <c r="OWG347" s="444">
        <v>6</v>
      </c>
      <c r="OWH347" s="444" t="s">
        <v>1127</v>
      </c>
      <c r="OWI347" s="444">
        <v>6</v>
      </c>
      <c r="OWJ347" s="444" t="s">
        <v>1127</v>
      </c>
      <c r="OWK347" s="444">
        <v>6</v>
      </c>
      <c r="OWL347" s="444" t="s">
        <v>1127</v>
      </c>
      <c r="OWM347" s="444">
        <v>6</v>
      </c>
      <c r="OWN347" s="444" t="s">
        <v>1127</v>
      </c>
      <c r="OWO347" s="444">
        <v>6</v>
      </c>
      <c r="OWP347" s="444" t="s">
        <v>1127</v>
      </c>
      <c r="OWQ347" s="444">
        <v>6</v>
      </c>
      <c r="OWR347" s="444" t="s">
        <v>1127</v>
      </c>
      <c r="OWS347" s="444">
        <v>6</v>
      </c>
      <c r="OWT347" s="444" t="s">
        <v>1127</v>
      </c>
      <c r="OWU347" s="444">
        <v>6</v>
      </c>
      <c r="OWV347" s="444" t="s">
        <v>1127</v>
      </c>
      <c r="OWW347" s="444">
        <v>6</v>
      </c>
      <c r="OWX347" s="444" t="s">
        <v>1127</v>
      </c>
      <c r="OWY347" s="444">
        <v>6</v>
      </c>
      <c r="OWZ347" s="444" t="s">
        <v>1127</v>
      </c>
      <c r="OXA347" s="444">
        <v>6</v>
      </c>
      <c r="OXB347" s="444" t="s">
        <v>1127</v>
      </c>
      <c r="OXC347" s="444">
        <v>6</v>
      </c>
      <c r="OXD347" s="444" t="s">
        <v>1127</v>
      </c>
      <c r="OXE347" s="444">
        <v>6</v>
      </c>
      <c r="OXF347" s="444" t="s">
        <v>1127</v>
      </c>
      <c r="OXG347" s="444">
        <v>6</v>
      </c>
      <c r="OXH347" s="444" t="s">
        <v>1127</v>
      </c>
      <c r="OXI347" s="444">
        <v>6</v>
      </c>
      <c r="OXJ347" s="444" t="s">
        <v>1127</v>
      </c>
      <c r="OXK347" s="444">
        <v>6</v>
      </c>
      <c r="OXL347" s="444" t="s">
        <v>1127</v>
      </c>
      <c r="OXM347" s="444">
        <v>6</v>
      </c>
      <c r="OXN347" s="444" t="s">
        <v>1127</v>
      </c>
      <c r="OXO347" s="444">
        <v>6</v>
      </c>
      <c r="OXP347" s="444" t="s">
        <v>1127</v>
      </c>
      <c r="OXQ347" s="444">
        <v>6</v>
      </c>
      <c r="OXR347" s="444" t="s">
        <v>1127</v>
      </c>
      <c r="OXS347" s="444">
        <v>6</v>
      </c>
      <c r="OXT347" s="444" t="s">
        <v>1127</v>
      </c>
      <c r="OXU347" s="444">
        <v>6</v>
      </c>
      <c r="OXV347" s="444" t="s">
        <v>1127</v>
      </c>
      <c r="OXW347" s="444">
        <v>6</v>
      </c>
      <c r="OXX347" s="444" t="s">
        <v>1127</v>
      </c>
      <c r="OXY347" s="444">
        <v>6</v>
      </c>
      <c r="OXZ347" s="444" t="s">
        <v>1127</v>
      </c>
      <c r="OYA347" s="444">
        <v>6</v>
      </c>
      <c r="OYB347" s="444" t="s">
        <v>1127</v>
      </c>
      <c r="OYC347" s="444">
        <v>6</v>
      </c>
      <c r="OYD347" s="444" t="s">
        <v>1127</v>
      </c>
      <c r="OYE347" s="444">
        <v>6</v>
      </c>
      <c r="OYF347" s="444" t="s">
        <v>1127</v>
      </c>
      <c r="OYG347" s="444">
        <v>6</v>
      </c>
      <c r="OYH347" s="444" t="s">
        <v>1127</v>
      </c>
      <c r="OYI347" s="444">
        <v>6</v>
      </c>
      <c r="OYJ347" s="444" t="s">
        <v>1127</v>
      </c>
      <c r="OYK347" s="444">
        <v>6</v>
      </c>
      <c r="OYL347" s="444" t="s">
        <v>1127</v>
      </c>
      <c r="OYM347" s="444">
        <v>6</v>
      </c>
      <c r="OYN347" s="444" t="s">
        <v>1127</v>
      </c>
      <c r="OYO347" s="444">
        <v>6</v>
      </c>
      <c r="OYP347" s="444" t="s">
        <v>1127</v>
      </c>
      <c r="OYQ347" s="444">
        <v>6</v>
      </c>
      <c r="OYR347" s="444" t="s">
        <v>1127</v>
      </c>
      <c r="OYS347" s="444">
        <v>6</v>
      </c>
      <c r="OYT347" s="444" t="s">
        <v>1127</v>
      </c>
      <c r="OYU347" s="444">
        <v>6</v>
      </c>
      <c r="OYV347" s="444" t="s">
        <v>1127</v>
      </c>
      <c r="OYW347" s="444">
        <v>6</v>
      </c>
      <c r="OYX347" s="444" t="s">
        <v>1127</v>
      </c>
      <c r="OYY347" s="444">
        <v>6</v>
      </c>
      <c r="OYZ347" s="444" t="s">
        <v>1127</v>
      </c>
      <c r="OZA347" s="444">
        <v>6</v>
      </c>
      <c r="OZB347" s="444" t="s">
        <v>1127</v>
      </c>
      <c r="OZC347" s="444">
        <v>6</v>
      </c>
      <c r="OZD347" s="444" t="s">
        <v>1127</v>
      </c>
      <c r="OZE347" s="444">
        <v>6</v>
      </c>
      <c r="OZF347" s="444" t="s">
        <v>1127</v>
      </c>
      <c r="OZG347" s="444">
        <v>6</v>
      </c>
      <c r="OZH347" s="444" t="s">
        <v>1127</v>
      </c>
      <c r="OZI347" s="444">
        <v>6</v>
      </c>
      <c r="OZJ347" s="444" t="s">
        <v>1127</v>
      </c>
      <c r="OZK347" s="444">
        <v>6</v>
      </c>
      <c r="OZL347" s="444" t="s">
        <v>1127</v>
      </c>
      <c r="OZM347" s="444">
        <v>6</v>
      </c>
      <c r="OZN347" s="444" t="s">
        <v>1127</v>
      </c>
      <c r="OZO347" s="444">
        <v>6</v>
      </c>
      <c r="OZP347" s="444" t="s">
        <v>1127</v>
      </c>
      <c r="OZQ347" s="444">
        <v>6</v>
      </c>
      <c r="OZR347" s="444" t="s">
        <v>1127</v>
      </c>
      <c r="OZS347" s="444">
        <v>6</v>
      </c>
      <c r="OZT347" s="444" t="s">
        <v>1127</v>
      </c>
      <c r="OZU347" s="444">
        <v>6</v>
      </c>
      <c r="OZV347" s="444" t="s">
        <v>1127</v>
      </c>
      <c r="OZW347" s="444">
        <v>6</v>
      </c>
      <c r="OZX347" s="444" t="s">
        <v>1127</v>
      </c>
      <c r="OZY347" s="444">
        <v>6</v>
      </c>
      <c r="OZZ347" s="444" t="s">
        <v>1127</v>
      </c>
      <c r="PAA347" s="444">
        <v>6</v>
      </c>
      <c r="PAB347" s="444" t="s">
        <v>1127</v>
      </c>
      <c r="PAC347" s="444">
        <v>6</v>
      </c>
      <c r="PAD347" s="444" t="s">
        <v>1127</v>
      </c>
      <c r="PAE347" s="444">
        <v>6</v>
      </c>
      <c r="PAF347" s="444" t="s">
        <v>1127</v>
      </c>
      <c r="PAG347" s="444">
        <v>6</v>
      </c>
      <c r="PAH347" s="444" t="s">
        <v>1127</v>
      </c>
      <c r="PAI347" s="444">
        <v>6</v>
      </c>
      <c r="PAJ347" s="444" t="s">
        <v>1127</v>
      </c>
      <c r="PAK347" s="444">
        <v>6</v>
      </c>
      <c r="PAL347" s="444" t="s">
        <v>1127</v>
      </c>
      <c r="PAM347" s="444">
        <v>6</v>
      </c>
      <c r="PAN347" s="444" t="s">
        <v>1127</v>
      </c>
      <c r="PAO347" s="444">
        <v>6</v>
      </c>
      <c r="PAP347" s="444" t="s">
        <v>1127</v>
      </c>
      <c r="PAQ347" s="444">
        <v>6</v>
      </c>
      <c r="PAR347" s="444" t="s">
        <v>1127</v>
      </c>
      <c r="PAS347" s="444">
        <v>6</v>
      </c>
      <c r="PAT347" s="444" t="s">
        <v>1127</v>
      </c>
      <c r="PAU347" s="444">
        <v>6</v>
      </c>
      <c r="PAV347" s="444" t="s">
        <v>1127</v>
      </c>
      <c r="PAW347" s="444">
        <v>6</v>
      </c>
      <c r="PAX347" s="444" t="s">
        <v>1127</v>
      </c>
      <c r="PAY347" s="444">
        <v>6</v>
      </c>
      <c r="PAZ347" s="444" t="s">
        <v>1127</v>
      </c>
      <c r="PBA347" s="444">
        <v>6</v>
      </c>
      <c r="PBB347" s="444" t="s">
        <v>1127</v>
      </c>
      <c r="PBC347" s="444">
        <v>6</v>
      </c>
      <c r="PBD347" s="444" t="s">
        <v>1127</v>
      </c>
      <c r="PBE347" s="444">
        <v>6</v>
      </c>
      <c r="PBF347" s="444" t="s">
        <v>1127</v>
      </c>
      <c r="PBG347" s="444">
        <v>6</v>
      </c>
      <c r="PBH347" s="444" t="s">
        <v>1127</v>
      </c>
      <c r="PBI347" s="444">
        <v>6</v>
      </c>
      <c r="PBJ347" s="444" t="s">
        <v>1127</v>
      </c>
      <c r="PBK347" s="444">
        <v>6</v>
      </c>
      <c r="PBL347" s="444" t="s">
        <v>1127</v>
      </c>
      <c r="PBM347" s="444">
        <v>6</v>
      </c>
      <c r="PBN347" s="444" t="s">
        <v>1127</v>
      </c>
      <c r="PBO347" s="444">
        <v>6</v>
      </c>
      <c r="PBP347" s="444" t="s">
        <v>1127</v>
      </c>
      <c r="PBQ347" s="444">
        <v>6</v>
      </c>
      <c r="PBR347" s="444" t="s">
        <v>1127</v>
      </c>
      <c r="PBS347" s="444">
        <v>6</v>
      </c>
      <c r="PBT347" s="444" t="s">
        <v>1127</v>
      </c>
      <c r="PBU347" s="444">
        <v>6</v>
      </c>
      <c r="PBV347" s="444" t="s">
        <v>1127</v>
      </c>
      <c r="PBW347" s="444">
        <v>6</v>
      </c>
      <c r="PBX347" s="444" t="s">
        <v>1127</v>
      </c>
      <c r="PBY347" s="444">
        <v>6</v>
      </c>
      <c r="PBZ347" s="444" t="s">
        <v>1127</v>
      </c>
      <c r="PCA347" s="444">
        <v>6</v>
      </c>
      <c r="PCB347" s="444" t="s">
        <v>1127</v>
      </c>
      <c r="PCC347" s="444">
        <v>6</v>
      </c>
      <c r="PCD347" s="444" t="s">
        <v>1127</v>
      </c>
      <c r="PCE347" s="444">
        <v>6</v>
      </c>
      <c r="PCF347" s="444" t="s">
        <v>1127</v>
      </c>
      <c r="PCG347" s="444">
        <v>6</v>
      </c>
      <c r="PCH347" s="444" t="s">
        <v>1127</v>
      </c>
      <c r="PCI347" s="444">
        <v>6</v>
      </c>
      <c r="PCJ347" s="444" t="s">
        <v>1127</v>
      </c>
      <c r="PCK347" s="444">
        <v>6</v>
      </c>
      <c r="PCL347" s="444" t="s">
        <v>1127</v>
      </c>
      <c r="PCM347" s="444">
        <v>6</v>
      </c>
      <c r="PCN347" s="444" t="s">
        <v>1127</v>
      </c>
      <c r="PCO347" s="444">
        <v>6</v>
      </c>
      <c r="PCP347" s="444" t="s">
        <v>1127</v>
      </c>
      <c r="PCQ347" s="444">
        <v>6</v>
      </c>
      <c r="PCR347" s="444" t="s">
        <v>1127</v>
      </c>
      <c r="PCS347" s="444">
        <v>6</v>
      </c>
      <c r="PCT347" s="444" t="s">
        <v>1127</v>
      </c>
      <c r="PCU347" s="444">
        <v>6</v>
      </c>
      <c r="PCV347" s="444" t="s">
        <v>1127</v>
      </c>
      <c r="PCW347" s="444">
        <v>6</v>
      </c>
      <c r="PCX347" s="444" t="s">
        <v>1127</v>
      </c>
      <c r="PCY347" s="444">
        <v>6</v>
      </c>
      <c r="PCZ347" s="444" t="s">
        <v>1127</v>
      </c>
      <c r="PDA347" s="444">
        <v>6</v>
      </c>
      <c r="PDB347" s="444" t="s">
        <v>1127</v>
      </c>
      <c r="PDC347" s="444">
        <v>6</v>
      </c>
      <c r="PDD347" s="444" t="s">
        <v>1127</v>
      </c>
      <c r="PDE347" s="444">
        <v>6</v>
      </c>
      <c r="PDF347" s="444" t="s">
        <v>1127</v>
      </c>
      <c r="PDG347" s="444">
        <v>6</v>
      </c>
      <c r="PDH347" s="444" t="s">
        <v>1127</v>
      </c>
      <c r="PDI347" s="444">
        <v>6</v>
      </c>
      <c r="PDJ347" s="444" t="s">
        <v>1127</v>
      </c>
      <c r="PDK347" s="444">
        <v>6</v>
      </c>
      <c r="PDL347" s="444" t="s">
        <v>1127</v>
      </c>
      <c r="PDM347" s="444">
        <v>6</v>
      </c>
      <c r="PDN347" s="444" t="s">
        <v>1127</v>
      </c>
      <c r="PDO347" s="444">
        <v>6</v>
      </c>
      <c r="PDP347" s="444" t="s">
        <v>1127</v>
      </c>
      <c r="PDQ347" s="444">
        <v>6</v>
      </c>
      <c r="PDR347" s="444" t="s">
        <v>1127</v>
      </c>
      <c r="PDS347" s="444">
        <v>6</v>
      </c>
      <c r="PDT347" s="444" t="s">
        <v>1127</v>
      </c>
      <c r="PDU347" s="444">
        <v>6</v>
      </c>
      <c r="PDV347" s="444" t="s">
        <v>1127</v>
      </c>
      <c r="PDW347" s="444">
        <v>6</v>
      </c>
      <c r="PDX347" s="444" t="s">
        <v>1127</v>
      </c>
      <c r="PDY347" s="444">
        <v>6</v>
      </c>
      <c r="PDZ347" s="444" t="s">
        <v>1127</v>
      </c>
      <c r="PEA347" s="444">
        <v>6</v>
      </c>
      <c r="PEB347" s="444" t="s">
        <v>1127</v>
      </c>
      <c r="PEC347" s="444">
        <v>6</v>
      </c>
      <c r="PED347" s="444" t="s">
        <v>1127</v>
      </c>
      <c r="PEE347" s="444">
        <v>6</v>
      </c>
      <c r="PEF347" s="444" t="s">
        <v>1127</v>
      </c>
      <c r="PEG347" s="444">
        <v>6</v>
      </c>
      <c r="PEH347" s="444" t="s">
        <v>1127</v>
      </c>
      <c r="PEI347" s="444">
        <v>6</v>
      </c>
      <c r="PEJ347" s="444" t="s">
        <v>1127</v>
      </c>
      <c r="PEK347" s="444">
        <v>6</v>
      </c>
      <c r="PEL347" s="444" t="s">
        <v>1127</v>
      </c>
      <c r="PEM347" s="444">
        <v>6</v>
      </c>
      <c r="PEN347" s="444" t="s">
        <v>1127</v>
      </c>
      <c r="PEO347" s="444">
        <v>6</v>
      </c>
      <c r="PEP347" s="444" t="s">
        <v>1127</v>
      </c>
      <c r="PEQ347" s="444">
        <v>6</v>
      </c>
      <c r="PER347" s="444" t="s">
        <v>1127</v>
      </c>
      <c r="PES347" s="444">
        <v>6</v>
      </c>
      <c r="PET347" s="444" t="s">
        <v>1127</v>
      </c>
      <c r="PEU347" s="444">
        <v>6</v>
      </c>
      <c r="PEV347" s="444" t="s">
        <v>1127</v>
      </c>
      <c r="PEW347" s="444">
        <v>6</v>
      </c>
      <c r="PEX347" s="444" t="s">
        <v>1127</v>
      </c>
      <c r="PEY347" s="444">
        <v>6</v>
      </c>
      <c r="PEZ347" s="444" t="s">
        <v>1127</v>
      </c>
      <c r="PFA347" s="444">
        <v>6</v>
      </c>
      <c r="PFB347" s="444" t="s">
        <v>1127</v>
      </c>
      <c r="PFC347" s="444">
        <v>6</v>
      </c>
      <c r="PFD347" s="444" t="s">
        <v>1127</v>
      </c>
      <c r="PFE347" s="444">
        <v>6</v>
      </c>
      <c r="PFF347" s="444" t="s">
        <v>1127</v>
      </c>
      <c r="PFG347" s="444">
        <v>6</v>
      </c>
      <c r="PFH347" s="444" t="s">
        <v>1127</v>
      </c>
      <c r="PFI347" s="444">
        <v>6</v>
      </c>
      <c r="PFJ347" s="444" t="s">
        <v>1127</v>
      </c>
      <c r="PFK347" s="444">
        <v>6</v>
      </c>
      <c r="PFL347" s="444" t="s">
        <v>1127</v>
      </c>
      <c r="PFM347" s="444">
        <v>6</v>
      </c>
      <c r="PFN347" s="444" t="s">
        <v>1127</v>
      </c>
      <c r="PFO347" s="444">
        <v>6</v>
      </c>
      <c r="PFP347" s="444" t="s">
        <v>1127</v>
      </c>
      <c r="PFQ347" s="444">
        <v>6</v>
      </c>
      <c r="PFR347" s="444" t="s">
        <v>1127</v>
      </c>
      <c r="PFS347" s="444">
        <v>6</v>
      </c>
      <c r="PFT347" s="444" t="s">
        <v>1127</v>
      </c>
      <c r="PFU347" s="444">
        <v>6</v>
      </c>
      <c r="PFV347" s="444" t="s">
        <v>1127</v>
      </c>
      <c r="PFW347" s="444">
        <v>6</v>
      </c>
      <c r="PFX347" s="444" t="s">
        <v>1127</v>
      </c>
      <c r="PFY347" s="444">
        <v>6</v>
      </c>
      <c r="PFZ347" s="444" t="s">
        <v>1127</v>
      </c>
      <c r="PGA347" s="444">
        <v>6</v>
      </c>
      <c r="PGB347" s="444" t="s">
        <v>1127</v>
      </c>
      <c r="PGC347" s="444">
        <v>6</v>
      </c>
      <c r="PGD347" s="444" t="s">
        <v>1127</v>
      </c>
      <c r="PGE347" s="444">
        <v>6</v>
      </c>
      <c r="PGF347" s="444" t="s">
        <v>1127</v>
      </c>
      <c r="PGG347" s="444">
        <v>6</v>
      </c>
      <c r="PGH347" s="444" t="s">
        <v>1127</v>
      </c>
      <c r="PGI347" s="444">
        <v>6</v>
      </c>
      <c r="PGJ347" s="444" t="s">
        <v>1127</v>
      </c>
      <c r="PGK347" s="444">
        <v>6</v>
      </c>
      <c r="PGL347" s="444" t="s">
        <v>1127</v>
      </c>
      <c r="PGM347" s="444">
        <v>6</v>
      </c>
      <c r="PGN347" s="444" t="s">
        <v>1127</v>
      </c>
      <c r="PGO347" s="444">
        <v>6</v>
      </c>
      <c r="PGP347" s="444" t="s">
        <v>1127</v>
      </c>
      <c r="PGQ347" s="444">
        <v>6</v>
      </c>
      <c r="PGR347" s="444" t="s">
        <v>1127</v>
      </c>
      <c r="PGS347" s="444">
        <v>6</v>
      </c>
      <c r="PGT347" s="444" t="s">
        <v>1127</v>
      </c>
      <c r="PGU347" s="444">
        <v>6</v>
      </c>
      <c r="PGV347" s="444" t="s">
        <v>1127</v>
      </c>
      <c r="PGW347" s="444">
        <v>6</v>
      </c>
      <c r="PGX347" s="444" t="s">
        <v>1127</v>
      </c>
      <c r="PGY347" s="444">
        <v>6</v>
      </c>
      <c r="PGZ347" s="444" t="s">
        <v>1127</v>
      </c>
      <c r="PHA347" s="444">
        <v>6</v>
      </c>
      <c r="PHB347" s="444" t="s">
        <v>1127</v>
      </c>
      <c r="PHC347" s="444">
        <v>6</v>
      </c>
      <c r="PHD347" s="444" t="s">
        <v>1127</v>
      </c>
      <c r="PHE347" s="444">
        <v>6</v>
      </c>
      <c r="PHF347" s="444" t="s">
        <v>1127</v>
      </c>
      <c r="PHG347" s="444">
        <v>6</v>
      </c>
      <c r="PHH347" s="444" t="s">
        <v>1127</v>
      </c>
      <c r="PHI347" s="444">
        <v>6</v>
      </c>
      <c r="PHJ347" s="444" t="s">
        <v>1127</v>
      </c>
      <c r="PHK347" s="444">
        <v>6</v>
      </c>
      <c r="PHL347" s="444" t="s">
        <v>1127</v>
      </c>
      <c r="PHM347" s="444">
        <v>6</v>
      </c>
      <c r="PHN347" s="444" t="s">
        <v>1127</v>
      </c>
      <c r="PHO347" s="444">
        <v>6</v>
      </c>
      <c r="PHP347" s="444" t="s">
        <v>1127</v>
      </c>
      <c r="PHQ347" s="444">
        <v>6</v>
      </c>
      <c r="PHR347" s="444" t="s">
        <v>1127</v>
      </c>
      <c r="PHS347" s="444">
        <v>6</v>
      </c>
      <c r="PHT347" s="444" t="s">
        <v>1127</v>
      </c>
      <c r="PHU347" s="444">
        <v>6</v>
      </c>
      <c r="PHV347" s="444" t="s">
        <v>1127</v>
      </c>
      <c r="PHW347" s="444">
        <v>6</v>
      </c>
      <c r="PHX347" s="444" t="s">
        <v>1127</v>
      </c>
      <c r="PHY347" s="444">
        <v>6</v>
      </c>
      <c r="PHZ347" s="444" t="s">
        <v>1127</v>
      </c>
      <c r="PIA347" s="444">
        <v>6</v>
      </c>
      <c r="PIB347" s="444" t="s">
        <v>1127</v>
      </c>
      <c r="PIC347" s="444">
        <v>6</v>
      </c>
      <c r="PID347" s="444" t="s">
        <v>1127</v>
      </c>
      <c r="PIE347" s="444">
        <v>6</v>
      </c>
      <c r="PIF347" s="444" t="s">
        <v>1127</v>
      </c>
      <c r="PIG347" s="444">
        <v>6</v>
      </c>
      <c r="PIH347" s="444" t="s">
        <v>1127</v>
      </c>
      <c r="PII347" s="444">
        <v>6</v>
      </c>
      <c r="PIJ347" s="444" t="s">
        <v>1127</v>
      </c>
      <c r="PIK347" s="444">
        <v>6</v>
      </c>
      <c r="PIL347" s="444" t="s">
        <v>1127</v>
      </c>
      <c r="PIM347" s="444">
        <v>6</v>
      </c>
      <c r="PIN347" s="444" t="s">
        <v>1127</v>
      </c>
      <c r="PIO347" s="444">
        <v>6</v>
      </c>
      <c r="PIP347" s="444" t="s">
        <v>1127</v>
      </c>
      <c r="PIQ347" s="444">
        <v>6</v>
      </c>
      <c r="PIR347" s="444" t="s">
        <v>1127</v>
      </c>
      <c r="PIS347" s="444">
        <v>6</v>
      </c>
      <c r="PIT347" s="444" t="s">
        <v>1127</v>
      </c>
      <c r="PIU347" s="444">
        <v>6</v>
      </c>
      <c r="PIV347" s="444" t="s">
        <v>1127</v>
      </c>
      <c r="PIW347" s="444">
        <v>6</v>
      </c>
      <c r="PIX347" s="444" t="s">
        <v>1127</v>
      </c>
      <c r="PIY347" s="444">
        <v>6</v>
      </c>
      <c r="PIZ347" s="444" t="s">
        <v>1127</v>
      </c>
      <c r="PJA347" s="444">
        <v>6</v>
      </c>
      <c r="PJB347" s="444" t="s">
        <v>1127</v>
      </c>
      <c r="PJC347" s="444">
        <v>6</v>
      </c>
      <c r="PJD347" s="444" t="s">
        <v>1127</v>
      </c>
      <c r="PJE347" s="444">
        <v>6</v>
      </c>
      <c r="PJF347" s="444" t="s">
        <v>1127</v>
      </c>
      <c r="PJG347" s="444">
        <v>6</v>
      </c>
      <c r="PJH347" s="444" t="s">
        <v>1127</v>
      </c>
      <c r="PJI347" s="444">
        <v>6</v>
      </c>
      <c r="PJJ347" s="444" t="s">
        <v>1127</v>
      </c>
      <c r="PJK347" s="444">
        <v>6</v>
      </c>
      <c r="PJL347" s="444" t="s">
        <v>1127</v>
      </c>
      <c r="PJM347" s="444">
        <v>6</v>
      </c>
      <c r="PJN347" s="444" t="s">
        <v>1127</v>
      </c>
      <c r="PJO347" s="444">
        <v>6</v>
      </c>
      <c r="PJP347" s="444" t="s">
        <v>1127</v>
      </c>
      <c r="PJQ347" s="444">
        <v>6</v>
      </c>
      <c r="PJR347" s="444" t="s">
        <v>1127</v>
      </c>
      <c r="PJS347" s="444">
        <v>6</v>
      </c>
      <c r="PJT347" s="444" t="s">
        <v>1127</v>
      </c>
      <c r="PJU347" s="444">
        <v>6</v>
      </c>
      <c r="PJV347" s="444" t="s">
        <v>1127</v>
      </c>
      <c r="PJW347" s="444">
        <v>6</v>
      </c>
      <c r="PJX347" s="444" t="s">
        <v>1127</v>
      </c>
      <c r="PJY347" s="444">
        <v>6</v>
      </c>
      <c r="PJZ347" s="444" t="s">
        <v>1127</v>
      </c>
      <c r="PKA347" s="444">
        <v>6</v>
      </c>
      <c r="PKB347" s="444" t="s">
        <v>1127</v>
      </c>
      <c r="PKC347" s="444">
        <v>6</v>
      </c>
      <c r="PKD347" s="444" t="s">
        <v>1127</v>
      </c>
      <c r="PKE347" s="444">
        <v>6</v>
      </c>
      <c r="PKF347" s="444" t="s">
        <v>1127</v>
      </c>
      <c r="PKG347" s="444">
        <v>6</v>
      </c>
      <c r="PKH347" s="444" t="s">
        <v>1127</v>
      </c>
      <c r="PKI347" s="444">
        <v>6</v>
      </c>
      <c r="PKJ347" s="444" t="s">
        <v>1127</v>
      </c>
      <c r="PKK347" s="444">
        <v>6</v>
      </c>
      <c r="PKL347" s="444" t="s">
        <v>1127</v>
      </c>
      <c r="PKM347" s="444">
        <v>6</v>
      </c>
      <c r="PKN347" s="444" t="s">
        <v>1127</v>
      </c>
      <c r="PKO347" s="444">
        <v>6</v>
      </c>
      <c r="PKP347" s="444" t="s">
        <v>1127</v>
      </c>
      <c r="PKQ347" s="444">
        <v>6</v>
      </c>
      <c r="PKR347" s="444" t="s">
        <v>1127</v>
      </c>
      <c r="PKS347" s="444">
        <v>6</v>
      </c>
      <c r="PKT347" s="444" t="s">
        <v>1127</v>
      </c>
      <c r="PKU347" s="444">
        <v>6</v>
      </c>
      <c r="PKV347" s="444" t="s">
        <v>1127</v>
      </c>
      <c r="PKW347" s="444">
        <v>6</v>
      </c>
      <c r="PKX347" s="444" t="s">
        <v>1127</v>
      </c>
      <c r="PKY347" s="444">
        <v>6</v>
      </c>
      <c r="PKZ347" s="444" t="s">
        <v>1127</v>
      </c>
      <c r="PLA347" s="444">
        <v>6</v>
      </c>
      <c r="PLB347" s="444" t="s">
        <v>1127</v>
      </c>
      <c r="PLC347" s="444">
        <v>6</v>
      </c>
      <c r="PLD347" s="444" t="s">
        <v>1127</v>
      </c>
      <c r="PLE347" s="444">
        <v>6</v>
      </c>
      <c r="PLF347" s="444" t="s">
        <v>1127</v>
      </c>
      <c r="PLG347" s="444">
        <v>6</v>
      </c>
      <c r="PLH347" s="444" t="s">
        <v>1127</v>
      </c>
      <c r="PLI347" s="444">
        <v>6</v>
      </c>
      <c r="PLJ347" s="444" t="s">
        <v>1127</v>
      </c>
      <c r="PLK347" s="444">
        <v>6</v>
      </c>
      <c r="PLL347" s="444" t="s">
        <v>1127</v>
      </c>
      <c r="PLM347" s="444">
        <v>6</v>
      </c>
      <c r="PLN347" s="444" t="s">
        <v>1127</v>
      </c>
      <c r="PLO347" s="444">
        <v>6</v>
      </c>
      <c r="PLP347" s="444" t="s">
        <v>1127</v>
      </c>
      <c r="PLQ347" s="444">
        <v>6</v>
      </c>
      <c r="PLR347" s="444" t="s">
        <v>1127</v>
      </c>
      <c r="PLS347" s="444">
        <v>6</v>
      </c>
      <c r="PLT347" s="444" t="s">
        <v>1127</v>
      </c>
      <c r="PLU347" s="444">
        <v>6</v>
      </c>
      <c r="PLV347" s="444" t="s">
        <v>1127</v>
      </c>
      <c r="PLW347" s="444">
        <v>6</v>
      </c>
      <c r="PLX347" s="444" t="s">
        <v>1127</v>
      </c>
      <c r="PLY347" s="444">
        <v>6</v>
      </c>
      <c r="PLZ347" s="444" t="s">
        <v>1127</v>
      </c>
      <c r="PMA347" s="444">
        <v>6</v>
      </c>
      <c r="PMB347" s="444" t="s">
        <v>1127</v>
      </c>
      <c r="PMC347" s="444">
        <v>6</v>
      </c>
      <c r="PMD347" s="444" t="s">
        <v>1127</v>
      </c>
      <c r="PME347" s="444">
        <v>6</v>
      </c>
      <c r="PMF347" s="444" t="s">
        <v>1127</v>
      </c>
      <c r="PMG347" s="444">
        <v>6</v>
      </c>
      <c r="PMH347" s="444" t="s">
        <v>1127</v>
      </c>
      <c r="PMI347" s="444">
        <v>6</v>
      </c>
      <c r="PMJ347" s="444" t="s">
        <v>1127</v>
      </c>
      <c r="PMK347" s="444">
        <v>6</v>
      </c>
      <c r="PML347" s="444" t="s">
        <v>1127</v>
      </c>
      <c r="PMM347" s="444">
        <v>6</v>
      </c>
      <c r="PMN347" s="444" t="s">
        <v>1127</v>
      </c>
      <c r="PMO347" s="444">
        <v>6</v>
      </c>
      <c r="PMP347" s="444" t="s">
        <v>1127</v>
      </c>
      <c r="PMQ347" s="444">
        <v>6</v>
      </c>
      <c r="PMR347" s="444" t="s">
        <v>1127</v>
      </c>
      <c r="PMS347" s="444">
        <v>6</v>
      </c>
      <c r="PMT347" s="444" t="s">
        <v>1127</v>
      </c>
      <c r="PMU347" s="444">
        <v>6</v>
      </c>
      <c r="PMV347" s="444" t="s">
        <v>1127</v>
      </c>
      <c r="PMW347" s="444">
        <v>6</v>
      </c>
      <c r="PMX347" s="444" t="s">
        <v>1127</v>
      </c>
      <c r="PMY347" s="444">
        <v>6</v>
      </c>
      <c r="PMZ347" s="444" t="s">
        <v>1127</v>
      </c>
      <c r="PNA347" s="444">
        <v>6</v>
      </c>
      <c r="PNB347" s="444" t="s">
        <v>1127</v>
      </c>
      <c r="PNC347" s="444">
        <v>6</v>
      </c>
      <c r="PND347" s="444" t="s">
        <v>1127</v>
      </c>
      <c r="PNE347" s="444">
        <v>6</v>
      </c>
      <c r="PNF347" s="444" t="s">
        <v>1127</v>
      </c>
      <c r="PNG347" s="444">
        <v>6</v>
      </c>
      <c r="PNH347" s="444" t="s">
        <v>1127</v>
      </c>
      <c r="PNI347" s="444">
        <v>6</v>
      </c>
      <c r="PNJ347" s="444" t="s">
        <v>1127</v>
      </c>
      <c r="PNK347" s="444">
        <v>6</v>
      </c>
      <c r="PNL347" s="444" t="s">
        <v>1127</v>
      </c>
      <c r="PNM347" s="444">
        <v>6</v>
      </c>
      <c r="PNN347" s="444" t="s">
        <v>1127</v>
      </c>
      <c r="PNO347" s="444">
        <v>6</v>
      </c>
      <c r="PNP347" s="444" t="s">
        <v>1127</v>
      </c>
      <c r="PNQ347" s="444">
        <v>6</v>
      </c>
      <c r="PNR347" s="444" t="s">
        <v>1127</v>
      </c>
      <c r="PNS347" s="444">
        <v>6</v>
      </c>
      <c r="PNT347" s="444" t="s">
        <v>1127</v>
      </c>
      <c r="PNU347" s="444">
        <v>6</v>
      </c>
      <c r="PNV347" s="444" t="s">
        <v>1127</v>
      </c>
      <c r="PNW347" s="444">
        <v>6</v>
      </c>
      <c r="PNX347" s="444" t="s">
        <v>1127</v>
      </c>
      <c r="PNY347" s="444">
        <v>6</v>
      </c>
      <c r="PNZ347" s="444" t="s">
        <v>1127</v>
      </c>
      <c r="POA347" s="444">
        <v>6</v>
      </c>
      <c r="POB347" s="444" t="s">
        <v>1127</v>
      </c>
      <c r="POC347" s="444">
        <v>6</v>
      </c>
      <c r="POD347" s="444" t="s">
        <v>1127</v>
      </c>
      <c r="POE347" s="444">
        <v>6</v>
      </c>
      <c r="POF347" s="444" t="s">
        <v>1127</v>
      </c>
      <c r="POG347" s="444">
        <v>6</v>
      </c>
      <c r="POH347" s="444" t="s">
        <v>1127</v>
      </c>
      <c r="POI347" s="444">
        <v>6</v>
      </c>
      <c r="POJ347" s="444" t="s">
        <v>1127</v>
      </c>
      <c r="POK347" s="444">
        <v>6</v>
      </c>
      <c r="POL347" s="444" t="s">
        <v>1127</v>
      </c>
      <c r="POM347" s="444">
        <v>6</v>
      </c>
      <c r="PON347" s="444" t="s">
        <v>1127</v>
      </c>
      <c r="POO347" s="444">
        <v>6</v>
      </c>
      <c r="POP347" s="444" t="s">
        <v>1127</v>
      </c>
      <c r="POQ347" s="444">
        <v>6</v>
      </c>
      <c r="POR347" s="444" t="s">
        <v>1127</v>
      </c>
      <c r="POS347" s="444">
        <v>6</v>
      </c>
      <c r="POT347" s="444" t="s">
        <v>1127</v>
      </c>
      <c r="POU347" s="444">
        <v>6</v>
      </c>
      <c r="POV347" s="444" t="s">
        <v>1127</v>
      </c>
      <c r="POW347" s="444">
        <v>6</v>
      </c>
      <c r="POX347" s="444" t="s">
        <v>1127</v>
      </c>
      <c r="POY347" s="444">
        <v>6</v>
      </c>
      <c r="POZ347" s="444" t="s">
        <v>1127</v>
      </c>
      <c r="PPA347" s="444">
        <v>6</v>
      </c>
      <c r="PPB347" s="444" t="s">
        <v>1127</v>
      </c>
      <c r="PPC347" s="444">
        <v>6</v>
      </c>
      <c r="PPD347" s="444" t="s">
        <v>1127</v>
      </c>
      <c r="PPE347" s="444">
        <v>6</v>
      </c>
      <c r="PPF347" s="444" t="s">
        <v>1127</v>
      </c>
      <c r="PPG347" s="444">
        <v>6</v>
      </c>
      <c r="PPH347" s="444" t="s">
        <v>1127</v>
      </c>
      <c r="PPI347" s="444">
        <v>6</v>
      </c>
      <c r="PPJ347" s="444" t="s">
        <v>1127</v>
      </c>
      <c r="PPK347" s="444">
        <v>6</v>
      </c>
      <c r="PPL347" s="444" t="s">
        <v>1127</v>
      </c>
      <c r="PPM347" s="444">
        <v>6</v>
      </c>
      <c r="PPN347" s="444" t="s">
        <v>1127</v>
      </c>
      <c r="PPO347" s="444">
        <v>6</v>
      </c>
      <c r="PPP347" s="444" t="s">
        <v>1127</v>
      </c>
      <c r="PPQ347" s="444">
        <v>6</v>
      </c>
      <c r="PPR347" s="444" t="s">
        <v>1127</v>
      </c>
      <c r="PPS347" s="444">
        <v>6</v>
      </c>
      <c r="PPT347" s="444" t="s">
        <v>1127</v>
      </c>
      <c r="PPU347" s="444">
        <v>6</v>
      </c>
      <c r="PPV347" s="444" t="s">
        <v>1127</v>
      </c>
      <c r="PPW347" s="444">
        <v>6</v>
      </c>
      <c r="PPX347" s="444" t="s">
        <v>1127</v>
      </c>
      <c r="PPY347" s="444">
        <v>6</v>
      </c>
      <c r="PPZ347" s="444" t="s">
        <v>1127</v>
      </c>
      <c r="PQA347" s="444">
        <v>6</v>
      </c>
      <c r="PQB347" s="444" t="s">
        <v>1127</v>
      </c>
      <c r="PQC347" s="444">
        <v>6</v>
      </c>
      <c r="PQD347" s="444" t="s">
        <v>1127</v>
      </c>
      <c r="PQE347" s="444">
        <v>6</v>
      </c>
      <c r="PQF347" s="444" t="s">
        <v>1127</v>
      </c>
      <c r="PQG347" s="444">
        <v>6</v>
      </c>
      <c r="PQH347" s="444" t="s">
        <v>1127</v>
      </c>
      <c r="PQI347" s="444">
        <v>6</v>
      </c>
      <c r="PQJ347" s="444" t="s">
        <v>1127</v>
      </c>
      <c r="PQK347" s="444">
        <v>6</v>
      </c>
      <c r="PQL347" s="444" t="s">
        <v>1127</v>
      </c>
      <c r="PQM347" s="444">
        <v>6</v>
      </c>
      <c r="PQN347" s="444" t="s">
        <v>1127</v>
      </c>
      <c r="PQO347" s="444">
        <v>6</v>
      </c>
      <c r="PQP347" s="444" t="s">
        <v>1127</v>
      </c>
      <c r="PQQ347" s="444">
        <v>6</v>
      </c>
      <c r="PQR347" s="444" t="s">
        <v>1127</v>
      </c>
      <c r="PQS347" s="444">
        <v>6</v>
      </c>
      <c r="PQT347" s="444" t="s">
        <v>1127</v>
      </c>
      <c r="PQU347" s="444">
        <v>6</v>
      </c>
      <c r="PQV347" s="444" t="s">
        <v>1127</v>
      </c>
      <c r="PQW347" s="444">
        <v>6</v>
      </c>
      <c r="PQX347" s="444" t="s">
        <v>1127</v>
      </c>
      <c r="PQY347" s="444">
        <v>6</v>
      </c>
      <c r="PQZ347" s="444" t="s">
        <v>1127</v>
      </c>
      <c r="PRA347" s="444">
        <v>6</v>
      </c>
      <c r="PRB347" s="444" t="s">
        <v>1127</v>
      </c>
      <c r="PRC347" s="444">
        <v>6</v>
      </c>
      <c r="PRD347" s="444" t="s">
        <v>1127</v>
      </c>
      <c r="PRE347" s="444">
        <v>6</v>
      </c>
      <c r="PRF347" s="444" t="s">
        <v>1127</v>
      </c>
      <c r="PRG347" s="444">
        <v>6</v>
      </c>
      <c r="PRH347" s="444" t="s">
        <v>1127</v>
      </c>
      <c r="PRI347" s="444">
        <v>6</v>
      </c>
      <c r="PRJ347" s="444" t="s">
        <v>1127</v>
      </c>
      <c r="PRK347" s="444">
        <v>6</v>
      </c>
      <c r="PRL347" s="444" t="s">
        <v>1127</v>
      </c>
      <c r="PRM347" s="444">
        <v>6</v>
      </c>
      <c r="PRN347" s="444" t="s">
        <v>1127</v>
      </c>
      <c r="PRO347" s="444">
        <v>6</v>
      </c>
      <c r="PRP347" s="444" t="s">
        <v>1127</v>
      </c>
      <c r="PRQ347" s="444">
        <v>6</v>
      </c>
      <c r="PRR347" s="444" t="s">
        <v>1127</v>
      </c>
      <c r="PRS347" s="444">
        <v>6</v>
      </c>
      <c r="PRT347" s="444" t="s">
        <v>1127</v>
      </c>
      <c r="PRU347" s="444">
        <v>6</v>
      </c>
      <c r="PRV347" s="444" t="s">
        <v>1127</v>
      </c>
      <c r="PRW347" s="444">
        <v>6</v>
      </c>
      <c r="PRX347" s="444" t="s">
        <v>1127</v>
      </c>
      <c r="PRY347" s="444">
        <v>6</v>
      </c>
      <c r="PRZ347" s="444" t="s">
        <v>1127</v>
      </c>
      <c r="PSA347" s="444">
        <v>6</v>
      </c>
      <c r="PSB347" s="444" t="s">
        <v>1127</v>
      </c>
      <c r="PSC347" s="444">
        <v>6</v>
      </c>
      <c r="PSD347" s="444" t="s">
        <v>1127</v>
      </c>
      <c r="PSE347" s="444">
        <v>6</v>
      </c>
      <c r="PSF347" s="444" t="s">
        <v>1127</v>
      </c>
      <c r="PSG347" s="444">
        <v>6</v>
      </c>
      <c r="PSH347" s="444" t="s">
        <v>1127</v>
      </c>
      <c r="PSI347" s="444">
        <v>6</v>
      </c>
      <c r="PSJ347" s="444" t="s">
        <v>1127</v>
      </c>
      <c r="PSK347" s="444">
        <v>6</v>
      </c>
      <c r="PSL347" s="444" t="s">
        <v>1127</v>
      </c>
      <c r="PSM347" s="444">
        <v>6</v>
      </c>
      <c r="PSN347" s="444" t="s">
        <v>1127</v>
      </c>
      <c r="PSO347" s="444">
        <v>6</v>
      </c>
      <c r="PSP347" s="444" t="s">
        <v>1127</v>
      </c>
      <c r="PSQ347" s="444">
        <v>6</v>
      </c>
      <c r="PSR347" s="444" t="s">
        <v>1127</v>
      </c>
      <c r="PSS347" s="444">
        <v>6</v>
      </c>
      <c r="PST347" s="444" t="s">
        <v>1127</v>
      </c>
      <c r="PSU347" s="444">
        <v>6</v>
      </c>
      <c r="PSV347" s="444" t="s">
        <v>1127</v>
      </c>
      <c r="PSW347" s="444">
        <v>6</v>
      </c>
      <c r="PSX347" s="444" t="s">
        <v>1127</v>
      </c>
      <c r="PSY347" s="444">
        <v>6</v>
      </c>
      <c r="PSZ347" s="444" t="s">
        <v>1127</v>
      </c>
      <c r="PTA347" s="444">
        <v>6</v>
      </c>
      <c r="PTB347" s="444" t="s">
        <v>1127</v>
      </c>
      <c r="PTC347" s="444">
        <v>6</v>
      </c>
      <c r="PTD347" s="444" t="s">
        <v>1127</v>
      </c>
      <c r="PTE347" s="444">
        <v>6</v>
      </c>
      <c r="PTF347" s="444" t="s">
        <v>1127</v>
      </c>
      <c r="PTG347" s="444">
        <v>6</v>
      </c>
      <c r="PTH347" s="444" t="s">
        <v>1127</v>
      </c>
      <c r="PTI347" s="444">
        <v>6</v>
      </c>
      <c r="PTJ347" s="444" t="s">
        <v>1127</v>
      </c>
      <c r="PTK347" s="444">
        <v>6</v>
      </c>
      <c r="PTL347" s="444" t="s">
        <v>1127</v>
      </c>
      <c r="PTM347" s="444">
        <v>6</v>
      </c>
      <c r="PTN347" s="444" t="s">
        <v>1127</v>
      </c>
      <c r="PTO347" s="444">
        <v>6</v>
      </c>
      <c r="PTP347" s="444" t="s">
        <v>1127</v>
      </c>
      <c r="PTQ347" s="444">
        <v>6</v>
      </c>
      <c r="PTR347" s="444" t="s">
        <v>1127</v>
      </c>
      <c r="PTS347" s="444">
        <v>6</v>
      </c>
      <c r="PTT347" s="444" t="s">
        <v>1127</v>
      </c>
      <c r="PTU347" s="444">
        <v>6</v>
      </c>
      <c r="PTV347" s="444" t="s">
        <v>1127</v>
      </c>
      <c r="PTW347" s="444">
        <v>6</v>
      </c>
      <c r="PTX347" s="444" t="s">
        <v>1127</v>
      </c>
      <c r="PTY347" s="444">
        <v>6</v>
      </c>
      <c r="PTZ347" s="444" t="s">
        <v>1127</v>
      </c>
      <c r="PUA347" s="444">
        <v>6</v>
      </c>
      <c r="PUB347" s="444" t="s">
        <v>1127</v>
      </c>
      <c r="PUC347" s="444">
        <v>6</v>
      </c>
      <c r="PUD347" s="444" t="s">
        <v>1127</v>
      </c>
      <c r="PUE347" s="444">
        <v>6</v>
      </c>
      <c r="PUF347" s="444" t="s">
        <v>1127</v>
      </c>
      <c r="PUG347" s="444">
        <v>6</v>
      </c>
      <c r="PUH347" s="444" t="s">
        <v>1127</v>
      </c>
      <c r="PUI347" s="444">
        <v>6</v>
      </c>
      <c r="PUJ347" s="444" t="s">
        <v>1127</v>
      </c>
      <c r="PUK347" s="444">
        <v>6</v>
      </c>
      <c r="PUL347" s="444" t="s">
        <v>1127</v>
      </c>
      <c r="PUM347" s="444">
        <v>6</v>
      </c>
      <c r="PUN347" s="444" t="s">
        <v>1127</v>
      </c>
      <c r="PUO347" s="444">
        <v>6</v>
      </c>
      <c r="PUP347" s="444" t="s">
        <v>1127</v>
      </c>
      <c r="PUQ347" s="444">
        <v>6</v>
      </c>
      <c r="PUR347" s="444" t="s">
        <v>1127</v>
      </c>
      <c r="PUS347" s="444">
        <v>6</v>
      </c>
      <c r="PUT347" s="444" t="s">
        <v>1127</v>
      </c>
      <c r="PUU347" s="444">
        <v>6</v>
      </c>
      <c r="PUV347" s="444" t="s">
        <v>1127</v>
      </c>
      <c r="PUW347" s="444">
        <v>6</v>
      </c>
      <c r="PUX347" s="444" t="s">
        <v>1127</v>
      </c>
      <c r="PUY347" s="444">
        <v>6</v>
      </c>
      <c r="PUZ347" s="444" t="s">
        <v>1127</v>
      </c>
      <c r="PVA347" s="444">
        <v>6</v>
      </c>
      <c r="PVB347" s="444" t="s">
        <v>1127</v>
      </c>
      <c r="PVC347" s="444">
        <v>6</v>
      </c>
      <c r="PVD347" s="444" t="s">
        <v>1127</v>
      </c>
      <c r="PVE347" s="444">
        <v>6</v>
      </c>
      <c r="PVF347" s="444" t="s">
        <v>1127</v>
      </c>
      <c r="PVG347" s="444">
        <v>6</v>
      </c>
      <c r="PVH347" s="444" t="s">
        <v>1127</v>
      </c>
      <c r="PVI347" s="444">
        <v>6</v>
      </c>
      <c r="PVJ347" s="444" t="s">
        <v>1127</v>
      </c>
      <c r="PVK347" s="444">
        <v>6</v>
      </c>
      <c r="PVL347" s="444" t="s">
        <v>1127</v>
      </c>
      <c r="PVM347" s="444">
        <v>6</v>
      </c>
      <c r="PVN347" s="444" t="s">
        <v>1127</v>
      </c>
      <c r="PVO347" s="444">
        <v>6</v>
      </c>
      <c r="PVP347" s="444" t="s">
        <v>1127</v>
      </c>
      <c r="PVQ347" s="444">
        <v>6</v>
      </c>
      <c r="PVR347" s="444" t="s">
        <v>1127</v>
      </c>
      <c r="PVS347" s="444">
        <v>6</v>
      </c>
      <c r="PVT347" s="444" t="s">
        <v>1127</v>
      </c>
      <c r="PVU347" s="444">
        <v>6</v>
      </c>
      <c r="PVV347" s="444" t="s">
        <v>1127</v>
      </c>
      <c r="PVW347" s="444">
        <v>6</v>
      </c>
      <c r="PVX347" s="444" t="s">
        <v>1127</v>
      </c>
      <c r="PVY347" s="444">
        <v>6</v>
      </c>
      <c r="PVZ347" s="444" t="s">
        <v>1127</v>
      </c>
      <c r="PWA347" s="444">
        <v>6</v>
      </c>
      <c r="PWB347" s="444" t="s">
        <v>1127</v>
      </c>
      <c r="PWC347" s="444">
        <v>6</v>
      </c>
      <c r="PWD347" s="444" t="s">
        <v>1127</v>
      </c>
      <c r="PWE347" s="444">
        <v>6</v>
      </c>
      <c r="PWF347" s="444" t="s">
        <v>1127</v>
      </c>
      <c r="PWG347" s="444">
        <v>6</v>
      </c>
      <c r="PWH347" s="444" t="s">
        <v>1127</v>
      </c>
      <c r="PWI347" s="444">
        <v>6</v>
      </c>
      <c r="PWJ347" s="444" t="s">
        <v>1127</v>
      </c>
      <c r="PWK347" s="444">
        <v>6</v>
      </c>
      <c r="PWL347" s="444" t="s">
        <v>1127</v>
      </c>
      <c r="PWM347" s="444">
        <v>6</v>
      </c>
      <c r="PWN347" s="444" t="s">
        <v>1127</v>
      </c>
      <c r="PWO347" s="444">
        <v>6</v>
      </c>
      <c r="PWP347" s="444" t="s">
        <v>1127</v>
      </c>
      <c r="PWQ347" s="444">
        <v>6</v>
      </c>
      <c r="PWR347" s="444" t="s">
        <v>1127</v>
      </c>
      <c r="PWS347" s="444">
        <v>6</v>
      </c>
      <c r="PWT347" s="444" t="s">
        <v>1127</v>
      </c>
      <c r="PWU347" s="444">
        <v>6</v>
      </c>
      <c r="PWV347" s="444" t="s">
        <v>1127</v>
      </c>
      <c r="PWW347" s="444">
        <v>6</v>
      </c>
      <c r="PWX347" s="444" t="s">
        <v>1127</v>
      </c>
      <c r="PWY347" s="444">
        <v>6</v>
      </c>
      <c r="PWZ347" s="444" t="s">
        <v>1127</v>
      </c>
      <c r="PXA347" s="444">
        <v>6</v>
      </c>
      <c r="PXB347" s="444" t="s">
        <v>1127</v>
      </c>
      <c r="PXC347" s="444">
        <v>6</v>
      </c>
      <c r="PXD347" s="444" t="s">
        <v>1127</v>
      </c>
      <c r="PXE347" s="444">
        <v>6</v>
      </c>
      <c r="PXF347" s="444" t="s">
        <v>1127</v>
      </c>
      <c r="PXG347" s="444">
        <v>6</v>
      </c>
      <c r="PXH347" s="444" t="s">
        <v>1127</v>
      </c>
      <c r="PXI347" s="444">
        <v>6</v>
      </c>
      <c r="PXJ347" s="444" t="s">
        <v>1127</v>
      </c>
      <c r="PXK347" s="444">
        <v>6</v>
      </c>
      <c r="PXL347" s="444" t="s">
        <v>1127</v>
      </c>
      <c r="PXM347" s="444">
        <v>6</v>
      </c>
      <c r="PXN347" s="444" t="s">
        <v>1127</v>
      </c>
      <c r="PXO347" s="444">
        <v>6</v>
      </c>
      <c r="PXP347" s="444" t="s">
        <v>1127</v>
      </c>
      <c r="PXQ347" s="444">
        <v>6</v>
      </c>
      <c r="PXR347" s="444" t="s">
        <v>1127</v>
      </c>
      <c r="PXS347" s="444">
        <v>6</v>
      </c>
      <c r="PXT347" s="444" t="s">
        <v>1127</v>
      </c>
      <c r="PXU347" s="444">
        <v>6</v>
      </c>
      <c r="PXV347" s="444" t="s">
        <v>1127</v>
      </c>
      <c r="PXW347" s="444">
        <v>6</v>
      </c>
      <c r="PXX347" s="444" t="s">
        <v>1127</v>
      </c>
      <c r="PXY347" s="444">
        <v>6</v>
      </c>
      <c r="PXZ347" s="444" t="s">
        <v>1127</v>
      </c>
      <c r="PYA347" s="444">
        <v>6</v>
      </c>
      <c r="PYB347" s="444" t="s">
        <v>1127</v>
      </c>
      <c r="PYC347" s="444">
        <v>6</v>
      </c>
      <c r="PYD347" s="444" t="s">
        <v>1127</v>
      </c>
      <c r="PYE347" s="444">
        <v>6</v>
      </c>
      <c r="PYF347" s="444" t="s">
        <v>1127</v>
      </c>
      <c r="PYG347" s="444">
        <v>6</v>
      </c>
      <c r="PYH347" s="444" t="s">
        <v>1127</v>
      </c>
      <c r="PYI347" s="444">
        <v>6</v>
      </c>
      <c r="PYJ347" s="444" t="s">
        <v>1127</v>
      </c>
      <c r="PYK347" s="444">
        <v>6</v>
      </c>
      <c r="PYL347" s="444" t="s">
        <v>1127</v>
      </c>
      <c r="PYM347" s="444">
        <v>6</v>
      </c>
      <c r="PYN347" s="444" t="s">
        <v>1127</v>
      </c>
      <c r="PYO347" s="444">
        <v>6</v>
      </c>
      <c r="PYP347" s="444" t="s">
        <v>1127</v>
      </c>
      <c r="PYQ347" s="444">
        <v>6</v>
      </c>
      <c r="PYR347" s="444" t="s">
        <v>1127</v>
      </c>
      <c r="PYS347" s="444">
        <v>6</v>
      </c>
      <c r="PYT347" s="444" t="s">
        <v>1127</v>
      </c>
      <c r="PYU347" s="444">
        <v>6</v>
      </c>
      <c r="PYV347" s="444" t="s">
        <v>1127</v>
      </c>
      <c r="PYW347" s="444">
        <v>6</v>
      </c>
      <c r="PYX347" s="444" t="s">
        <v>1127</v>
      </c>
      <c r="PYY347" s="444">
        <v>6</v>
      </c>
      <c r="PYZ347" s="444" t="s">
        <v>1127</v>
      </c>
      <c r="PZA347" s="444">
        <v>6</v>
      </c>
      <c r="PZB347" s="444" t="s">
        <v>1127</v>
      </c>
      <c r="PZC347" s="444">
        <v>6</v>
      </c>
      <c r="PZD347" s="444" t="s">
        <v>1127</v>
      </c>
      <c r="PZE347" s="444">
        <v>6</v>
      </c>
      <c r="PZF347" s="444" t="s">
        <v>1127</v>
      </c>
      <c r="PZG347" s="444">
        <v>6</v>
      </c>
      <c r="PZH347" s="444" t="s">
        <v>1127</v>
      </c>
      <c r="PZI347" s="444">
        <v>6</v>
      </c>
      <c r="PZJ347" s="444" t="s">
        <v>1127</v>
      </c>
      <c r="PZK347" s="444">
        <v>6</v>
      </c>
      <c r="PZL347" s="444" t="s">
        <v>1127</v>
      </c>
      <c r="PZM347" s="444">
        <v>6</v>
      </c>
      <c r="PZN347" s="444" t="s">
        <v>1127</v>
      </c>
      <c r="PZO347" s="444">
        <v>6</v>
      </c>
      <c r="PZP347" s="444" t="s">
        <v>1127</v>
      </c>
      <c r="PZQ347" s="444">
        <v>6</v>
      </c>
      <c r="PZR347" s="444" t="s">
        <v>1127</v>
      </c>
      <c r="PZS347" s="444">
        <v>6</v>
      </c>
      <c r="PZT347" s="444" t="s">
        <v>1127</v>
      </c>
      <c r="PZU347" s="444">
        <v>6</v>
      </c>
      <c r="PZV347" s="444" t="s">
        <v>1127</v>
      </c>
      <c r="PZW347" s="444">
        <v>6</v>
      </c>
      <c r="PZX347" s="444" t="s">
        <v>1127</v>
      </c>
      <c r="PZY347" s="444">
        <v>6</v>
      </c>
      <c r="PZZ347" s="444" t="s">
        <v>1127</v>
      </c>
      <c r="QAA347" s="444">
        <v>6</v>
      </c>
      <c r="QAB347" s="444" t="s">
        <v>1127</v>
      </c>
      <c r="QAC347" s="444">
        <v>6</v>
      </c>
      <c r="QAD347" s="444" t="s">
        <v>1127</v>
      </c>
      <c r="QAE347" s="444">
        <v>6</v>
      </c>
      <c r="QAF347" s="444" t="s">
        <v>1127</v>
      </c>
      <c r="QAG347" s="444">
        <v>6</v>
      </c>
      <c r="QAH347" s="444" t="s">
        <v>1127</v>
      </c>
      <c r="QAI347" s="444">
        <v>6</v>
      </c>
      <c r="QAJ347" s="444" t="s">
        <v>1127</v>
      </c>
      <c r="QAK347" s="444">
        <v>6</v>
      </c>
      <c r="QAL347" s="444" t="s">
        <v>1127</v>
      </c>
      <c r="QAM347" s="444">
        <v>6</v>
      </c>
      <c r="QAN347" s="444" t="s">
        <v>1127</v>
      </c>
      <c r="QAO347" s="444">
        <v>6</v>
      </c>
      <c r="QAP347" s="444" t="s">
        <v>1127</v>
      </c>
      <c r="QAQ347" s="444">
        <v>6</v>
      </c>
      <c r="QAR347" s="444" t="s">
        <v>1127</v>
      </c>
      <c r="QAS347" s="444">
        <v>6</v>
      </c>
      <c r="QAT347" s="444" t="s">
        <v>1127</v>
      </c>
      <c r="QAU347" s="444">
        <v>6</v>
      </c>
      <c r="QAV347" s="444" t="s">
        <v>1127</v>
      </c>
      <c r="QAW347" s="444">
        <v>6</v>
      </c>
      <c r="QAX347" s="444" t="s">
        <v>1127</v>
      </c>
      <c r="QAY347" s="444">
        <v>6</v>
      </c>
      <c r="QAZ347" s="444" t="s">
        <v>1127</v>
      </c>
      <c r="QBA347" s="444">
        <v>6</v>
      </c>
      <c r="QBB347" s="444" t="s">
        <v>1127</v>
      </c>
      <c r="QBC347" s="444">
        <v>6</v>
      </c>
      <c r="QBD347" s="444" t="s">
        <v>1127</v>
      </c>
      <c r="QBE347" s="444">
        <v>6</v>
      </c>
      <c r="QBF347" s="444" t="s">
        <v>1127</v>
      </c>
      <c r="QBG347" s="444">
        <v>6</v>
      </c>
      <c r="QBH347" s="444" t="s">
        <v>1127</v>
      </c>
      <c r="QBI347" s="444">
        <v>6</v>
      </c>
      <c r="QBJ347" s="444" t="s">
        <v>1127</v>
      </c>
      <c r="QBK347" s="444">
        <v>6</v>
      </c>
      <c r="QBL347" s="444" t="s">
        <v>1127</v>
      </c>
      <c r="QBM347" s="444">
        <v>6</v>
      </c>
      <c r="QBN347" s="444" t="s">
        <v>1127</v>
      </c>
      <c r="QBO347" s="444">
        <v>6</v>
      </c>
      <c r="QBP347" s="444" t="s">
        <v>1127</v>
      </c>
      <c r="QBQ347" s="444">
        <v>6</v>
      </c>
      <c r="QBR347" s="444" t="s">
        <v>1127</v>
      </c>
      <c r="QBS347" s="444">
        <v>6</v>
      </c>
      <c r="QBT347" s="444" t="s">
        <v>1127</v>
      </c>
      <c r="QBU347" s="444">
        <v>6</v>
      </c>
      <c r="QBV347" s="444" t="s">
        <v>1127</v>
      </c>
      <c r="QBW347" s="444">
        <v>6</v>
      </c>
      <c r="QBX347" s="444" t="s">
        <v>1127</v>
      </c>
      <c r="QBY347" s="444">
        <v>6</v>
      </c>
      <c r="QBZ347" s="444" t="s">
        <v>1127</v>
      </c>
      <c r="QCA347" s="444">
        <v>6</v>
      </c>
      <c r="QCB347" s="444" t="s">
        <v>1127</v>
      </c>
      <c r="QCC347" s="444">
        <v>6</v>
      </c>
      <c r="QCD347" s="444" t="s">
        <v>1127</v>
      </c>
      <c r="QCE347" s="444">
        <v>6</v>
      </c>
      <c r="QCF347" s="444" t="s">
        <v>1127</v>
      </c>
      <c r="QCG347" s="444">
        <v>6</v>
      </c>
      <c r="QCH347" s="444" t="s">
        <v>1127</v>
      </c>
      <c r="QCI347" s="444">
        <v>6</v>
      </c>
      <c r="QCJ347" s="444" t="s">
        <v>1127</v>
      </c>
      <c r="QCK347" s="444">
        <v>6</v>
      </c>
      <c r="QCL347" s="444" t="s">
        <v>1127</v>
      </c>
      <c r="QCM347" s="444">
        <v>6</v>
      </c>
      <c r="QCN347" s="444" t="s">
        <v>1127</v>
      </c>
      <c r="QCO347" s="444">
        <v>6</v>
      </c>
      <c r="QCP347" s="444" t="s">
        <v>1127</v>
      </c>
      <c r="QCQ347" s="444">
        <v>6</v>
      </c>
      <c r="QCR347" s="444" t="s">
        <v>1127</v>
      </c>
      <c r="QCS347" s="444">
        <v>6</v>
      </c>
      <c r="QCT347" s="444" t="s">
        <v>1127</v>
      </c>
      <c r="QCU347" s="444">
        <v>6</v>
      </c>
      <c r="QCV347" s="444" t="s">
        <v>1127</v>
      </c>
      <c r="QCW347" s="444">
        <v>6</v>
      </c>
      <c r="QCX347" s="444" t="s">
        <v>1127</v>
      </c>
      <c r="QCY347" s="444">
        <v>6</v>
      </c>
      <c r="QCZ347" s="444" t="s">
        <v>1127</v>
      </c>
      <c r="QDA347" s="444">
        <v>6</v>
      </c>
      <c r="QDB347" s="444" t="s">
        <v>1127</v>
      </c>
      <c r="QDC347" s="444">
        <v>6</v>
      </c>
      <c r="QDD347" s="444" t="s">
        <v>1127</v>
      </c>
      <c r="QDE347" s="444">
        <v>6</v>
      </c>
      <c r="QDF347" s="444" t="s">
        <v>1127</v>
      </c>
      <c r="QDG347" s="444">
        <v>6</v>
      </c>
      <c r="QDH347" s="444" t="s">
        <v>1127</v>
      </c>
      <c r="QDI347" s="444">
        <v>6</v>
      </c>
      <c r="QDJ347" s="444" t="s">
        <v>1127</v>
      </c>
      <c r="QDK347" s="444">
        <v>6</v>
      </c>
      <c r="QDL347" s="444" t="s">
        <v>1127</v>
      </c>
      <c r="QDM347" s="444">
        <v>6</v>
      </c>
      <c r="QDN347" s="444" t="s">
        <v>1127</v>
      </c>
      <c r="QDO347" s="444">
        <v>6</v>
      </c>
      <c r="QDP347" s="444" t="s">
        <v>1127</v>
      </c>
      <c r="QDQ347" s="444">
        <v>6</v>
      </c>
      <c r="QDR347" s="444" t="s">
        <v>1127</v>
      </c>
      <c r="QDS347" s="444">
        <v>6</v>
      </c>
      <c r="QDT347" s="444" t="s">
        <v>1127</v>
      </c>
      <c r="QDU347" s="444">
        <v>6</v>
      </c>
      <c r="QDV347" s="444" t="s">
        <v>1127</v>
      </c>
      <c r="QDW347" s="444">
        <v>6</v>
      </c>
      <c r="QDX347" s="444" t="s">
        <v>1127</v>
      </c>
      <c r="QDY347" s="444">
        <v>6</v>
      </c>
      <c r="QDZ347" s="444" t="s">
        <v>1127</v>
      </c>
      <c r="QEA347" s="444">
        <v>6</v>
      </c>
      <c r="QEB347" s="444" t="s">
        <v>1127</v>
      </c>
      <c r="QEC347" s="444">
        <v>6</v>
      </c>
      <c r="QED347" s="444" t="s">
        <v>1127</v>
      </c>
      <c r="QEE347" s="444">
        <v>6</v>
      </c>
      <c r="QEF347" s="444" t="s">
        <v>1127</v>
      </c>
      <c r="QEG347" s="444">
        <v>6</v>
      </c>
      <c r="QEH347" s="444" t="s">
        <v>1127</v>
      </c>
      <c r="QEI347" s="444">
        <v>6</v>
      </c>
      <c r="QEJ347" s="444" t="s">
        <v>1127</v>
      </c>
      <c r="QEK347" s="444">
        <v>6</v>
      </c>
      <c r="QEL347" s="444" t="s">
        <v>1127</v>
      </c>
      <c r="QEM347" s="444">
        <v>6</v>
      </c>
      <c r="QEN347" s="444" t="s">
        <v>1127</v>
      </c>
      <c r="QEO347" s="444">
        <v>6</v>
      </c>
      <c r="QEP347" s="444" t="s">
        <v>1127</v>
      </c>
      <c r="QEQ347" s="444">
        <v>6</v>
      </c>
      <c r="QER347" s="444" t="s">
        <v>1127</v>
      </c>
      <c r="QES347" s="444">
        <v>6</v>
      </c>
      <c r="QET347" s="444" t="s">
        <v>1127</v>
      </c>
      <c r="QEU347" s="444">
        <v>6</v>
      </c>
      <c r="QEV347" s="444" t="s">
        <v>1127</v>
      </c>
      <c r="QEW347" s="444">
        <v>6</v>
      </c>
      <c r="QEX347" s="444" t="s">
        <v>1127</v>
      </c>
      <c r="QEY347" s="444">
        <v>6</v>
      </c>
      <c r="QEZ347" s="444" t="s">
        <v>1127</v>
      </c>
      <c r="QFA347" s="444">
        <v>6</v>
      </c>
      <c r="QFB347" s="444" t="s">
        <v>1127</v>
      </c>
      <c r="QFC347" s="444">
        <v>6</v>
      </c>
      <c r="QFD347" s="444" t="s">
        <v>1127</v>
      </c>
      <c r="QFE347" s="444">
        <v>6</v>
      </c>
      <c r="QFF347" s="444" t="s">
        <v>1127</v>
      </c>
      <c r="QFG347" s="444">
        <v>6</v>
      </c>
      <c r="QFH347" s="444" t="s">
        <v>1127</v>
      </c>
      <c r="QFI347" s="444">
        <v>6</v>
      </c>
      <c r="QFJ347" s="444" t="s">
        <v>1127</v>
      </c>
      <c r="QFK347" s="444">
        <v>6</v>
      </c>
      <c r="QFL347" s="444" t="s">
        <v>1127</v>
      </c>
      <c r="QFM347" s="444">
        <v>6</v>
      </c>
      <c r="QFN347" s="444" t="s">
        <v>1127</v>
      </c>
      <c r="QFO347" s="444">
        <v>6</v>
      </c>
      <c r="QFP347" s="444" t="s">
        <v>1127</v>
      </c>
      <c r="QFQ347" s="444">
        <v>6</v>
      </c>
      <c r="QFR347" s="444" t="s">
        <v>1127</v>
      </c>
      <c r="QFS347" s="444">
        <v>6</v>
      </c>
      <c r="QFT347" s="444" t="s">
        <v>1127</v>
      </c>
      <c r="QFU347" s="444">
        <v>6</v>
      </c>
      <c r="QFV347" s="444" t="s">
        <v>1127</v>
      </c>
      <c r="QFW347" s="444">
        <v>6</v>
      </c>
      <c r="QFX347" s="444" t="s">
        <v>1127</v>
      </c>
      <c r="QFY347" s="444">
        <v>6</v>
      </c>
      <c r="QFZ347" s="444" t="s">
        <v>1127</v>
      </c>
      <c r="QGA347" s="444">
        <v>6</v>
      </c>
      <c r="QGB347" s="444" t="s">
        <v>1127</v>
      </c>
      <c r="QGC347" s="444">
        <v>6</v>
      </c>
      <c r="QGD347" s="444" t="s">
        <v>1127</v>
      </c>
      <c r="QGE347" s="444">
        <v>6</v>
      </c>
      <c r="QGF347" s="444" t="s">
        <v>1127</v>
      </c>
      <c r="QGG347" s="444">
        <v>6</v>
      </c>
      <c r="QGH347" s="444" t="s">
        <v>1127</v>
      </c>
      <c r="QGI347" s="444">
        <v>6</v>
      </c>
      <c r="QGJ347" s="444" t="s">
        <v>1127</v>
      </c>
      <c r="QGK347" s="444">
        <v>6</v>
      </c>
      <c r="QGL347" s="444" t="s">
        <v>1127</v>
      </c>
      <c r="QGM347" s="444">
        <v>6</v>
      </c>
      <c r="QGN347" s="444" t="s">
        <v>1127</v>
      </c>
      <c r="QGO347" s="444">
        <v>6</v>
      </c>
      <c r="QGP347" s="444" t="s">
        <v>1127</v>
      </c>
      <c r="QGQ347" s="444">
        <v>6</v>
      </c>
      <c r="QGR347" s="444" t="s">
        <v>1127</v>
      </c>
      <c r="QGS347" s="444">
        <v>6</v>
      </c>
      <c r="QGT347" s="444" t="s">
        <v>1127</v>
      </c>
      <c r="QGU347" s="444">
        <v>6</v>
      </c>
      <c r="QGV347" s="444" t="s">
        <v>1127</v>
      </c>
      <c r="QGW347" s="444">
        <v>6</v>
      </c>
      <c r="QGX347" s="444" t="s">
        <v>1127</v>
      </c>
      <c r="QGY347" s="444">
        <v>6</v>
      </c>
      <c r="QGZ347" s="444" t="s">
        <v>1127</v>
      </c>
      <c r="QHA347" s="444">
        <v>6</v>
      </c>
      <c r="QHB347" s="444" t="s">
        <v>1127</v>
      </c>
      <c r="QHC347" s="444">
        <v>6</v>
      </c>
      <c r="QHD347" s="444" t="s">
        <v>1127</v>
      </c>
      <c r="QHE347" s="444">
        <v>6</v>
      </c>
      <c r="QHF347" s="444" t="s">
        <v>1127</v>
      </c>
      <c r="QHG347" s="444">
        <v>6</v>
      </c>
      <c r="QHH347" s="444" t="s">
        <v>1127</v>
      </c>
      <c r="QHI347" s="444">
        <v>6</v>
      </c>
      <c r="QHJ347" s="444" t="s">
        <v>1127</v>
      </c>
      <c r="QHK347" s="444">
        <v>6</v>
      </c>
      <c r="QHL347" s="444" t="s">
        <v>1127</v>
      </c>
      <c r="QHM347" s="444">
        <v>6</v>
      </c>
      <c r="QHN347" s="444" t="s">
        <v>1127</v>
      </c>
      <c r="QHO347" s="444">
        <v>6</v>
      </c>
      <c r="QHP347" s="444" t="s">
        <v>1127</v>
      </c>
      <c r="QHQ347" s="444">
        <v>6</v>
      </c>
      <c r="QHR347" s="444" t="s">
        <v>1127</v>
      </c>
      <c r="QHS347" s="444">
        <v>6</v>
      </c>
      <c r="QHT347" s="444" t="s">
        <v>1127</v>
      </c>
      <c r="QHU347" s="444">
        <v>6</v>
      </c>
      <c r="QHV347" s="444" t="s">
        <v>1127</v>
      </c>
      <c r="QHW347" s="444">
        <v>6</v>
      </c>
      <c r="QHX347" s="444" t="s">
        <v>1127</v>
      </c>
      <c r="QHY347" s="444">
        <v>6</v>
      </c>
      <c r="QHZ347" s="444" t="s">
        <v>1127</v>
      </c>
      <c r="QIA347" s="444">
        <v>6</v>
      </c>
      <c r="QIB347" s="444" t="s">
        <v>1127</v>
      </c>
      <c r="QIC347" s="444">
        <v>6</v>
      </c>
      <c r="QID347" s="444" t="s">
        <v>1127</v>
      </c>
      <c r="QIE347" s="444">
        <v>6</v>
      </c>
      <c r="QIF347" s="444" t="s">
        <v>1127</v>
      </c>
      <c r="QIG347" s="444">
        <v>6</v>
      </c>
      <c r="QIH347" s="444" t="s">
        <v>1127</v>
      </c>
      <c r="QII347" s="444">
        <v>6</v>
      </c>
      <c r="QIJ347" s="444" t="s">
        <v>1127</v>
      </c>
      <c r="QIK347" s="444">
        <v>6</v>
      </c>
      <c r="QIL347" s="444" t="s">
        <v>1127</v>
      </c>
      <c r="QIM347" s="444">
        <v>6</v>
      </c>
      <c r="QIN347" s="444" t="s">
        <v>1127</v>
      </c>
      <c r="QIO347" s="444">
        <v>6</v>
      </c>
      <c r="QIP347" s="444" t="s">
        <v>1127</v>
      </c>
      <c r="QIQ347" s="444">
        <v>6</v>
      </c>
      <c r="QIR347" s="444" t="s">
        <v>1127</v>
      </c>
      <c r="QIS347" s="444">
        <v>6</v>
      </c>
      <c r="QIT347" s="444" t="s">
        <v>1127</v>
      </c>
      <c r="QIU347" s="444">
        <v>6</v>
      </c>
      <c r="QIV347" s="444" t="s">
        <v>1127</v>
      </c>
      <c r="QIW347" s="444">
        <v>6</v>
      </c>
      <c r="QIX347" s="444" t="s">
        <v>1127</v>
      </c>
      <c r="QIY347" s="444">
        <v>6</v>
      </c>
      <c r="QIZ347" s="444" t="s">
        <v>1127</v>
      </c>
      <c r="QJA347" s="444">
        <v>6</v>
      </c>
      <c r="QJB347" s="444" t="s">
        <v>1127</v>
      </c>
      <c r="QJC347" s="444">
        <v>6</v>
      </c>
      <c r="QJD347" s="444" t="s">
        <v>1127</v>
      </c>
      <c r="QJE347" s="444">
        <v>6</v>
      </c>
      <c r="QJF347" s="444" t="s">
        <v>1127</v>
      </c>
      <c r="QJG347" s="444">
        <v>6</v>
      </c>
      <c r="QJH347" s="444" t="s">
        <v>1127</v>
      </c>
      <c r="QJI347" s="444">
        <v>6</v>
      </c>
      <c r="QJJ347" s="444" t="s">
        <v>1127</v>
      </c>
      <c r="QJK347" s="444">
        <v>6</v>
      </c>
      <c r="QJL347" s="444" t="s">
        <v>1127</v>
      </c>
      <c r="QJM347" s="444">
        <v>6</v>
      </c>
      <c r="QJN347" s="444" t="s">
        <v>1127</v>
      </c>
      <c r="QJO347" s="444">
        <v>6</v>
      </c>
      <c r="QJP347" s="444" t="s">
        <v>1127</v>
      </c>
      <c r="QJQ347" s="444">
        <v>6</v>
      </c>
      <c r="QJR347" s="444" t="s">
        <v>1127</v>
      </c>
      <c r="QJS347" s="444">
        <v>6</v>
      </c>
      <c r="QJT347" s="444" t="s">
        <v>1127</v>
      </c>
      <c r="QJU347" s="444">
        <v>6</v>
      </c>
      <c r="QJV347" s="444" t="s">
        <v>1127</v>
      </c>
      <c r="QJW347" s="444">
        <v>6</v>
      </c>
      <c r="QJX347" s="444" t="s">
        <v>1127</v>
      </c>
      <c r="QJY347" s="444">
        <v>6</v>
      </c>
      <c r="QJZ347" s="444" t="s">
        <v>1127</v>
      </c>
      <c r="QKA347" s="444">
        <v>6</v>
      </c>
      <c r="QKB347" s="444" t="s">
        <v>1127</v>
      </c>
      <c r="QKC347" s="444">
        <v>6</v>
      </c>
      <c r="QKD347" s="444" t="s">
        <v>1127</v>
      </c>
      <c r="QKE347" s="444">
        <v>6</v>
      </c>
      <c r="QKF347" s="444" t="s">
        <v>1127</v>
      </c>
      <c r="QKG347" s="444">
        <v>6</v>
      </c>
      <c r="QKH347" s="444" t="s">
        <v>1127</v>
      </c>
      <c r="QKI347" s="444">
        <v>6</v>
      </c>
      <c r="QKJ347" s="444" t="s">
        <v>1127</v>
      </c>
      <c r="QKK347" s="444">
        <v>6</v>
      </c>
      <c r="QKL347" s="444" t="s">
        <v>1127</v>
      </c>
      <c r="QKM347" s="444">
        <v>6</v>
      </c>
      <c r="QKN347" s="444" t="s">
        <v>1127</v>
      </c>
      <c r="QKO347" s="444">
        <v>6</v>
      </c>
      <c r="QKP347" s="444" t="s">
        <v>1127</v>
      </c>
      <c r="QKQ347" s="444">
        <v>6</v>
      </c>
      <c r="QKR347" s="444" t="s">
        <v>1127</v>
      </c>
      <c r="QKS347" s="444">
        <v>6</v>
      </c>
      <c r="QKT347" s="444" t="s">
        <v>1127</v>
      </c>
      <c r="QKU347" s="444">
        <v>6</v>
      </c>
      <c r="QKV347" s="444" t="s">
        <v>1127</v>
      </c>
      <c r="QKW347" s="444">
        <v>6</v>
      </c>
      <c r="QKX347" s="444" t="s">
        <v>1127</v>
      </c>
      <c r="QKY347" s="444">
        <v>6</v>
      </c>
      <c r="QKZ347" s="444" t="s">
        <v>1127</v>
      </c>
      <c r="QLA347" s="444">
        <v>6</v>
      </c>
      <c r="QLB347" s="444" t="s">
        <v>1127</v>
      </c>
      <c r="QLC347" s="444">
        <v>6</v>
      </c>
      <c r="QLD347" s="444" t="s">
        <v>1127</v>
      </c>
      <c r="QLE347" s="444">
        <v>6</v>
      </c>
      <c r="QLF347" s="444" t="s">
        <v>1127</v>
      </c>
      <c r="QLG347" s="444">
        <v>6</v>
      </c>
      <c r="QLH347" s="444" t="s">
        <v>1127</v>
      </c>
      <c r="QLI347" s="444">
        <v>6</v>
      </c>
      <c r="QLJ347" s="444" t="s">
        <v>1127</v>
      </c>
      <c r="QLK347" s="444">
        <v>6</v>
      </c>
      <c r="QLL347" s="444" t="s">
        <v>1127</v>
      </c>
      <c r="QLM347" s="444">
        <v>6</v>
      </c>
      <c r="QLN347" s="444" t="s">
        <v>1127</v>
      </c>
      <c r="QLO347" s="444">
        <v>6</v>
      </c>
      <c r="QLP347" s="444" t="s">
        <v>1127</v>
      </c>
      <c r="QLQ347" s="444">
        <v>6</v>
      </c>
      <c r="QLR347" s="444" t="s">
        <v>1127</v>
      </c>
      <c r="QLS347" s="444">
        <v>6</v>
      </c>
      <c r="QLT347" s="444" t="s">
        <v>1127</v>
      </c>
      <c r="QLU347" s="444">
        <v>6</v>
      </c>
      <c r="QLV347" s="444" t="s">
        <v>1127</v>
      </c>
      <c r="QLW347" s="444">
        <v>6</v>
      </c>
      <c r="QLX347" s="444" t="s">
        <v>1127</v>
      </c>
      <c r="QLY347" s="444">
        <v>6</v>
      </c>
      <c r="QLZ347" s="444" t="s">
        <v>1127</v>
      </c>
      <c r="QMA347" s="444">
        <v>6</v>
      </c>
      <c r="QMB347" s="444" t="s">
        <v>1127</v>
      </c>
      <c r="QMC347" s="444">
        <v>6</v>
      </c>
      <c r="QMD347" s="444" t="s">
        <v>1127</v>
      </c>
      <c r="QME347" s="444">
        <v>6</v>
      </c>
      <c r="QMF347" s="444" t="s">
        <v>1127</v>
      </c>
      <c r="QMG347" s="444">
        <v>6</v>
      </c>
      <c r="QMH347" s="444" t="s">
        <v>1127</v>
      </c>
      <c r="QMI347" s="444">
        <v>6</v>
      </c>
      <c r="QMJ347" s="444" t="s">
        <v>1127</v>
      </c>
      <c r="QMK347" s="444">
        <v>6</v>
      </c>
      <c r="QML347" s="444" t="s">
        <v>1127</v>
      </c>
      <c r="QMM347" s="444">
        <v>6</v>
      </c>
      <c r="QMN347" s="444" t="s">
        <v>1127</v>
      </c>
      <c r="QMO347" s="444">
        <v>6</v>
      </c>
      <c r="QMP347" s="444" t="s">
        <v>1127</v>
      </c>
      <c r="QMQ347" s="444">
        <v>6</v>
      </c>
      <c r="QMR347" s="444" t="s">
        <v>1127</v>
      </c>
      <c r="QMS347" s="444">
        <v>6</v>
      </c>
      <c r="QMT347" s="444" t="s">
        <v>1127</v>
      </c>
      <c r="QMU347" s="444">
        <v>6</v>
      </c>
      <c r="QMV347" s="444" t="s">
        <v>1127</v>
      </c>
      <c r="QMW347" s="444">
        <v>6</v>
      </c>
      <c r="QMX347" s="444" t="s">
        <v>1127</v>
      </c>
      <c r="QMY347" s="444">
        <v>6</v>
      </c>
      <c r="QMZ347" s="444" t="s">
        <v>1127</v>
      </c>
      <c r="QNA347" s="444">
        <v>6</v>
      </c>
      <c r="QNB347" s="444" t="s">
        <v>1127</v>
      </c>
      <c r="QNC347" s="444">
        <v>6</v>
      </c>
      <c r="QND347" s="444" t="s">
        <v>1127</v>
      </c>
      <c r="QNE347" s="444">
        <v>6</v>
      </c>
      <c r="QNF347" s="444" t="s">
        <v>1127</v>
      </c>
      <c r="QNG347" s="444">
        <v>6</v>
      </c>
      <c r="QNH347" s="444" t="s">
        <v>1127</v>
      </c>
      <c r="QNI347" s="444">
        <v>6</v>
      </c>
      <c r="QNJ347" s="444" t="s">
        <v>1127</v>
      </c>
      <c r="QNK347" s="444">
        <v>6</v>
      </c>
      <c r="QNL347" s="444" t="s">
        <v>1127</v>
      </c>
      <c r="QNM347" s="444">
        <v>6</v>
      </c>
      <c r="QNN347" s="444" t="s">
        <v>1127</v>
      </c>
      <c r="QNO347" s="444">
        <v>6</v>
      </c>
      <c r="QNP347" s="444" t="s">
        <v>1127</v>
      </c>
      <c r="QNQ347" s="444">
        <v>6</v>
      </c>
      <c r="QNR347" s="444" t="s">
        <v>1127</v>
      </c>
      <c r="QNS347" s="444">
        <v>6</v>
      </c>
      <c r="QNT347" s="444" t="s">
        <v>1127</v>
      </c>
      <c r="QNU347" s="444">
        <v>6</v>
      </c>
      <c r="QNV347" s="444" t="s">
        <v>1127</v>
      </c>
      <c r="QNW347" s="444">
        <v>6</v>
      </c>
      <c r="QNX347" s="444" t="s">
        <v>1127</v>
      </c>
      <c r="QNY347" s="444">
        <v>6</v>
      </c>
      <c r="QNZ347" s="444" t="s">
        <v>1127</v>
      </c>
      <c r="QOA347" s="444">
        <v>6</v>
      </c>
      <c r="QOB347" s="444" t="s">
        <v>1127</v>
      </c>
      <c r="QOC347" s="444">
        <v>6</v>
      </c>
      <c r="QOD347" s="444" t="s">
        <v>1127</v>
      </c>
      <c r="QOE347" s="444">
        <v>6</v>
      </c>
      <c r="QOF347" s="444" t="s">
        <v>1127</v>
      </c>
      <c r="QOG347" s="444">
        <v>6</v>
      </c>
      <c r="QOH347" s="444" t="s">
        <v>1127</v>
      </c>
      <c r="QOI347" s="444">
        <v>6</v>
      </c>
      <c r="QOJ347" s="444" t="s">
        <v>1127</v>
      </c>
      <c r="QOK347" s="444">
        <v>6</v>
      </c>
      <c r="QOL347" s="444" t="s">
        <v>1127</v>
      </c>
      <c r="QOM347" s="444">
        <v>6</v>
      </c>
      <c r="QON347" s="444" t="s">
        <v>1127</v>
      </c>
      <c r="QOO347" s="444">
        <v>6</v>
      </c>
      <c r="QOP347" s="444" t="s">
        <v>1127</v>
      </c>
      <c r="QOQ347" s="444">
        <v>6</v>
      </c>
      <c r="QOR347" s="444" t="s">
        <v>1127</v>
      </c>
      <c r="QOS347" s="444">
        <v>6</v>
      </c>
      <c r="QOT347" s="444" t="s">
        <v>1127</v>
      </c>
      <c r="QOU347" s="444">
        <v>6</v>
      </c>
      <c r="QOV347" s="444" t="s">
        <v>1127</v>
      </c>
      <c r="QOW347" s="444">
        <v>6</v>
      </c>
      <c r="QOX347" s="444" t="s">
        <v>1127</v>
      </c>
      <c r="QOY347" s="444">
        <v>6</v>
      </c>
      <c r="QOZ347" s="444" t="s">
        <v>1127</v>
      </c>
      <c r="QPA347" s="444">
        <v>6</v>
      </c>
      <c r="QPB347" s="444" t="s">
        <v>1127</v>
      </c>
      <c r="QPC347" s="444">
        <v>6</v>
      </c>
      <c r="QPD347" s="444" t="s">
        <v>1127</v>
      </c>
      <c r="QPE347" s="444">
        <v>6</v>
      </c>
      <c r="QPF347" s="444" t="s">
        <v>1127</v>
      </c>
      <c r="QPG347" s="444">
        <v>6</v>
      </c>
      <c r="QPH347" s="444" t="s">
        <v>1127</v>
      </c>
      <c r="QPI347" s="444">
        <v>6</v>
      </c>
      <c r="QPJ347" s="444" t="s">
        <v>1127</v>
      </c>
      <c r="QPK347" s="444">
        <v>6</v>
      </c>
      <c r="QPL347" s="444" t="s">
        <v>1127</v>
      </c>
      <c r="QPM347" s="444">
        <v>6</v>
      </c>
      <c r="QPN347" s="444" t="s">
        <v>1127</v>
      </c>
      <c r="QPO347" s="444">
        <v>6</v>
      </c>
      <c r="QPP347" s="444" t="s">
        <v>1127</v>
      </c>
      <c r="QPQ347" s="444">
        <v>6</v>
      </c>
      <c r="QPR347" s="444" t="s">
        <v>1127</v>
      </c>
      <c r="QPS347" s="444">
        <v>6</v>
      </c>
      <c r="QPT347" s="444" t="s">
        <v>1127</v>
      </c>
      <c r="QPU347" s="444">
        <v>6</v>
      </c>
      <c r="QPV347" s="444" t="s">
        <v>1127</v>
      </c>
      <c r="QPW347" s="444">
        <v>6</v>
      </c>
      <c r="QPX347" s="444" t="s">
        <v>1127</v>
      </c>
      <c r="QPY347" s="444">
        <v>6</v>
      </c>
      <c r="QPZ347" s="444" t="s">
        <v>1127</v>
      </c>
      <c r="QQA347" s="444">
        <v>6</v>
      </c>
      <c r="QQB347" s="444" t="s">
        <v>1127</v>
      </c>
      <c r="QQC347" s="444">
        <v>6</v>
      </c>
      <c r="QQD347" s="444" t="s">
        <v>1127</v>
      </c>
      <c r="QQE347" s="444">
        <v>6</v>
      </c>
      <c r="QQF347" s="444" t="s">
        <v>1127</v>
      </c>
      <c r="QQG347" s="444">
        <v>6</v>
      </c>
      <c r="QQH347" s="444" t="s">
        <v>1127</v>
      </c>
      <c r="QQI347" s="444">
        <v>6</v>
      </c>
      <c r="QQJ347" s="444" t="s">
        <v>1127</v>
      </c>
      <c r="QQK347" s="444">
        <v>6</v>
      </c>
      <c r="QQL347" s="444" t="s">
        <v>1127</v>
      </c>
      <c r="QQM347" s="444">
        <v>6</v>
      </c>
      <c r="QQN347" s="444" t="s">
        <v>1127</v>
      </c>
      <c r="QQO347" s="444">
        <v>6</v>
      </c>
      <c r="QQP347" s="444" t="s">
        <v>1127</v>
      </c>
      <c r="QQQ347" s="444">
        <v>6</v>
      </c>
      <c r="QQR347" s="444" t="s">
        <v>1127</v>
      </c>
      <c r="QQS347" s="444">
        <v>6</v>
      </c>
      <c r="QQT347" s="444" t="s">
        <v>1127</v>
      </c>
      <c r="QQU347" s="444">
        <v>6</v>
      </c>
      <c r="QQV347" s="444" t="s">
        <v>1127</v>
      </c>
      <c r="QQW347" s="444">
        <v>6</v>
      </c>
      <c r="QQX347" s="444" t="s">
        <v>1127</v>
      </c>
      <c r="QQY347" s="444">
        <v>6</v>
      </c>
      <c r="QQZ347" s="444" t="s">
        <v>1127</v>
      </c>
      <c r="QRA347" s="444">
        <v>6</v>
      </c>
      <c r="QRB347" s="444" t="s">
        <v>1127</v>
      </c>
      <c r="QRC347" s="444">
        <v>6</v>
      </c>
      <c r="QRD347" s="444" t="s">
        <v>1127</v>
      </c>
      <c r="QRE347" s="444">
        <v>6</v>
      </c>
      <c r="QRF347" s="444" t="s">
        <v>1127</v>
      </c>
      <c r="QRG347" s="444">
        <v>6</v>
      </c>
      <c r="QRH347" s="444" t="s">
        <v>1127</v>
      </c>
      <c r="QRI347" s="444">
        <v>6</v>
      </c>
      <c r="QRJ347" s="444" t="s">
        <v>1127</v>
      </c>
      <c r="QRK347" s="444">
        <v>6</v>
      </c>
      <c r="QRL347" s="444" t="s">
        <v>1127</v>
      </c>
      <c r="QRM347" s="444">
        <v>6</v>
      </c>
      <c r="QRN347" s="444" t="s">
        <v>1127</v>
      </c>
      <c r="QRO347" s="444">
        <v>6</v>
      </c>
      <c r="QRP347" s="444" t="s">
        <v>1127</v>
      </c>
      <c r="QRQ347" s="444">
        <v>6</v>
      </c>
      <c r="QRR347" s="444" t="s">
        <v>1127</v>
      </c>
      <c r="QRS347" s="444">
        <v>6</v>
      </c>
      <c r="QRT347" s="444" t="s">
        <v>1127</v>
      </c>
      <c r="QRU347" s="444">
        <v>6</v>
      </c>
      <c r="QRV347" s="444" t="s">
        <v>1127</v>
      </c>
      <c r="QRW347" s="444">
        <v>6</v>
      </c>
      <c r="QRX347" s="444" t="s">
        <v>1127</v>
      </c>
      <c r="QRY347" s="444">
        <v>6</v>
      </c>
      <c r="QRZ347" s="444" t="s">
        <v>1127</v>
      </c>
      <c r="QSA347" s="444">
        <v>6</v>
      </c>
      <c r="QSB347" s="444" t="s">
        <v>1127</v>
      </c>
      <c r="QSC347" s="444">
        <v>6</v>
      </c>
      <c r="QSD347" s="444" t="s">
        <v>1127</v>
      </c>
      <c r="QSE347" s="444">
        <v>6</v>
      </c>
      <c r="QSF347" s="444" t="s">
        <v>1127</v>
      </c>
      <c r="QSG347" s="444">
        <v>6</v>
      </c>
      <c r="QSH347" s="444" t="s">
        <v>1127</v>
      </c>
      <c r="QSI347" s="444">
        <v>6</v>
      </c>
      <c r="QSJ347" s="444" t="s">
        <v>1127</v>
      </c>
      <c r="QSK347" s="444">
        <v>6</v>
      </c>
      <c r="QSL347" s="444" t="s">
        <v>1127</v>
      </c>
      <c r="QSM347" s="444">
        <v>6</v>
      </c>
      <c r="QSN347" s="444" t="s">
        <v>1127</v>
      </c>
      <c r="QSO347" s="444">
        <v>6</v>
      </c>
      <c r="QSP347" s="444" t="s">
        <v>1127</v>
      </c>
      <c r="QSQ347" s="444">
        <v>6</v>
      </c>
      <c r="QSR347" s="444" t="s">
        <v>1127</v>
      </c>
      <c r="QSS347" s="444">
        <v>6</v>
      </c>
      <c r="QST347" s="444" t="s">
        <v>1127</v>
      </c>
      <c r="QSU347" s="444">
        <v>6</v>
      </c>
      <c r="QSV347" s="444" t="s">
        <v>1127</v>
      </c>
      <c r="QSW347" s="444">
        <v>6</v>
      </c>
      <c r="QSX347" s="444" t="s">
        <v>1127</v>
      </c>
      <c r="QSY347" s="444">
        <v>6</v>
      </c>
      <c r="QSZ347" s="444" t="s">
        <v>1127</v>
      </c>
      <c r="QTA347" s="444">
        <v>6</v>
      </c>
      <c r="QTB347" s="444" t="s">
        <v>1127</v>
      </c>
      <c r="QTC347" s="444">
        <v>6</v>
      </c>
      <c r="QTD347" s="444" t="s">
        <v>1127</v>
      </c>
      <c r="QTE347" s="444">
        <v>6</v>
      </c>
      <c r="QTF347" s="444" t="s">
        <v>1127</v>
      </c>
      <c r="QTG347" s="444">
        <v>6</v>
      </c>
      <c r="QTH347" s="444" t="s">
        <v>1127</v>
      </c>
      <c r="QTI347" s="444">
        <v>6</v>
      </c>
      <c r="QTJ347" s="444" t="s">
        <v>1127</v>
      </c>
      <c r="QTK347" s="444">
        <v>6</v>
      </c>
      <c r="QTL347" s="444" t="s">
        <v>1127</v>
      </c>
      <c r="QTM347" s="444">
        <v>6</v>
      </c>
      <c r="QTN347" s="444" t="s">
        <v>1127</v>
      </c>
      <c r="QTO347" s="444">
        <v>6</v>
      </c>
      <c r="QTP347" s="444" t="s">
        <v>1127</v>
      </c>
      <c r="QTQ347" s="444">
        <v>6</v>
      </c>
      <c r="QTR347" s="444" t="s">
        <v>1127</v>
      </c>
      <c r="QTS347" s="444">
        <v>6</v>
      </c>
      <c r="QTT347" s="444" t="s">
        <v>1127</v>
      </c>
      <c r="QTU347" s="444">
        <v>6</v>
      </c>
      <c r="QTV347" s="444" t="s">
        <v>1127</v>
      </c>
      <c r="QTW347" s="444">
        <v>6</v>
      </c>
      <c r="QTX347" s="444" t="s">
        <v>1127</v>
      </c>
      <c r="QTY347" s="444">
        <v>6</v>
      </c>
      <c r="QTZ347" s="444" t="s">
        <v>1127</v>
      </c>
      <c r="QUA347" s="444">
        <v>6</v>
      </c>
      <c r="QUB347" s="444" t="s">
        <v>1127</v>
      </c>
      <c r="QUC347" s="444">
        <v>6</v>
      </c>
      <c r="QUD347" s="444" t="s">
        <v>1127</v>
      </c>
      <c r="QUE347" s="444">
        <v>6</v>
      </c>
      <c r="QUF347" s="444" t="s">
        <v>1127</v>
      </c>
      <c r="QUG347" s="444">
        <v>6</v>
      </c>
      <c r="QUH347" s="444" t="s">
        <v>1127</v>
      </c>
      <c r="QUI347" s="444">
        <v>6</v>
      </c>
      <c r="QUJ347" s="444" t="s">
        <v>1127</v>
      </c>
      <c r="QUK347" s="444">
        <v>6</v>
      </c>
      <c r="QUL347" s="444" t="s">
        <v>1127</v>
      </c>
      <c r="QUM347" s="444">
        <v>6</v>
      </c>
      <c r="QUN347" s="444" t="s">
        <v>1127</v>
      </c>
      <c r="QUO347" s="444">
        <v>6</v>
      </c>
      <c r="QUP347" s="444" t="s">
        <v>1127</v>
      </c>
      <c r="QUQ347" s="444">
        <v>6</v>
      </c>
      <c r="QUR347" s="444" t="s">
        <v>1127</v>
      </c>
      <c r="QUS347" s="444">
        <v>6</v>
      </c>
      <c r="QUT347" s="444" t="s">
        <v>1127</v>
      </c>
      <c r="QUU347" s="444">
        <v>6</v>
      </c>
      <c r="QUV347" s="444" t="s">
        <v>1127</v>
      </c>
      <c r="QUW347" s="444">
        <v>6</v>
      </c>
      <c r="QUX347" s="444" t="s">
        <v>1127</v>
      </c>
      <c r="QUY347" s="444">
        <v>6</v>
      </c>
      <c r="QUZ347" s="444" t="s">
        <v>1127</v>
      </c>
      <c r="QVA347" s="444">
        <v>6</v>
      </c>
      <c r="QVB347" s="444" t="s">
        <v>1127</v>
      </c>
      <c r="QVC347" s="444">
        <v>6</v>
      </c>
      <c r="QVD347" s="444" t="s">
        <v>1127</v>
      </c>
      <c r="QVE347" s="444">
        <v>6</v>
      </c>
      <c r="QVF347" s="444" t="s">
        <v>1127</v>
      </c>
      <c r="QVG347" s="444">
        <v>6</v>
      </c>
      <c r="QVH347" s="444" t="s">
        <v>1127</v>
      </c>
      <c r="QVI347" s="444">
        <v>6</v>
      </c>
      <c r="QVJ347" s="444" t="s">
        <v>1127</v>
      </c>
      <c r="QVK347" s="444">
        <v>6</v>
      </c>
      <c r="QVL347" s="444" t="s">
        <v>1127</v>
      </c>
      <c r="QVM347" s="444">
        <v>6</v>
      </c>
      <c r="QVN347" s="444" t="s">
        <v>1127</v>
      </c>
      <c r="QVO347" s="444">
        <v>6</v>
      </c>
      <c r="QVP347" s="444" t="s">
        <v>1127</v>
      </c>
      <c r="QVQ347" s="444">
        <v>6</v>
      </c>
      <c r="QVR347" s="444" t="s">
        <v>1127</v>
      </c>
      <c r="QVS347" s="444">
        <v>6</v>
      </c>
      <c r="QVT347" s="444" t="s">
        <v>1127</v>
      </c>
      <c r="QVU347" s="444">
        <v>6</v>
      </c>
      <c r="QVV347" s="444" t="s">
        <v>1127</v>
      </c>
      <c r="QVW347" s="444">
        <v>6</v>
      </c>
      <c r="QVX347" s="444" t="s">
        <v>1127</v>
      </c>
      <c r="QVY347" s="444">
        <v>6</v>
      </c>
      <c r="QVZ347" s="444" t="s">
        <v>1127</v>
      </c>
      <c r="QWA347" s="444">
        <v>6</v>
      </c>
      <c r="QWB347" s="444" t="s">
        <v>1127</v>
      </c>
      <c r="QWC347" s="444">
        <v>6</v>
      </c>
      <c r="QWD347" s="444" t="s">
        <v>1127</v>
      </c>
      <c r="QWE347" s="444">
        <v>6</v>
      </c>
      <c r="QWF347" s="444" t="s">
        <v>1127</v>
      </c>
      <c r="QWG347" s="444">
        <v>6</v>
      </c>
      <c r="QWH347" s="444" t="s">
        <v>1127</v>
      </c>
      <c r="QWI347" s="444">
        <v>6</v>
      </c>
      <c r="QWJ347" s="444" t="s">
        <v>1127</v>
      </c>
      <c r="QWK347" s="444">
        <v>6</v>
      </c>
      <c r="QWL347" s="444" t="s">
        <v>1127</v>
      </c>
      <c r="QWM347" s="444">
        <v>6</v>
      </c>
      <c r="QWN347" s="444" t="s">
        <v>1127</v>
      </c>
      <c r="QWO347" s="444">
        <v>6</v>
      </c>
      <c r="QWP347" s="444" t="s">
        <v>1127</v>
      </c>
      <c r="QWQ347" s="444">
        <v>6</v>
      </c>
      <c r="QWR347" s="444" t="s">
        <v>1127</v>
      </c>
      <c r="QWS347" s="444">
        <v>6</v>
      </c>
      <c r="QWT347" s="444" t="s">
        <v>1127</v>
      </c>
      <c r="QWU347" s="444">
        <v>6</v>
      </c>
      <c r="QWV347" s="444" t="s">
        <v>1127</v>
      </c>
      <c r="QWW347" s="444">
        <v>6</v>
      </c>
      <c r="QWX347" s="444" t="s">
        <v>1127</v>
      </c>
      <c r="QWY347" s="444">
        <v>6</v>
      </c>
      <c r="QWZ347" s="444" t="s">
        <v>1127</v>
      </c>
      <c r="QXA347" s="444">
        <v>6</v>
      </c>
      <c r="QXB347" s="444" t="s">
        <v>1127</v>
      </c>
      <c r="QXC347" s="444">
        <v>6</v>
      </c>
      <c r="QXD347" s="444" t="s">
        <v>1127</v>
      </c>
      <c r="QXE347" s="444">
        <v>6</v>
      </c>
      <c r="QXF347" s="444" t="s">
        <v>1127</v>
      </c>
      <c r="QXG347" s="444">
        <v>6</v>
      </c>
      <c r="QXH347" s="444" t="s">
        <v>1127</v>
      </c>
      <c r="QXI347" s="444">
        <v>6</v>
      </c>
      <c r="QXJ347" s="444" t="s">
        <v>1127</v>
      </c>
      <c r="QXK347" s="444">
        <v>6</v>
      </c>
      <c r="QXL347" s="444" t="s">
        <v>1127</v>
      </c>
      <c r="QXM347" s="444">
        <v>6</v>
      </c>
      <c r="QXN347" s="444" t="s">
        <v>1127</v>
      </c>
      <c r="QXO347" s="444">
        <v>6</v>
      </c>
      <c r="QXP347" s="444" t="s">
        <v>1127</v>
      </c>
      <c r="QXQ347" s="444">
        <v>6</v>
      </c>
      <c r="QXR347" s="444" t="s">
        <v>1127</v>
      </c>
      <c r="QXS347" s="444">
        <v>6</v>
      </c>
      <c r="QXT347" s="444" t="s">
        <v>1127</v>
      </c>
      <c r="QXU347" s="444">
        <v>6</v>
      </c>
      <c r="QXV347" s="444" t="s">
        <v>1127</v>
      </c>
      <c r="QXW347" s="444">
        <v>6</v>
      </c>
      <c r="QXX347" s="444" t="s">
        <v>1127</v>
      </c>
      <c r="QXY347" s="444">
        <v>6</v>
      </c>
      <c r="QXZ347" s="444" t="s">
        <v>1127</v>
      </c>
      <c r="QYA347" s="444">
        <v>6</v>
      </c>
      <c r="QYB347" s="444" t="s">
        <v>1127</v>
      </c>
      <c r="QYC347" s="444">
        <v>6</v>
      </c>
      <c r="QYD347" s="444" t="s">
        <v>1127</v>
      </c>
      <c r="QYE347" s="444">
        <v>6</v>
      </c>
      <c r="QYF347" s="444" t="s">
        <v>1127</v>
      </c>
      <c r="QYG347" s="444">
        <v>6</v>
      </c>
      <c r="QYH347" s="444" t="s">
        <v>1127</v>
      </c>
      <c r="QYI347" s="444">
        <v>6</v>
      </c>
      <c r="QYJ347" s="444" t="s">
        <v>1127</v>
      </c>
      <c r="QYK347" s="444">
        <v>6</v>
      </c>
      <c r="QYL347" s="444" t="s">
        <v>1127</v>
      </c>
      <c r="QYM347" s="444">
        <v>6</v>
      </c>
      <c r="QYN347" s="444" t="s">
        <v>1127</v>
      </c>
      <c r="QYO347" s="444">
        <v>6</v>
      </c>
      <c r="QYP347" s="444" t="s">
        <v>1127</v>
      </c>
      <c r="QYQ347" s="444">
        <v>6</v>
      </c>
      <c r="QYR347" s="444" t="s">
        <v>1127</v>
      </c>
      <c r="QYS347" s="444">
        <v>6</v>
      </c>
      <c r="QYT347" s="444" t="s">
        <v>1127</v>
      </c>
      <c r="QYU347" s="444">
        <v>6</v>
      </c>
      <c r="QYV347" s="444" t="s">
        <v>1127</v>
      </c>
      <c r="QYW347" s="444">
        <v>6</v>
      </c>
      <c r="QYX347" s="444" t="s">
        <v>1127</v>
      </c>
      <c r="QYY347" s="444">
        <v>6</v>
      </c>
      <c r="QYZ347" s="444" t="s">
        <v>1127</v>
      </c>
      <c r="QZA347" s="444">
        <v>6</v>
      </c>
      <c r="QZB347" s="444" t="s">
        <v>1127</v>
      </c>
      <c r="QZC347" s="444">
        <v>6</v>
      </c>
      <c r="QZD347" s="444" t="s">
        <v>1127</v>
      </c>
      <c r="QZE347" s="444">
        <v>6</v>
      </c>
      <c r="QZF347" s="444" t="s">
        <v>1127</v>
      </c>
      <c r="QZG347" s="444">
        <v>6</v>
      </c>
      <c r="QZH347" s="444" t="s">
        <v>1127</v>
      </c>
      <c r="QZI347" s="444">
        <v>6</v>
      </c>
      <c r="QZJ347" s="444" t="s">
        <v>1127</v>
      </c>
      <c r="QZK347" s="444">
        <v>6</v>
      </c>
      <c r="QZL347" s="444" t="s">
        <v>1127</v>
      </c>
      <c r="QZM347" s="444">
        <v>6</v>
      </c>
      <c r="QZN347" s="444" t="s">
        <v>1127</v>
      </c>
      <c r="QZO347" s="444">
        <v>6</v>
      </c>
      <c r="QZP347" s="444" t="s">
        <v>1127</v>
      </c>
      <c r="QZQ347" s="444">
        <v>6</v>
      </c>
      <c r="QZR347" s="444" t="s">
        <v>1127</v>
      </c>
      <c r="QZS347" s="444">
        <v>6</v>
      </c>
      <c r="QZT347" s="444" t="s">
        <v>1127</v>
      </c>
      <c r="QZU347" s="444">
        <v>6</v>
      </c>
      <c r="QZV347" s="444" t="s">
        <v>1127</v>
      </c>
      <c r="QZW347" s="444">
        <v>6</v>
      </c>
      <c r="QZX347" s="444" t="s">
        <v>1127</v>
      </c>
      <c r="QZY347" s="444">
        <v>6</v>
      </c>
      <c r="QZZ347" s="444" t="s">
        <v>1127</v>
      </c>
      <c r="RAA347" s="444">
        <v>6</v>
      </c>
      <c r="RAB347" s="444" t="s">
        <v>1127</v>
      </c>
      <c r="RAC347" s="444">
        <v>6</v>
      </c>
      <c r="RAD347" s="444" t="s">
        <v>1127</v>
      </c>
      <c r="RAE347" s="444">
        <v>6</v>
      </c>
      <c r="RAF347" s="444" t="s">
        <v>1127</v>
      </c>
      <c r="RAG347" s="444">
        <v>6</v>
      </c>
      <c r="RAH347" s="444" t="s">
        <v>1127</v>
      </c>
      <c r="RAI347" s="444">
        <v>6</v>
      </c>
      <c r="RAJ347" s="444" t="s">
        <v>1127</v>
      </c>
      <c r="RAK347" s="444">
        <v>6</v>
      </c>
      <c r="RAL347" s="444" t="s">
        <v>1127</v>
      </c>
      <c r="RAM347" s="444">
        <v>6</v>
      </c>
      <c r="RAN347" s="444" t="s">
        <v>1127</v>
      </c>
      <c r="RAO347" s="444">
        <v>6</v>
      </c>
      <c r="RAP347" s="444" t="s">
        <v>1127</v>
      </c>
      <c r="RAQ347" s="444">
        <v>6</v>
      </c>
      <c r="RAR347" s="444" t="s">
        <v>1127</v>
      </c>
      <c r="RAS347" s="444">
        <v>6</v>
      </c>
      <c r="RAT347" s="444" t="s">
        <v>1127</v>
      </c>
      <c r="RAU347" s="444">
        <v>6</v>
      </c>
      <c r="RAV347" s="444" t="s">
        <v>1127</v>
      </c>
      <c r="RAW347" s="444">
        <v>6</v>
      </c>
      <c r="RAX347" s="444" t="s">
        <v>1127</v>
      </c>
      <c r="RAY347" s="444">
        <v>6</v>
      </c>
      <c r="RAZ347" s="444" t="s">
        <v>1127</v>
      </c>
      <c r="RBA347" s="444">
        <v>6</v>
      </c>
      <c r="RBB347" s="444" t="s">
        <v>1127</v>
      </c>
      <c r="RBC347" s="444">
        <v>6</v>
      </c>
      <c r="RBD347" s="444" t="s">
        <v>1127</v>
      </c>
      <c r="RBE347" s="444">
        <v>6</v>
      </c>
      <c r="RBF347" s="444" t="s">
        <v>1127</v>
      </c>
      <c r="RBG347" s="444">
        <v>6</v>
      </c>
      <c r="RBH347" s="444" t="s">
        <v>1127</v>
      </c>
      <c r="RBI347" s="444">
        <v>6</v>
      </c>
      <c r="RBJ347" s="444" t="s">
        <v>1127</v>
      </c>
      <c r="RBK347" s="444">
        <v>6</v>
      </c>
      <c r="RBL347" s="444" t="s">
        <v>1127</v>
      </c>
      <c r="RBM347" s="444">
        <v>6</v>
      </c>
      <c r="RBN347" s="444" t="s">
        <v>1127</v>
      </c>
      <c r="RBO347" s="444">
        <v>6</v>
      </c>
      <c r="RBP347" s="444" t="s">
        <v>1127</v>
      </c>
      <c r="RBQ347" s="444">
        <v>6</v>
      </c>
      <c r="RBR347" s="444" t="s">
        <v>1127</v>
      </c>
      <c r="RBS347" s="444">
        <v>6</v>
      </c>
      <c r="RBT347" s="444" t="s">
        <v>1127</v>
      </c>
      <c r="RBU347" s="444">
        <v>6</v>
      </c>
      <c r="RBV347" s="444" t="s">
        <v>1127</v>
      </c>
      <c r="RBW347" s="444">
        <v>6</v>
      </c>
      <c r="RBX347" s="444" t="s">
        <v>1127</v>
      </c>
      <c r="RBY347" s="444">
        <v>6</v>
      </c>
      <c r="RBZ347" s="444" t="s">
        <v>1127</v>
      </c>
      <c r="RCA347" s="444">
        <v>6</v>
      </c>
      <c r="RCB347" s="444" t="s">
        <v>1127</v>
      </c>
      <c r="RCC347" s="444">
        <v>6</v>
      </c>
      <c r="RCD347" s="444" t="s">
        <v>1127</v>
      </c>
      <c r="RCE347" s="444">
        <v>6</v>
      </c>
      <c r="RCF347" s="444" t="s">
        <v>1127</v>
      </c>
      <c r="RCG347" s="444">
        <v>6</v>
      </c>
      <c r="RCH347" s="444" t="s">
        <v>1127</v>
      </c>
      <c r="RCI347" s="444">
        <v>6</v>
      </c>
      <c r="RCJ347" s="444" t="s">
        <v>1127</v>
      </c>
      <c r="RCK347" s="444">
        <v>6</v>
      </c>
      <c r="RCL347" s="444" t="s">
        <v>1127</v>
      </c>
      <c r="RCM347" s="444">
        <v>6</v>
      </c>
      <c r="RCN347" s="444" t="s">
        <v>1127</v>
      </c>
      <c r="RCO347" s="444">
        <v>6</v>
      </c>
      <c r="RCP347" s="444" t="s">
        <v>1127</v>
      </c>
      <c r="RCQ347" s="444">
        <v>6</v>
      </c>
      <c r="RCR347" s="444" t="s">
        <v>1127</v>
      </c>
      <c r="RCS347" s="444">
        <v>6</v>
      </c>
      <c r="RCT347" s="444" t="s">
        <v>1127</v>
      </c>
      <c r="RCU347" s="444">
        <v>6</v>
      </c>
      <c r="RCV347" s="444" t="s">
        <v>1127</v>
      </c>
      <c r="RCW347" s="444">
        <v>6</v>
      </c>
      <c r="RCX347" s="444" t="s">
        <v>1127</v>
      </c>
      <c r="RCY347" s="444">
        <v>6</v>
      </c>
      <c r="RCZ347" s="444" t="s">
        <v>1127</v>
      </c>
      <c r="RDA347" s="444">
        <v>6</v>
      </c>
      <c r="RDB347" s="444" t="s">
        <v>1127</v>
      </c>
      <c r="RDC347" s="444">
        <v>6</v>
      </c>
      <c r="RDD347" s="444" t="s">
        <v>1127</v>
      </c>
      <c r="RDE347" s="444">
        <v>6</v>
      </c>
      <c r="RDF347" s="444" t="s">
        <v>1127</v>
      </c>
      <c r="RDG347" s="444">
        <v>6</v>
      </c>
      <c r="RDH347" s="444" t="s">
        <v>1127</v>
      </c>
      <c r="RDI347" s="444">
        <v>6</v>
      </c>
      <c r="RDJ347" s="444" t="s">
        <v>1127</v>
      </c>
      <c r="RDK347" s="444">
        <v>6</v>
      </c>
      <c r="RDL347" s="444" t="s">
        <v>1127</v>
      </c>
      <c r="RDM347" s="444">
        <v>6</v>
      </c>
      <c r="RDN347" s="444" t="s">
        <v>1127</v>
      </c>
      <c r="RDO347" s="444">
        <v>6</v>
      </c>
      <c r="RDP347" s="444" t="s">
        <v>1127</v>
      </c>
      <c r="RDQ347" s="444">
        <v>6</v>
      </c>
      <c r="RDR347" s="444" t="s">
        <v>1127</v>
      </c>
      <c r="RDS347" s="444">
        <v>6</v>
      </c>
      <c r="RDT347" s="444" t="s">
        <v>1127</v>
      </c>
      <c r="RDU347" s="444">
        <v>6</v>
      </c>
      <c r="RDV347" s="444" t="s">
        <v>1127</v>
      </c>
      <c r="RDW347" s="444">
        <v>6</v>
      </c>
      <c r="RDX347" s="444" t="s">
        <v>1127</v>
      </c>
      <c r="RDY347" s="444">
        <v>6</v>
      </c>
      <c r="RDZ347" s="444" t="s">
        <v>1127</v>
      </c>
      <c r="REA347" s="444">
        <v>6</v>
      </c>
      <c r="REB347" s="444" t="s">
        <v>1127</v>
      </c>
      <c r="REC347" s="444">
        <v>6</v>
      </c>
      <c r="RED347" s="444" t="s">
        <v>1127</v>
      </c>
      <c r="REE347" s="444">
        <v>6</v>
      </c>
      <c r="REF347" s="444" t="s">
        <v>1127</v>
      </c>
      <c r="REG347" s="444">
        <v>6</v>
      </c>
      <c r="REH347" s="444" t="s">
        <v>1127</v>
      </c>
      <c r="REI347" s="444">
        <v>6</v>
      </c>
      <c r="REJ347" s="444" t="s">
        <v>1127</v>
      </c>
      <c r="REK347" s="444">
        <v>6</v>
      </c>
      <c r="REL347" s="444" t="s">
        <v>1127</v>
      </c>
      <c r="REM347" s="444">
        <v>6</v>
      </c>
      <c r="REN347" s="444" t="s">
        <v>1127</v>
      </c>
      <c r="REO347" s="444">
        <v>6</v>
      </c>
      <c r="REP347" s="444" t="s">
        <v>1127</v>
      </c>
      <c r="REQ347" s="444">
        <v>6</v>
      </c>
      <c r="RER347" s="444" t="s">
        <v>1127</v>
      </c>
      <c r="RES347" s="444">
        <v>6</v>
      </c>
      <c r="RET347" s="444" t="s">
        <v>1127</v>
      </c>
      <c r="REU347" s="444">
        <v>6</v>
      </c>
      <c r="REV347" s="444" t="s">
        <v>1127</v>
      </c>
      <c r="REW347" s="444">
        <v>6</v>
      </c>
      <c r="REX347" s="444" t="s">
        <v>1127</v>
      </c>
      <c r="REY347" s="444">
        <v>6</v>
      </c>
      <c r="REZ347" s="444" t="s">
        <v>1127</v>
      </c>
      <c r="RFA347" s="444">
        <v>6</v>
      </c>
      <c r="RFB347" s="444" t="s">
        <v>1127</v>
      </c>
      <c r="RFC347" s="444">
        <v>6</v>
      </c>
      <c r="RFD347" s="444" t="s">
        <v>1127</v>
      </c>
      <c r="RFE347" s="444">
        <v>6</v>
      </c>
      <c r="RFF347" s="444" t="s">
        <v>1127</v>
      </c>
      <c r="RFG347" s="444">
        <v>6</v>
      </c>
      <c r="RFH347" s="444" t="s">
        <v>1127</v>
      </c>
      <c r="RFI347" s="444">
        <v>6</v>
      </c>
      <c r="RFJ347" s="444" t="s">
        <v>1127</v>
      </c>
      <c r="RFK347" s="444">
        <v>6</v>
      </c>
      <c r="RFL347" s="444" t="s">
        <v>1127</v>
      </c>
      <c r="RFM347" s="444">
        <v>6</v>
      </c>
      <c r="RFN347" s="444" t="s">
        <v>1127</v>
      </c>
      <c r="RFO347" s="444">
        <v>6</v>
      </c>
      <c r="RFP347" s="444" t="s">
        <v>1127</v>
      </c>
      <c r="RFQ347" s="444">
        <v>6</v>
      </c>
      <c r="RFR347" s="444" t="s">
        <v>1127</v>
      </c>
      <c r="RFS347" s="444">
        <v>6</v>
      </c>
      <c r="RFT347" s="444" t="s">
        <v>1127</v>
      </c>
      <c r="RFU347" s="444">
        <v>6</v>
      </c>
      <c r="RFV347" s="444" t="s">
        <v>1127</v>
      </c>
      <c r="RFW347" s="444">
        <v>6</v>
      </c>
      <c r="RFX347" s="444" t="s">
        <v>1127</v>
      </c>
      <c r="RFY347" s="444">
        <v>6</v>
      </c>
      <c r="RFZ347" s="444" t="s">
        <v>1127</v>
      </c>
      <c r="RGA347" s="444">
        <v>6</v>
      </c>
      <c r="RGB347" s="444" t="s">
        <v>1127</v>
      </c>
      <c r="RGC347" s="444">
        <v>6</v>
      </c>
      <c r="RGD347" s="444" t="s">
        <v>1127</v>
      </c>
      <c r="RGE347" s="444">
        <v>6</v>
      </c>
      <c r="RGF347" s="444" t="s">
        <v>1127</v>
      </c>
      <c r="RGG347" s="444">
        <v>6</v>
      </c>
      <c r="RGH347" s="444" t="s">
        <v>1127</v>
      </c>
      <c r="RGI347" s="444">
        <v>6</v>
      </c>
      <c r="RGJ347" s="444" t="s">
        <v>1127</v>
      </c>
      <c r="RGK347" s="444">
        <v>6</v>
      </c>
      <c r="RGL347" s="444" t="s">
        <v>1127</v>
      </c>
      <c r="RGM347" s="444">
        <v>6</v>
      </c>
      <c r="RGN347" s="444" t="s">
        <v>1127</v>
      </c>
      <c r="RGO347" s="444">
        <v>6</v>
      </c>
      <c r="RGP347" s="444" t="s">
        <v>1127</v>
      </c>
      <c r="RGQ347" s="444">
        <v>6</v>
      </c>
      <c r="RGR347" s="444" t="s">
        <v>1127</v>
      </c>
      <c r="RGS347" s="444">
        <v>6</v>
      </c>
      <c r="RGT347" s="444" t="s">
        <v>1127</v>
      </c>
      <c r="RGU347" s="444">
        <v>6</v>
      </c>
      <c r="RGV347" s="444" t="s">
        <v>1127</v>
      </c>
      <c r="RGW347" s="444">
        <v>6</v>
      </c>
      <c r="RGX347" s="444" t="s">
        <v>1127</v>
      </c>
      <c r="RGY347" s="444">
        <v>6</v>
      </c>
      <c r="RGZ347" s="444" t="s">
        <v>1127</v>
      </c>
      <c r="RHA347" s="444">
        <v>6</v>
      </c>
      <c r="RHB347" s="444" t="s">
        <v>1127</v>
      </c>
      <c r="RHC347" s="444">
        <v>6</v>
      </c>
      <c r="RHD347" s="444" t="s">
        <v>1127</v>
      </c>
      <c r="RHE347" s="444">
        <v>6</v>
      </c>
      <c r="RHF347" s="444" t="s">
        <v>1127</v>
      </c>
      <c r="RHG347" s="444">
        <v>6</v>
      </c>
      <c r="RHH347" s="444" t="s">
        <v>1127</v>
      </c>
      <c r="RHI347" s="444">
        <v>6</v>
      </c>
      <c r="RHJ347" s="444" t="s">
        <v>1127</v>
      </c>
      <c r="RHK347" s="444">
        <v>6</v>
      </c>
      <c r="RHL347" s="444" t="s">
        <v>1127</v>
      </c>
      <c r="RHM347" s="444">
        <v>6</v>
      </c>
      <c r="RHN347" s="444" t="s">
        <v>1127</v>
      </c>
      <c r="RHO347" s="444">
        <v>6</v>
      </c>
      <c r="RHP347" s="444" t="s">
        <v>1127</v>
      </c>
      <c r="RHQ347" s="444">
        <v>6</v>
      </c>
      <c r="RHR347" s="444" t="s">
        <v>1127</v>
      </c>
      <c r="RHS347" s="444">
        <v>6</v>
      </c>
      <c r="RHT347" s="444" t="s">
        <v>1127</v>
      </c>
      <c r="RHU347" s="444">
        <v>6</v>
      </c>
      <c r="RHV347" s="444" t="s">
        <v>1127</v>
      </c>
      <c r="RHW347" s="444">
        <v>6</v>
      </c>
      <c r="RHX347" s="444" t="s">
        <v>1127</v>
      </c>
      <c r="RHY347" s="444">
        <v>6</v>
      </c>
      <c r="RHZ347" s="444" t="s">
        <v>1127</v>
      </c>
      <c r="RIA347" s="444">
        <v>6</v>
      </c>
      <c r="RIB347" s="444" t="s">
        <v>1127</v>
      </c>
      <c r="RIC347" s="444">
        <v>6</v>
      </c>
      <c r="RID347" s="444" t="s">
        <v>1127</v>
      </c>
      <c r="RIE347" s="444">
        <v>6</v>
      </c>
      <c r="RIF347" s="444" t="s">
        <v>1127</v>
      </c>
      <c r="RIG347" s="444">
        <v>6</v>
      </c>
      <c r="RIH347" s="444" t="s">
        <v>1127</v>
      </c>
      <c r="RII347" s="444">
        <v>6</v>
      </c>
      <c r="RIJ347" s="444" t="s">
        <v>1127</v>
      </c>
      <c r="RIK347" s="444">
        <v>6</v>
      </c>
      <c r="RIL347" s="444" t="s">
        <v>1127</v>
      </c>
      <c r="RIM347" s="444">
        <v>6</v>
      </c>
      <c r="RIN347" s="444" t="s">
        <v>1127</v>
      </c>
      <c r="RIO347" s="444">
        <v>6</v>
      </c>
      <c r="RIP347" s="444" t="s">
        <v>1127</v>
      </c>
      <c r="RIQ347" s="444">
        <v>6</v>
      </c>
      <c r="RIR347" s="444" t="s">
        <v>1127</v>
      </c>
      <c r="RIS347" s="444">
        <v>6</v>
      </c>
      <c r="RIT347" s="444" t="s">
        <v>1127</v>
      </c>
      <c r="RIU347" s="444">
        <v>6</v>
      </c>
      <c r="RIV347" s="444" t="s">
        <v>1127</v>
      </c>
      <c r="RIW347" s="444">
        <v>6</v>
      </c>
      <c r="RIX347" s="444" t="s">
        <v>1127</v>
      </c>
      <c r="RIY347" s="444">
        <v>6</v>
      </c>
      <c r="RIZ347" s="444" t="s">
        <v>1127</v>
      </c>
      <c r="RJA347" s="444">
        <v>6</v>
      </c>
      <c r="RJB347" s="444" t="s">
        <v>1127</v>
      </c>
      <c r="RJC347" s="444">
        <v>6</v>
      </c>
      <c r="RJD347" s="444" t="s">
        <v>1127</v>
      </c>
      <c r="RJE347" s="444">
        <v>6</v>
      </c>
      <c r="RJF347" s="444" t="s">
        <v>1127</v>
      </c>
      <c r="RJG347" s="444">
        <v>6</v>
      </c>
      <c r="RJH347" s="444" t="s">
        <v>1127</v>
      </c>
      <c r="RJI347" s="444">
        <v>6</v>
      </c>
      <c r="RJJ347" s="444" t="s">
        <v>1127</v>
      </c>
      <c r="RJK347" s="444">
        <v>6</v>
      </c>
      <c r="RJL347" s="444" t="s">
        <v>1127</v>
      </c>
      <c r="RJM347" s="444">
        <v>6</v>
      </c>
      <c r="RJN347" s="444" t="s">
        <v>1127</v>
      </c>
      <c r="RJO347" s="444">
        <v>6</v>
      </c>
      <c r="RJP347" s="444" t="s">
        <v>1127</v>
      </c>
      <c r="RJQ347" s="444">
        <v>6</v>
      </c>
      <c r="RJR347" s="444" t="s">
        <v>1127</v>
      </c>
      <c r="RJS347" s="444">
        <v>6</v>
      </c>
      <c r="RJT347" s="444" t="s">
        <v>1127</v>
      </c>
      <c r="RJU347" s="444">
        <v>6</v>
      </c>
      <c r="RJV347" s="444" t="s">
        <v>1127</v>
      </c>
      <c r="RJW347" s="444">
        <v>6</v>
      </c>
      <c r="RJX347" s="444" t="s">
        <v>1127</v>
      </c>
      <c r="RJY347" s="444">
        <v>6</v>
      </c>
      <c r="RJZ347" s="444" t="s">
        <v>1127</v>
      </c>
      <c r="RKA347" s="444">
        <v>6</v>
      </c>
      <c r="RKB347" s="444" t="s">
        <v>1127</v>
      </c>
      <c r="RKC347" s="444">
        <v>6</v>
      </c>
      <c r="RKD347" s="444" t="s">
        <v>1127</v>
      </c>
      <c r="RKE347" s="444">
        <v>6</v>
      </c>
      <c r="RKF347" s="444" t="s">
        <v>1127</v>
      </c>
      <c r="RKG347" s="444">
        <v>6</v>
      </c>
      <c r="RKH347" s="444" t="s">
        <v>1127</v>
      </c>
      <c r="RKI347" s="444">
        <v>6</v>
      </c>
      <c r="RKJ347" s="444" t="s">
        <v>1127</v>
      </c>
      <c r="RKK347" s="444">
        <v>6</v>
      </c>
      <c r="RKL347" s="444" t="s">
        <v>1127</v>
      </c>
      <c r="RKM347" s="444">
        <v>6</v>
      </c>
      <c r="RKN347" s="444" t="s">
        <v>1127</v>
      </c>
      <c r="RKO347" s="444">
        <v>6</v>
      </c>
      <c r="RKP347" s="444" t="s">
        <v>1127</v>
      </c>
      <c r="RKQ347" s="444">
        <v>6</v>
      </c>
      <c r="RKR347" s="444" t="s">
        <v>1127</v>
      </c>
      <c r="RKS347" s="444">
        <v>6</v>
      </c>
      <c r="RKT347" s="444" t="s">
        <v>1127</v>
      </c>
      <c r="RKU347" s="444">
        <v>6</v>
      </c>
      <c r="RKV347" s="444" t="s">
        <v>1127</v>
      </c>
      <c r="RKW347" s="444">
        <v>6</v>
      </c>
      <c r="RKX347" s="444" t="s">
        <v>1127</v>
      </c>
      <c r="RKY347" s="444">
        <v>6</v>
      </c>
      <c r="RKZ347" s="444" t="s">
        <v>1127</v>
      </c>
      <c r="RLA347" s="444">
        <v>6</v>
      </c>
      <c r="RLB347" s="444" t="s">
        <v>1127</v>
      </c>
      <c r="RLC347" s="444">
        <v>6</v>
      </c>
      <c r="RLD347" s="444" t="s">
        <v>1127</v>
      </c>
      <c r="RLE347" s="444">
        <v>6</v>
      </c>
      <c r="RLF347" s="444" t="s">
        <v>1127</v>
      </c>
      <c r="RLG347" s="444">
        <v>6</v>
      </c>
      <c r="RLH347" s="444" t="s">
        <v>1127</v>
      </c>
      <c r="RLI347" s="444">
        <v>6</v>
      </c>
      <c r="RLJ347" s="444" t="s">
        <v>1127</v>
      </c>
      <c r="RLK347" s="444">
        <v>6</v>
      </c>
      <c r="RLL347" s="444" t="s">
        <v>1127</v>
      </c>
      <c r="RLM347" s="444">
        <v>6</v>
      </c>
      <c r="RLN347" s="444" t="s">
        <v>1127</v>
      </c>
      <c r="RLO347" s="444">
        <v>6</v>
      </c>
      <c r="RLP347" s="444" t="s">
        <v>1127</v>
      </c>
      <c r="RLQ347" s="444">
        <v>6</v>
      </c>
      <c r="RLR347" s="444" t="s">
        <v>1127</v>
      </c>
      <c r="RLS347" s="444">
        <v>6</v>
      </c>
      <c r="RLT347" s="444" t="s">
        <v>1127</v>
      </c>
      <c r="RLU347" s="444">
        <v>6</v>
      </c>
      <c r="RLV347" s="444" t="s">
        <v>1127</v>
      </c>
      <c r="RLW347" s="444">
        <v>6</v>
      </c>
      <c r="RLX347" s="444" t="s">
        <v>1127</v>
      </c>
      <c r="RLY347" s="444">
        <v>6</v>
      </c>
      <c r="RLZ347" s="444" t="s">
        <v>1127</v>
      </c>
      <c r="RMA347" s="444">
        <v>6</v>
      </c>
      <c r="RMB347" s="444" t="s">
        <v>1127</v>
      </c>
      <c r="RMC347" s="444">
        <v>6</v>
      </c>
      <c r="RMD347" s="444" t="s">
        <v>1127</v>
      </c>
      <c r="RME347" s="444">
        <v>6</v>
      </c>
      <c r="RMF347" s="444" t="s">
        <v>1127</v>
      </c>
      <c r="RMG347" s="444">
        <v>6</v>
      </c>
      <c r="RMH347" s="444" t="s">
        <v>1127</v>
      </c>
      <c r="RMI347" s="444">
        <v>6</v>
      </c>
      <c r="RMJ347" s="444" t="s">
        <v>1127</v>
      </c>
      <c r="RMK347" s="444">
        <v>6</v>
      </c>
      <c r="RML347" s="444" t="s">
        <v>1127</v>
      </c>
      <c r="RMM347" s="444">
        <v>6</v>
      </c>
      <c r="RMN347" s="444" t="s">
        <v>1127</v>
      </c>
      <c r="RMO347" s="444">
        <v>6</v>
      </c>
      <c r="RMP347" s="444" t="s">
        <v>1127</v>
      </c>
      <c r="RMQ347" s="444">
        <v>6</v>
      </c>
      <c r="RMR347" s="444" t="s">
        <v>1127</v>
      </c>
      <c r="RMS347" s="444">
        <v>6</v>
      </c>
      <c r="RMT347" s="444" t="s">
        <v>1127</v>
      </c>
      <c r="RMU347" s="444">
        <v>6</v>
      </c>
      <c r="RMV347" s="444" t="s">
        <v>1127</v>
      </c>
      <c r="RMW347" s="444">
        <v>6</v>
      </c>
      <c r="RMX347" s="444" t="s">
        <v>1127</v>
      </c>
      <c r="RMY347" s="444">
        <v>6</v>
      </c>
      <c r="RMZ347" s="444" t="s">
        <v>1127</v>
      </c>
      <c r="RNA347" s="444">
        <v>6</v>
      </c>
      <c r="RNB347" s="444" t="s">
        <v>1127</v>
      </c>
      <c r="RNC347" s="444">
        <v>6</v>
      </c>
      <c r="RND347" s="444" t="s">
        <v>1127</v>
      </c>
      <c r="RNE347" s="444">
        <v>6</v>
      </c>
      <c r="RNF347" s="444" t="s">
        <v>1127</v>
      </c>
      <c r="RNG347" s="444">
        <v>6</v>
      </c>
      <c r="RNH347" s="444" t="s">
        <v>1127</v>
      </c>
      <c r="RNI347" s="444">
        <v>6</v>
      </c>
      <c r="RNJ347" s="444" t="s">
        <v>1127</v>
      </c>
      <c r="RNK347" s="444">
        <v>6</v>
      </c>
      <c r="RNL347" s="444" t="s">
        <v>1127</v>
      </c>
      <c r="RNM347" s="444">
        <v>6</v>
      </c>
      <c r="RNN347" s="444" t="s">
        <v>1127</v>
      </c>
      <c r="RNO347" s="444">
        <v>6</v>
      </c>
      <c r="RNP347" s="444" t="s">
        <v>1127</v>
      </c>
      <c r="RNQ347" s="444">
        <v>6</v>
      </c>
      <c r="RNR347" s="444" t="s">
        <v>1127</v>
      </c>
      <c r="RNS347" s="444">
        <v>6</v>
      </c>
      <c r="RNT347" s="444" t="s">
        <v>1127</v>
      </c>
      <c r="RNU347" s="444">
        <v>6</v>
      </c>
      <c r="RNV347" s="444" t="s">
        <v>1127</v>
      </c>
      <c r="RNW347" s="444">
        <v>6</v>
      </c>
      <c r="RNX347" s="444" t="s">
        <v>1127</v>
      </c>
      <c r="RNY347" s="444">
        <v>6</v>
      </c>
      <c r="RNZ347" s="444" t="s">
        <v>1127</v>
      </c>
      <c r="ROA347" s="444">
        <v>6</v>
      </c>
      <c r="ROB347" s="444" t="s">
        <v>1127</v>
      </c>
      <c r="ROC347" s="444">
        <v>6</v>
      </c>
      <c r="ROD347" s="444" t="s">
        <v>1127</v>
      </c>
      <c r="ROE347" s="444">
        <v>6</v>
      </c>
      <c r="ROF347" s="444" t="s">
        <v>1127</v>
      </c>
      <c r="ROG347" s="444">
        <v>6</v>
      </c>
      <c r="ROH347" s="444" t="s">
        <v>1127</v>
      </c>
      <c r="ROI347" s="444">
        <v>6</v>
      </c>
      <c r="ROJ347" s="444" t="s">
        <v>1127</v>
      </c>
      <c r="ROK347" s="444">
        <v>6</v>
      </c>
      <c r="ROL347" s="444" t="s">
        <v>1127</v>
      </c>
      <c r="ROM347" s="444">
        <v>6</v>
      </c>
      <c r="RON347" s="444" t="s">
        <v>1127</v>
      </c>
      <c r="ROO347" s="444">
        <v>6</v>
      </c>
      <c r="ROP347" s="444" t="s">
        <v>1127</v>
      </c>
      <c r="ROQ347" s="444">
        <v>6</v>
      </c>
      <c r="ROR347" s="444" t="s">
        <v>1127</v>
      </c>
      <c r="ROS347" s="444">
        <v>6</v>
      </c>
      <c r="ROT347" s="444" t="s">
        <v>1127</v>
      </c>
      <c r="ROU347" s="444">
        <v>6</v>
      </c>
      <c r="ROV347" s="444" t="s">
        <v>1127</v>
      </c>
      <c r="ROW347" s="444">
        <v>6</v>
      </c>
      <c r="ROX347" s="444" t="s">
        <v>1127</v>
      </c>
      <c r="ROY347" s="444">
        <v>6</v>
      </c>
      <c r="ROZ347" s="444" t="s">
        <v>1127</v>
      </c>
      <c r="RPA347" s="444">
        <v>6</v>
      </c>
      <c r="RPB347" s="444" t="s">
        <v>1127</v>
      </c>
      <c r="RPC347" s="444">
        <v>6</v>
      </c>
      <c r="RPD347" s="444" t="s">
        <v>1127</v>
      </c>
      <c r="RPE347" s="444">
        <v>6</v>
      </c>
      <c r="RPF347" s="444" t="s">
        <v>1127</v>
      </c>
      <c r="RPG347" s="444">
        <v>6</v>
      </c>
      <c r="RPH347" s="444" t="s">
        <v>1127</v>
      </c>
      <c r="RPI347" s="444">
        <v>6</v>
      </c>
      <c r="RPJ347" s="444" t="s">
        <v>1127</v>
      </c>
      <c r="RPK347" s="444">
        <v>6</v>
      </c>
      <c r="RPL347" s="444" t="s">
        <v>1127</v>
      </c>
      <c r="RPM347" s="444">
        <v>6</v>
      </c>
      <c r="RPN347" s="444" t="s">
        <v>1127</v>
      </c>
      <c r="RPO347" s="444">
        <v>6</v>
      </c>
      <c r="RPP347" s="444" t="s">
        <v>1127</v>
      </c>
      <c r="RPQ347" s="444">
        <v>6</v>
      </c>
      <c r="RPR347" s="444" t="s">
        <v>1127</v>
      </c>
      <c r="RPS347" s="444">
        <v>6</v>
      </c>
      <c r="RPT347" s="444" t="s">
        <v>1127</v>
      </c>
      <c r="RPU347" s="444">
        <v>6</v>
      </c>
      <c r="RPV347" s="444" t="s">
        <v>1127</v>
      </c>
      <c r="RPW347" s="444">
        <v>6</v>
      </c>
      <c r="RPX347" s="444" t="s">
        <v>1127</v>
      </c>
      <c r="RPY347" s="444">
        <v>6</v>
      </c>
      <c r="RPZ347" s="444" t="s">
        <v>1127</v>
      </c>
      <c r="RQA347" s="444">
        <v>6</v>
      </c>
      <c r="RQB347" s="444" t="s">
        <v>1127</v>
      </c>
      <c r="RQC347" s="444">
        <v>6</v>
      </c>
      <c r="RQD347" s="444" t="s">
        <v>1127</v>
      </c>
      <c r="RQE347" s="444">
        <v>6</v>
      </c>
      <c r="RQF347" s="444" t="s">
        <v>1127</v>
      </c>
      <c r="RQG347" s="444">
        <v>6</v>
      </c>
      <c r="RQH347" s="444" t="s">
        <v>1127</v>
      </c>
      <c r="RQI347" s="444">
        <v>6</v>
      </c>
      <c r="RQJ347" s="444" t="s">
        <v>1127</v>
      </c>
      <c r="RQK347" s="444">
        <v>6</v>
      </c>
      <c r="RQL347" s="444" t="s">
        <v>1127</v>
      </c>
      <c r="RQM347" s="444">
        <v>6</v>
      </c>
      <c r="RQN347" s="444" t="s">
        <v>1127</v>
      </c>
      <c r="RQO347" s="444">
        <v>6</v>
      </c>
      <c r="RQP347" s="444" t="s">
        <v>1127</v>
      </c>
      <c r="RQQ347" s="444">
        <v>6</v>
      </c>
      <c r="RQR347" s="444" t="s">
        <v>1127</v>
      </c>
      <c r="RQS347" s="444">
        <v>6</v>
      </c>
      <c r="RQT347" s="444" t="s">
        <v>1127</v>
      </c>
      <c r="RQU347" s="444">
        <v>6</v>
      </c>
      <c r="RQV347" s="444" t="s">
        <v>1127</v>
      </c>
      <c r="RQW347" s="444">
        <v>6</v>
      </c>
      <c r="RQX347" s="444" t="s">
        <v>1127</v>
      </c>
      <c r="RQY347" s="444">
        <v>6</v>
      </c>
      <c r="RQZ347" s="444" t="s">
        <v>1127</v>
      </c>
      <c r="RRA347" s="444">
        <v>6</v>
      </c>
      <c r="RRB347" s="444" t="s">
        <v>1127</v>
      </c>
      <c r="RRC347" s="444">
        <v>6</v>
      </c>
      <c r="RRD347" s="444" t="s">
        <v>1127</v>
      </c>
      <c r="RRE347" s="444">
        <v>6</v>
      </c>
      <c r="RRF347" s="444" t="s">
        <v>1127</v>
      </c>
      <c r="RRG347" s="444">
        <v>6</v>
      </c>
      <c r="RRH347" s="444" t="s">
        <v>1127</v>
      </c>
      <c r="RRI347" s="444">
        <v>6</v>
      </c>
      <c r="RRJ347" s="444" t="s">
        <v>1127</v>
      </c>
      <c r="RRK347" s="444">
        <v>6</v>
      </c>
      <c r="RRL347" s="444" t="s">
        <v>1127</v>
      </c>
      <c r="RRM347" s="444">
        <v>6</v>
      </c>
      <c r="RRN347" s="444" t="s">
        <v>1127</v>
      </c>
      <c r="RRO347" s="444">
        <v>6</v>
      </c>
      <c r="RRP347" s="444" t="s">
        <v>1127</v>
      </c>
      <c r="RRQ347" s="444">
        <v>6</v>
      </c>
      <c r="RRR347" s="444" t="s">
        <v>1127</v>
      </c>
      <c r="RRS347" s="444">
        <v>6</v>
      </c>
      <c r="RRT347" s="444" t="s">
        <v>1127</v>
      </c>
      <c r="RRU347" s="444">
        <v>6</v>
      </c>
      <c r="RRV347" s="444" t="s">
        <v>1127</v>
      </c>
      <c r="RRW347" s="444">
        <v>6</v>
      </c>
      <c r="RRX347" s="444" t="s">
        <v>1127</v>
      </c>
      <c r="RRY347" s="444">
        <v>6</v>
      </c>
      <c r="RRZ347" s="444" t="s">
        <v>1127</v>
      </c>
      <c r="RSA347" s="444">
        <v>6</v>
      </c>
      <c r="RSB347" s="444" t="s">
        <v>1127</v>
      </c>
      <c r="RSC347" s="444">
        <v>6</v>
      </c>
      <c r="RSD347" s="444" t="s">
        <v>1127</v>
      </c>
      <c r="RSE347" s="444">
        <v>6</v>
      </c>
      <c r="RSF347" s="444" t="s">
        <v>1127</v>
      </c>
      <c r="RSG347" s="444">
        <v>6</v>
      </c>
      <c r="RSH347" s="444" t="s">
        <v>1127</v>
      </c>
      <c r="RSI347" s="444">
        <v>6</v>
      </c>
      <c r="RSJ347" s="444" t="s">
        <v>1127</v>
      </c>
      <c r="RSK347" s="444">
        <v>6</v>
      </c>
      <c r="RSL347" s="444" t="s">
        <v>1127</v>
      </c>
      <c r="RSM347" s="444">
        <v>6</v>
      </c>
      <c r="RSN347" s="444" t="s">
        <v>1127</v>
      </c>
      <c r="RSO347" s="444">
        <v>6</v>
      </c>
      <c r="RSP347" s="444" t="s">
        <v>1127</v>
      </c>
      <c r="RSQ347" s="444">
        <v>6</v>
      </c>
      <c r="RSR347" s="444" t="s">
        <v>1127</v>
      </c>
      <c r="RSS347" s="444">
        <v>6</v>
      </c>
      <c r="RST347" s="444" t="s">
        <v>1127</v>
      </c>
      <c r="RSU347" s="444">
        <v>6</v>
      </c>
      <c r="RSV347" s="444" t="s">
        <v>1127</v>
      </c>
      <c r="RSW347" s="444">
        <v>6</v>
      </c>
      <c r="RSX347" s="444" t="s">
        <v>1127</v>
      </c>
      <c r="RSY347" s="444">
        <v>6</v>
      </c>
      <c r="RSZ347" s="444" t="s">
        <v>1127</v>
      </c>
      <c r="RTA347" s="444">
        <v>6</v>
      </c>
      <c r="RTB347" s="444" t="s">
        <v>1127</v>
      </c>
      <c r="RTC347" s="444">
        <v>6</v>
      </c>
      <c r="RTD347" s="444" t="s">
        <v>1127</v>
      </c>
      <c r="RTE347" s="444">
        <v>6</v>
      </c>
      <c r="RTF347" s="444" t="s">
        <v>1127</v>
      </c>
      <c r="RTG347" s="444">
        <v>6</v>
      </c>
      <c r="RTH347" s="444" t="s">
        <v>1127</v>
      </c>
      <c r="RTI347" s="444">
        <v>6</v>
      </c>
      <c r="RTJ347" s="444" t="s">
        <v>1127</v>
      </c>
      <c r="RTK347" s="444">
        <v>6</v>
      </c>
      <c r="RTL347" s="444" t="s">
        <v>1127</v>
      </c>
      <c r="RTM347" s="444">
        <v>6</v>
      </c>
      <c r="RTN347" s="444" t="s">
        <v>1127</v>
      </c>
      <c r="RTO347" s="444">
        <v>6</v>
      </c>
      <c r="RTP347" s="444" t="s">
        <v>1127</v>
      </c>
      <c r="RTQ347" s="444">
        <v>6</v>
      </c>
      <c r="RTR347" s="444" t="s">
        <v>1127</v>
      </c>
      <c r="RTS347" s="444">
        <v>6</v>
      </c>
      <c r="RTT347" s="444" t="s">
        <v>1127</v>
      </c>
      <c r="RTU347" s="444">
        <v>6</v>
      </c>
      <c r="RTV347" s="444" t="s">
        <v>1127</v>
      </c>
      <c r="RTW347" s="444">
        <v>6</v>
      </c>
      <c r="RTX347" s="444" t="s">
        <v>1127</v>
      </c>
      <c r="RTY347" s="444">
        <v>6</v>
      </c>
      <c r="RTZ347" s="444" t="s">
        <v>1127</v>
      </c>
      <c r="RUA347" s="444">
        <v>6</v>
      </c>
      <c r="RUB347" s="444" t="s">
        <v>1127</v>
      </c>
      <c r="RUC347" s="444">
        <v>6</v>
      </c>
      <c r="RUD347" s="444" t="s">
        <v>1127</v>
      </c>
      <c r="RUE347" s="444">
        <v>6</v>
      </c>
      <c r="RUF347" s="444" t="s">
        <v>1127</v>
      </c>
      <c r="RUG347" s="444">
        <v>6</v>
      </c>
      <c r="RUH347" s="444" t="s">
        <v>1127</v>
      </c>
      <c r="RUI347" s="444">
        <v>6</v>
      </c>
      <c r="RUJ347" s="444" t="s">
        <v>1127</v>
      </c>
      <c r="RUK347" s="444">
        <v>6</v>
      </c>
      <c r="RUL347" s="444" t="s">
        <v>1127</v>
      </c>
      <c r="RUM347" s="444">
        <v>6</v>
      </c>
      <c r="RUN347" s="444" t="s">
        <v>1127</v>
      </c>
      <c r="RUO347" s="444">
        <v>6</v>
      </c>
      <c r="RUP347" s="444" t="s">
        <v>1127</v>
      </c>
      <c r="RUQ347" s="444">
        <v>6</v>
      </c>
      <c r="RUR347" s="444" t="s">
        <v>1127</v>
      </c>
      <c r="RUS347" s="444">
        <v>6</v>
      </c>
      <c r="RUT347" s="444" t="s">
        <v>1127</v>
      </c>
      <c r="RUU347" s="444">
        <v>6</v>
      </c>
      <c r="RUV347" s="444" t="s">
        <v>1127</v>
      </c>
      <c r="RUW347" s="444">
        <v>6</v>
      </c>
      <c r="RUX347" s="444" t="s">
        <v>1127</v>
      </c>
      <c r="RUY347" s="444">
        <v>6</v>
      </c>
      <c r="RUZ347" s="444" t="s">
        <v>1127</v>
      </c>
      <c r="RVA347" s="444">
        <v>6</v>
      </c>
      <c r="RVB347" s="444" t="s">
        <v>1127</v>
      </c>
      <c r="RVC347" s="444">
        <v>6</v>
      </c>
      <c r="RVD347" s="444" t="s">
        <v>1127</v>
      </c>
      <c r="RVE347" s="444">
        <v>6</v>
      </c>
      <c r="RVF347" s="444" t="s">
        <v>1127</v>
      </c>
      <c r="RVG347" s="444">
        <v>6</v>
      </c>
      <c r="RVH347" s="444" t="s">
        <v>1127</v>
      </c>
      <c r="RVI347" s="444">
        <v>6</v>
      </c>
      <c r="RVJ347" s="444" t="s">
        <v>1127</v>
      </c>
      <c r="RVK347" s="444">
        <v>6</v>
      </c>
      <c r="RVL347" s="444" t="s">
        <v>1127</v>
      </c>
      <c r="RVM347" s="444">
        <v>6</v>
      </c>
      <c r="RVN347" s="444" t="s">
        <v>1127</v>
      </c>
      <c r="RVO347" s="444">
        <v>6</v>
      </c>
      <c r="RVP347" s="444" t="s">
        <v>1127</v>
      </c>
      <c r="RVQ347" s="444">
        <v>6</v>
      </c>
      <c r="RVR347" s="444" t="s">
        <v>1127</v>
      </c>
      <c r="RVS347" s="444">
        <v>6</v>
      </c>
      <c r="RVT347" s="444" t="s">
        <v>1127</v>
      </c>
      <c r="RVU347" s="444">
        <v>6</v>
      </c>
      <c r="RVV347" s="444" t="s">
        <v>1127</v>
      </c>
      <c r="RVW347" s="444">
        <v>6</v>
      </c>
      <c r="RVX347" s="444" t="s">
        <v>1127</v>
      </c>
      <c r="RVY347" s="444">
        <v>6</v>
      </c>
      <c r="RVZ347" s="444" t="s">
        <v>1127</v>
      </c>
      <c r="RWA347" s="444">
        <v>6</v>
      </c>
      <c r="RWB347" s="444" t="s">
        <v>1127</v>
      </c>
      <c r="RWC347" s="444">
        <v>6</v>
      </c>
      <c r="RWD347" s="444" t="s">
        <v>1127</v>
      </c>
      <c r="RWE347" s="444">
        <v>6</v>
      </c>
      <c r="RWF347" s="444" t="s">
        <v>1127</v>
      </c>
      <c r="RWG347" s="444">
        <v>6</v>
      </c>
      <c r="RWH347" s="444" t="s">
        <v>1127</v>
      </c>
      <c r="RWI347" s="444">
        <v>6</v>
      </c>
      <c r="RWJ347" s="444" t="s">
        <v>1127</v>
      </c>
      <c r="RWK347" s="444">
        <v>6</v>
      </c>
      <c r="RWL347" s="444" t="s">
        <v>1127</v>
      </c>
      <c r="RWM347" s="444">
        <v>6</v>
      </c>
      <c r="RWN347" s="444" t="s">
        <v>1127</v>
      </c>
      <c r="RWO347" s="444">
        <v>6</v>
      </c>
      <c r="RWP347" s="444" t="s">
        <v>1127</v>
      </c>
      <c r="RWQ347" s="444">
        <v>6</v>
      </c>
      <c r="RWR347" s="444" t="s">
        <v>1127</v>
      </c>
      <c r="RWS347" s="444">
        <v>6</v>
      </c>
      <c r="RWT347" s="444" t="s">
        <v>1127</v>
      </c>
      <c r="RWU347" s="444">
        <v>6</v>
      </c>
      <c r="RWV347" s="444" t="s">
        <v>1127</v>
      </c>
      <c r="RWW347" s="444">
        <v>6</v>
      </c>
      <c r="RWX347" s="444" t="s">
        <v>1127</v>
      </c>
      <c r="RWY347" s="444">
        <v>6</v>
      </c>
      <c r="RWZ347" s="444" t="s">
        <v>1127</v>
      </c>
      <c r="RXA347" s="444">
        <v>6</v>
      </c>
      <c r="RXB347" s="444" t="s">
        <v>1127</v>
      </c>
      <c r="RXC347" s="444">
        <v>6</v>
      </c>
      <c r="RXD347" s="444" t="s">
        <v>1127</v>
      </c>
      <c r="RXE347" s="444">
        <v>6</v>
      </c>
      <c r="RXF347" s="444" t="s">
        <v>1127</v>
      </c>
      <c r="RXG347" s="444">
        <v>6</v>
      </c>
      <c r="RXH347" s="444" t="s">
        <v>1127</v>
      </c>
      <c r="RXI347" s="444">
        <v>6</v>
      </c>
      <c r="RXJ347" s="444" t="s">
        <v>1127</v>
      </c>
      <c r="RXK347" s="444">
        <v>6</v>
      </c>
      <c r="RXL347" s="444" t="s">
        <v>1127</v>
      </c>
      <c r="RXM347" s="444">
        <v>6</v>
      </c>
      <c r="RXN347" s="444" t="s">
        <v>1127</v>
      </c>
      <c r="RXO347" s="444">
        <v>6</v>
      </c>
      <c r="RXP347" s="444" t="s">
        <v>1127</v>
      </c>
      <c r="RXQ347" s="444">
        <v>6</v>
      </c>
      <c r="RXR347" s="444" t="s">
        <v>1127</v>
      </c>
      <c r="RXS347" s="444">
        <v>6</v>
      </c>
      <c r="RXT347" s="444" t="s">
        <v>1127</v>
      </c>
      <c r="RXU347" s="444">
        <v>6</v>
      </c>
      <c r="RXV347" s="444" t="s">
        <v>1127</v>
      </c>
      <c r="RXW347" s="444">
        <v>6</v>
      </c>
      <c r="RXX347" s="444" t="s">
        <v>1127</v>
      </c>
      <c r="RXY347" s="444">
        <v>6</v>
      </c>
      <c r="RXZ347" s="444" t="s">
        <v>1127</v>
      </c>
      <c r="RYA347" s="444">
        <v>6</v>
      </c>
      <c r="RYB347" s="444" t="s">
        <v>1127</v>
      </c>
      <c r="RYC347" s="444">
        <v>6</v>
      </c>
      <c r="RYD347" s="444" t="s">
        <v>1127</v>
      </c>
      <c r="RYE347" s="444">
        <v>6</v>
      </c>
      <c r="RYF347" s="444" t="s">
        <v>1127</v>
      </c>
      <c r="RYG347" s="444">
        <v>6</v>
      </c>
      <c r="RYH347" s="444" t="s">
        <v>1127</v>
      </c>
      <c r="RYI347" s="444">
        <v>6</v>
      </c>
      <c r="RYJ347" s="444" t="s">
        <v>1127</v>
      </c>
      <c r="RYK347" s="444">
        <v>6</v>
      </c>
      <c r="RYL347" s="444" t="s">
        <v>1127</v>
      </c>
      <c r="RYM347" s="444">
        <v>6</v>
      </c>
      <c r="RYN347" s="444" t="s">
        <v>1127</v>
      </c>
      <c r="RYO347" s="444">
        <v>6</v>
      </c>
      <c r="RYP347" s="444" t="s">
        <v>1127</v>
      </c>
      <c r="RYQ347" s="444">
        <v>6</v>
      </c>
      <c r="RYR347" s="444" t="s">
        <v>1127</v>
      </c>
      <c r="RYS347" s="444">
        <v>6</v>
      </c>
      <c r="RYT347" s="444" t="s">
        <v>1127</v>
      </c>
      <c r="RYU347" s="444">
        <v>6</v>
      </c>
      <c r="RYV347" s="444" t="s">
        <v>1127</v>
      </c>
      <c r="RYW347" s="444">
        <v>6</v>
      </c>
      <c r="RYX347" s="444" t="s">
        <v>1127</v>
      </c>
      <c r="RYY347" s="444">
        <v>6</v>
      </c>
      <c r="RYZ347" s="444" t="s">
        <v>1127</v>
      </c>
      <c r="RZA347" s="444">
        <v>6</v>
      </c>
      <c r="RZB347" s="444" t="s">
        <v>1127</v>
      </c>
      <c r="RZC347" s="444">
        <v>6</v>
      </c>
      <c r="RZD347" s="444" t="s">
        <v>1127</v>
      </c>
      <c r="RZE347" s="444">
        <v>6</v>
      </c>
      <c r="RZF347" s="444" t="s">
        <v>1127</v>
      </c>
      <c r="RZG347" s="444">
        <v>6</v>
      </c>
      <c r="RZH347" s="444" t="s">
        <v>1127</v>
      </c>
      <c r="RZI347" s="444">
        <v>6</v>
      </c>
      <c r="RZJ347" s="444" t="s">
        <v>1127</v>
      </c>
      <c r="RZK347" s="444">
        <v>6</v>
      </c>
      <c r="RZL347" s="444" t="s">
        <v>1127</v>
      </c>
      <c r="RZM347" s="444">
        <v>6</v>
      </c>
      <c r="RZN347" s="444" t="s">
        <v>1127</v>
      </c>
      <c r="RZO347" s="444">
        <v>6</v>
      </c>
      <c r="RZP347" s="444" t="s">
        <v>1127</v>
      </c>
      <c r="RZQ347" s="444">
        <v>6</v>
      </c>
      <c r="RZR347" s="444" t="s">
        <v>1127</v>
      </c>
      <c r="RZS347" s="444">
        <v>6</v>
      </c>
      <c r="RZT347" s="444" t="s">
        <v>1127</v>
      </c>
      <c r="RZU347" s="444">
        <v>6</v>
      </c>
      <c r="RZV347" s="444" t="s">
        <v>1127</v>
      </c>
      <c r="RZW347" s="444">
        <v>6</v>
      </c>
      <c r="RZX347" s="444" t="s">
        <v>1127</v>
      </c>
      <c r="RZY347" s="444">
        <v>6</v>
      </c>
      <c r="RZZ347" s="444" t="s">
        <v>1127</v>
      </c>
      <c r="SAA347" s="444">
        <v>6</v>
      </c>
      <c r="SAB347" s="444" t="s">
        <v>1127</v>
      </c>
      <c r="SAC347" s="444">
        <v>6</v>
      </c>
      <c r="SAD347" s="444" t="s">
        <v>1127</v>
      </c>
      <c r="SAE347" s="444">
        <v>6</v>
      </c>
      <c r="SAF347" s="444" t="s">
        <v>1127</v>
      </c>
      <c r="SAG347" s="444">
        <v>6</v>
      </c>
      <c r="SAH347" s="444" t="s">
        <v>1127</v>
      </c>
      <c r="SAI347" s="444">
        <v>6</v>
      </c>
      <c r="SAJ347" s="444" t="s">
        <v>1127</v>
      </c>
      <c r="SAK347" s="444">
        <v>6</v>
      </c>
      <c r="SAL347" s="444" t="s">
        <v>1127</v>
      </c>
      <c r="SAM347" s="444">
        <v>6</v>
      </c>
      <c r="SAN347" s="444" t="s">
        <v>1127</v>
      </c>
      <c r="SAO347" s="444">
        <v>6</v>
      </c>
      <c r="SAP347" s="444" t="s">
        <v>1127</v>
      </c>
      <c r="SAQ347" s="444">
        <v>6</v>
      </c>
      <c r="SAR347" s="444" t="s">
        <v>1127</v>
      </c>
      <c r="SAS347" s="444">
        <v>6</v>
      </c>
      <c r="SAT347" s="444" t="s">
        <v>1127</v>
      </c>
      <c r="SAU347" s="444">
        <v>6</v>
      </c>
      <c r="SAV347" s="444" t="s">
        <v>1127</v>
      </c>
      <c r="SAW347" s="444">
        <v>6</v>
      </c>
      <c r="SAX347" s="444" t="s">
        <v>1127</v>
      </c>
      <c r="SAY347" s="444">
        <v>6</v>
      </c>
      <c r="SAZ347" s="444" t="s">
        <v>1127</v>
      </c>
      <c r="SBA347" s="444">
        <v>6</v>
      </c>
      <c r="SBB347" s="444" t="s">
        <v>1127</v>
      </c>
      <c r="SBC347" s="444">
        <v>6</v>
      </c>
      <c r="SBD347" s="444" t="s">
        <v>1127</v>
      </c>
      <c r="SBE347" s="444">
        <v>6</v>
      </c>
      <c r="SBF347" s="444" t="s">
        <v>1127</v>
      </c>
      <c r="SBG347" s="444">
        <v>6</v>
      </c>
      <c r="SBH347" s="444" t="s">
        <v>1127</v>
      </c>
      <c r="SBI347" s="444">
        <v>6</v>
      </c>
      <c r="SBJ347" s="444" t="s">
        <v>1127</v>
      </c>
      <c r="SBK347" s="444">
        <v>6</v>
      </c>
      <c r="SBL347" s="444" t="s">
        <v>1127</v>
      </c>
      <c r="SBM347" s="444">
        <v>6</v>
      </c>
      <c r="SBN347" s="444" t="s">
        <v>1127</v>
      </c>
      <c r="SBO347" s="444">
        <v>6</v>
      </c>
      <c r="SBP347" s="444" t="s">
        <v>1127</v>
      </c>
      <c r="SBQ347" s="444">
        <v>6</v>
      </c>
      <c r="SBR347" s="444" t="s">
        <v>1127</v>
      </c>
      <c r="SBS347" s="444">
        <v>6</v>
      </c>
      <c r="SBT347" s="444" t="s">
        <v>1127</v>
      </c>
      <c r="SBU347" s="444">
        <v>6</v>
      </c>
      <c r="SBV347" s="444" t="s">
        <v>1127</v>
      </c>
      <c r="SBW347" s="444">
        <v>6</v>
      </c>
      <c r="SBX347" s="444" t="s">
        <v>1127</v>
      </c>
      <c r="SBY347" s="444">
        <v>6</v>
      </c>
      <c r="SBZ347" s="444" t="s">
        <v>1127</v>
      </c>
      <c r="SCA347" s="444">
        <v>6</v>
      </c>
      <c r="SCB347" s="444" t="s">
        <v>1127</v>
      </c>
      <c r="SCC347" s="444">
        <v>6</v>
      </c>
      <c r="SCD347" s="444" t="s">
        <v>1127</v>
      </c>
      <c r="SCE347" s="444">
        <v>6</v>
      </c>
      <c r="SCF347" s="444" t="s">
        <v>1127</v>
      </c>
      <c r="SCG347" s="444">
        <v>6</v>
      </c>
      <c r="SCH347" s="444" t="s">
        <v>1127</v>
      </c>
      <c r="SCI347" s="444">
        <v>6</v>
      </c>
      <c r="SCJ347" s="444" t="s">
        <v>1127</v>
      </c>
      <c r="SCK347" s="444">
        <v>6</v>
      </c>
      <c r="SCL347" s="444" t="s">
        <v>1127</v>
      </c>
      <c r="SCM347" s="444">
        <v>6</v>
      </c>
      <c r="SCN347" s="444" t="s">
        <v>1127</v>
      </c>
      <c r="SCO347" s="444">
        <v>6</v>
      </c>
      <c r="SCP347" s="444" t="s">
        <v>1127</v>
      </c>
      <c r="SCQ347" s="444">
        <v>6</v>
      </c>
      <c r="SCR347" s="444" t="s">
        <v>1127</v>
      </c>
      <c r="SCS347" s="444">
        <v>6</v>
      </c>
      <c r="SCT347" s="444" t="s">
        <v>1127</v>
      </c>
      <c r="SCU347" s="444">
        <v>6</v>
      </c>
      <c r="SCV347" s="444" t="s">
        <v>1127</v>
      </c>
      <c r="SCW347" s="444">
        <v>6</v>
      </c>
      <c r="SCX347" s="444" t="s">
        <v>1127</v>
      </c>
      <c r="SCY347" s="444">
        <v>6</v>
      </c>
      <c r="SCZ347" s="444" t="s">
        <v>1127</v>
      </c>
      <c r="SDA347" s="444">
        <v>6</v>
      </c>
      <c r="SDB347" s="444" t="s">
        <v>1127</v>
      </c>
      <c r="SDC347" s="444">
        <v>6</v>
      </c>
      <c r="SDD347" s="444" t="s">
        <v>1127</v>
      </c>
      <c r="SDE347" s="444">
        <v>6</v>
      </c>
      <c r="SDF347" s="444" t="s">
        <v>1127</v>
      </c>
      <c r="SDG347" s="444">
        <v>6</v>
      </c>
      <c r="SDH347" s="444" t="s">
        <v>1127</v>
      </c>
      <c r="SDI347" s="444">
        <v>6</v>
      </c>
      <c r="SDJ347" s="444" t="s">
        <v>1127</v>
      </c>
      <c r="SDK347" s="444">
        <v>6</v>
      </c>
      <c r="SDL347" s="444" t="s">
        <v>1127</v>
      </c>
      <c r="SDM347" s="444">
        <v>6</v>
      </c>
      <c r="SDN347" s="444" t="s">
        <v>1127</v>
      </c>
      <c r="SDO347" s="444">
        <v>6</v>
      </c>
      <c r="SDP347" s="444" t="s">
        <v>1127</v>
      </c>
      <c r="SDQ347" s="444">
        <v>6</v>
      </c>
      <c r="SDR347" s="444" t="s">
        <v>1127</v>
      </c>
      <c r="SDS347" s="444">
        <v>6</v>
      </c>
      <c r="SDT347" s="444" t="s">
        <v>1127</v>
      </c>
      <c r="SDU347" s="444">
        <v>6</v>
      </c>
      <c r="SDV347" s="444" t="s">
        <v>1127</v>
      </c>
      <c r="SDW347" s="444">
        <v>6</v>
      </c>
      <c r="SDX347" s="444" t="s">
        <v>1127</v>
      </c>
      <c r="SDY347" s="444">
        <v>6</v>
      </c>
      <c r="SDZ347" s="444" t="s">
        <v>1127</v>
      </c>
      <c r="SEA347" s="444">
        <v>6</v>
      </c>
      <c r="SEB347" s="444" t="s">
        <v>1127</v>
      </c>
      <c r="SEC347" s="444">
        <v>6</v>
      </c>
      <c r="SED347" s="444" t="s">
        <v>1127</v>
      </c>
      <c r="SEE347" s="444">
        <v>6</v>
      </c>
      <c r="SEF347" s="444" t="s">
        <v>1127</v>
      </c>
      <c r="SEG347" s="444">
        <v>6</v>
      </c>
      <c r="SEH347" s="444" t="s">
        <v>1127</v>
      </c>
      <c r="SEI347" s="444">
        <v>6</v>
      </c>
      <c r="SEJ347" s="444" t="s">
        <v>1127</v>
      </c>
      <c r="SEK347" s="444">
        <v>6</v>
      </c>
      <c r="SEL347" s="444" t="s">
        <v>1127</v>
      </c>
      <c r="SEM347" s="444">
        <v>6</v>
      </c>
      <c r="SEN347" s="444" t="s">
        <v>1127</v>
      </c>
      <c r="SEO347" s="444">
        <v>6</v>
      </c>
      <c r="SEP347" s="444" t="s">
        <v>1127</v>
      </c>
      <c r="SEQ347" s="444">
        <v>6</v>
      </c>
      <c r="SER347" s="444" t="s">
        <v>1127</v>
      </c>
      <c r="SES347" s="444">
        <v>6</v>
      </c>
      <c r="SET347" s="444" t="s">
        <v>1127</v>
      </c>
      <c r="SEU347" s="444">
        <v>6</v>
      </c>
      <c r="SEV347" s="444" t="s">
        <v>1127</v>
      </c>
      <c r="SEW347" s="444">
        <v>6</v>
      </c>
      <c r="SEX347" s="444" t="s">
        <v>1127</v>
      </c>
      <c r="SEY347" s="444">
        <v>6</v>
      </c>
      <c r="SEZ347" s="444" t="s">
        <v>1127</v>
      </c>
      <c r="SFA347" s="444">
        <v>6</v>
      </c>
      <c r="SFB347" s="444" t="s">
        <v>1127</v>
      </c>
      <c r="SFC347" s="444">
        <v>6</v>
      </c>
      <c r="SFD347" s="444" t="s">
        <v>1127</v>
      </c>
      <c r="SFE347" s="444">
        <v>6</v>
      </c>
      <c r="SFF347" s="444" t="s">
        <v>1127</v>
      </c>
      <c r="SFG347" s="444">
        <v>6</v>
      </c>
      <c r="SFH347" s="444" t="s">
        <v>1127</v>
      </c>
      <c r="SFI347" s="444">
        <v>6</v>
      </c>
      <c r="SFJ347" s="444" t="s">
        <v>1127</v>
      </c>
      <c r="SFK347" s="444">
        <v>6</v>
      </c>
      <c r="SFL347" s="444" t="s">
        <v>1127</v>
      </c>
      <c r="SFM347" s="444">
        <v>6</v>
      </c>
      <c r="SFN347" s="444" t="s">
        <v>1127</v>
      </c>
      <c r="SFO347" s="444">
        <v>6</v>
      </c>
      <c r="SFP347" s="444" t="s">
        <v>1127</v>
      </c>
      <c r="SFQ347" s="444">
        <v>6</v>
      </c>
      <c r="SFR347" s="444" t="s">
        <v>1127</v>
      </c>
      <c r="SFS347" s="444">
        <v>6</v>
      </c>
      <c r="SFT347" s="444" t="s">
        <v>1127</v>
      </c>
      <c r="SFU347" s="444">
        <v>6</v>
      </c>
      <c r="SFV347" s="444" t="s">
        <v>1127</v>
      </c>
      <c r="SFW347" s="444">
        <v>6</v>
      </c>
      <c r="SFX347" s="444" t="s">
        <v>1127</v>
      </c>
      <c r="SFY347" s="444">
        <v>6</v>
      </c>
      <c r="SFZ347" s="444" t="s">
        <v>1127</v>
      </c>
      <c r="SGA347" s="444">
        <v>6</v>
      </c>
      <c r="SGB347" s="444" t="s">
        <v>1127</v>
      </c>
      <c r="SGC347" s="444">
        <v>6</v>
      </c>
      <c r="SGD347" s="444" t="s">
        <v>1127</v>
      </c>
      <c r="SGE347" s="444">
        <v>6</v>
      </c>
      <c r="SGF347" s="444" t="s">
        <v>1127</v>
      </c>
      <c r="SGG347" s="444">
        <v>6</v>
      </c>
      <c r="SGH347" s="444" t="s">
        <v>1127</v>
      </c>
      <c r="SGI347" s="444">
        <v>6</v>
      </c>
      <c r="SGJ347" s="444" t="s">
        <v>1127</v>
      </c>
      <c r="SGK347" s="444">
        <v>6</v>
      </c>
      <c r="SGL347" s="444" t="s">
        <v>1127</v>
      </c>
      <c r="SGM347" s="444">
        <v>6</v>
      </c>
      <c r="SGN347" s="444" t="s">
        <v>1127</v>
      </c>
      <c r="SGO347" s="444">
        <v>6</v>
      </c>
      <c r="SGP347" s="444" t="s">
        <v>1127</v>
      </c>
      <c r="SGQ347" s="444">
        <v>6</v>
      </c>
      <c r="SGR347" s="444" t="s">
        <v>1127</v>
      </c>
      <c r="SGS347" s="444">
        <v>6</v>
      </c>
      <c r="SGT347" s="444" t="s">
        <v>1127</v>
      </c>
      <c r="SGU347" s="444">
        <v>6</v>
      </c>
      <c r="SGV347" s="444" t="s">
        <v>1127</v>
      </c>
      <c r="SGW347" s="444">
        <v>6</v>
      </c>
      <c r="SGX347" s="444" t="s">
        <v>1127</v>
      </c>
      <c r="SGY347" s="444">
        <v>6</v>
      </c>
      <c r="SGZ347" s="444" t="s">
        <v>1127</v>
      </c>
      <c r="SHA347" s="444">
        <v>6</v>
      </c>
      <c r="SHB347" s="444" t="s">
        <v>1127</v>
      </c>
      <c r="SHC347" s="444">
        <v>6</v>
      </c>
      <c r="SHD347" s="444" t="s">
        <v>1127</v>
      </c>
      <c r="SHE347" s="444">
        <v>6</v>
      </c>
      <c r="SHF347" s="444" t="s">
        <v>1127</v>
      </c>
      <c r="SHG347" s="444">
        <v>6</v>
      </c>
      <c r="SHH347" s="444" t="s">
        <v>1127</v>
      </c>
      <c r="SHI347" s="444">
        <v>6</v>
      </c>
      <c r="SHJ347" s="444" t="s">
        <v>1127</v>
      </c>
      <c r="SHK347" s="444">
        <v>6</v>
      </c>
      <c r="SHL347" s="444" t="s">
        <v>1127</v>
      </c>
      <c r="SHM347" s="444">
        <v>6</v>
      </c>
      <c r="SHN347" s="444" t="s">
        <v>1127</v>
      </c>
      <c r="SHO347" s="444">
        <v>6</v>
      </c>
      <c r="SHP347" s="444" t="s">
        <v>1127</v>
      </c>
      <c r="SHQ347" s="444">
        <v>6</v>
      </c>
      <c r="SHR347" s="444" t="s">
        <v>1127</v>
      </c>
      <c r="SHS347" s="444">
        <v>6</v>
      </c>
      <c r="SHT347" s="444" t="s">
        <v>1127</v>
      </c>
      <c r="SHU347" s="444">
        <v>6</v>
      </c>
      <c r="SHV347" s="444" t="s">
        <v>1127</v>
      </c>
      <c r="SHW347" s="444">
        <v>6</v>
      </c>
      <c r="SHX347" s="444" t="s">
        <v>1127</v>
      </c>
      <c r="SHY347" s="444">
        <v>6</v>
      </c>
      <c r="SHZ347" s="444" t="s">
        <v>1127</v>
      </c>
      <c r="SIA347" s="444">
        <v>6</v>
      </c>
      <c r="SIB347" s="444" t="s">
        <v>1127</v>
      </c>
      <c r="SIC347" s="444">
        <v>6</v>
      </c>
      <c r="SID347" s="444" t="s">
        <v>1127</v>
      </c>
      <c r="SIE347" s="444">
        <v>6</v>
      </c>
      <c r="SIF347" s="444" t="s">
        <v>1127</v>
      </c>
      <c r="SIG347" s="444">
        <v>6</v>
      </c>
      <c r="SIH347" s="444" t="s">
        <v>1127</v>
      </c>
      <c r="SII347" s="444">
        <v>6</v>
      </c>
      <c r="SIJ347" s="444" t="s">
        <v>1127</v>
      </c>
      <c r="SIK347" s="444">
        <v>6</v>
      </c>
      <c r="SIL347" s="444" t="s">
        <v>1127</v>
      </c>
      <c r="SIM347" s="444">
        <v>6</v>
      </c>
      <c r="SIN347" s="444" t="s">
        <v>1127</v>
      </c>
      <c r="SIO347" s="444">
        <v>6</v>
      </c>
      <c r="SIP347" s="444" t="s">
        <v>1127</v>
      </c>
      <c r="SIQ347" s="444">
        <v>6</v>
      </c>
      <c r="SIR347" s="444" t="s">
        <v>1127</v>
      </c>
      <c r="SIS347" s="444">
        <v>6</v>
      </c>
      <c r="SIT347" s="444" t="s">
        <v>1127</v>
      </c>
      <c r="SIU347" s="444">
        <v>6</v>
      </c>
      <c r="SIV347" s="444" t="s">
        <v>1127</v>
      </c>
      <c r="SIW347" s="444">
        <v>6</v>
      </c>
      <c r="SIX347" s="444" t="s">
        <v>1127</v>
      </c>
      <c r="SIY347" s="444">
        <v>6</v>
      </c>
      <c r="SIZ347" s="444" t="s">
        <v>1127</v>
      </c>
      <c r="SJA347" s="444">
        <v>6</v>
      </c>
      <c r="SJB347" s="444" t="s">
        <v>1127</v>
      </c>
      <c r="SJC347" s="444">
        <v>6</v>
      </c>
      <c r="SJD347" s="444" t="s">
        <v>1127</v>
      </c>
      <c r="SJE347" s="444">
        <v>6</v>
      </c>
      <c r="SJF347" s="444" t="s">
        <v>1127</v>
      </c>
      <c r="SJG347" s="444">
        <v>6</v>
      </c>
      <c r="SJH347" s="444" t="s">
        <v>1127</v>
      </c>
      <c r="SJI347" s="444">
        <v>6</v>
      </c>
      <c r="SJJ347" s="444" t="s">
        <v>1127</v>
      </c>
      <c r="SJK347" s="444">
        <v>6</v>
      </c>
      <c r="SJL347" s="444" t="s">
        <v>1127</v>
      </c>
      <c r="SJM347" s="444">
        <v>6</v>
      </c>
      <c r="SJN347" s="444" t="s">
        <v>1127</v>
      </c>
      <c r="SJO347" s="444">
        <v>6</v>
      </c>
      <c r="SJP347" s="444" t="s">
        <v>1127</v>
      </c>
      <c r="SJQ347" s="444">
        <v>6</v>
      </c>
      <c r="SJR347" s="444" t="s">
        <v>1127</v>
      </c>
      <c r="SJS347" s="444">
        <v>6</v>
      </c>
      <c r="SJT347" s="444" t="s">
        <v>1127</v>
      </c>
      <c r="SJU347" s="444">
        <v>6</v>
      </c>
      <c r="SJV347" s="444" t="s">
        <v>1127</v>
      </c>
      <c r="SJW347" s="444">
        <v>6</v>
      </c>
      <c r="SJX347" s="444" t="s">
        <v>1127</v>
      </c>
      <c r="SJY347" s="444">
        <v>6</v>
      </c>
      <c r="SJZ347" s="444" t="s">
        <v>1127</v>
      </c>
      <c r="SKA347" s="444">
        <v>6</v>
      </c>
      <c r="SKB347" s="444" t="s">
        <v>1127</v>
      </c>
      <c r="SKC347" s="444">
        <v>6</v>
      </c>
      <c r="SKD347" s="444" t="s">
        <v>1127</v>
      </c>
      <c r="SKE347" s="444">
        <v>6</v>
      </c>
      <c r="SKF347" s="444" t="s">
        <v>1127</v>
      </c>
      <c r="SKG347" s="444">
        <v>6</v>
      </c>
      <c r="SKH347" s="444" t="s">
        <v>1127</v>
      </c>
      <c r="SKI347" s="444">
        <v>6</v>
      </c>
      <c r="SKJ347" s="444" t="s">
        <v>1127</v>
      </c>
      <c r="SKK347" s="444">
        <v>6</v>
      </c>
      <c r="SKL347" s="444" t="s">
        <v>1127</v>
      </c>
      <c r="SKM347" s="444">
        <v>6</v>
      </c>
      <c r="SKN347" s="444" t="s">
        <v>1127</v>
      </c>
      <c r="SKO347" s="444">
        <v>6</v>
      </c>
      <c r="SKP347" s="444" t="s">
        <v>1127</v>
      </c>
      <c r="SKQ347" s="444">
        <v>6</v>
      </c>
      <c r="SKR347" s="444" t="s">
        <v>1127</v>
      </c>
      <c r="SKS347" s="444">
        <v>6</v>
      </c>
      <c r="SKT347" s="444" t="s">
        <v>1127</v>
      </c>
      <c r="SKU347" s="444">
        <v>6</v>
      </c>
      <c r="SKV347" s="444" t="s">
        <v>1127</v>
      </c>
      <c r="SKW347" s="444">
        <v>6</v>
      </c>
      <c r="SKX347" s="444" t="s">
        <v>1127</v>
      </c>
      <c r="SKY347" s="444">
        <v>6</v>
      </c>
      <c r="SKZ347" s="444" t="s">
        <v>1127</v>
      </c>
      <c r="SLA347" s="444">
        <v>6</v>
      </c>
      <c r="SLB347" s="444" t="s">
        <v>1127</v>
      </c>
      <c r="SLC347" s="444">
        <v>6</v>
      </c>
      <c r="SLD347" s="444" t="s">
        <v>1127</v>
      </c>
      <c r="SLE347" s="444">
        <v>6</v>
      </c>
      <c r="SLF347" s="444" t="s">
        <v>1127</v>
      </c>
      <c r="SLG347" s="444">
        <v>6</v>
      </c>
      <c r="SLH347" s="444" t="s">
        <v>1127</v>
      </c>
      <c r="SLI347" s="444">
        <v>6</v>
      </c>
      <c r="SLJ347" s="444" t="s">
        <v>1127</v>
      </c>
      <c r="SLK347" s="444">
        <v>6</v>
      </c>
      <c r="SLL347" s="444" t="s">
        <v>1127</v>
      </c>
      <c r="SLM347" s="444">
        <v>6</v>
      </c>
      <c r="SLN347" s="444" t="s">
        <v>1127</v>
      </c>
      <c r="SLO347" s="444">
        <v>6</v>
      </c>
      <c r="SLP347" s="444" t="s">
        <v>1127</v>
      </c>
      <c r="SLQ347" s="444">
        <v>6</v>
      </c>
      <c r="SLR347" s="444" t="s">
        <v>1127</v>
      </c>
      <c r="SLS347" s="444">
        <v>6</v>
      </c>
      <c r="SLT347" s="444" t="s">
        <v>1127</v>
      </c>
      <c r="SLU347" s="444">
        <v>6</v>
      </c>
      <c r="SLV347" s="444" t="s">
        <v>1127</v>
      </c>
      <c r="SLW347" s="444">
        <v>6</v>
      </c>
      <c r="SLX347" s="444" t="s">
        <v>1127</v>
      </c>
      <c r="SLY347" s="444">
        <v>6</v>
      </c>
      <c r="SLZ347" s="444" t="s">
        <v>1127</v>
      </c>
      <c r="SMA347" s="444">
        <v>6</v>
      </c>
      <c r="SMB347" s="444" t="s">
        <v>1127</v>
      </c>
      <c r="SMC347" s="444">
        <v>6</v>
      </c>
      <c r="SMD347" s="444" t="s">
        <v>1127</v>
      </c>
      <c r="SME347" s="444">
        <v>6</v>
      </c>
      <c r="SMF347" s="444" t="s">
        <v>1127</v>
      </c>
      <c r="SMG347" s="444">
        <v>6</v>
      </c>
      <c r="SMH347" s="444" t="s">
        <v>1127</v>
      </c>
      <c r="SMI347" s="444">
        <v>6</v>
      </c>
      <c r="SMJ347" s="444" t="s">
        <v>1127</v>
      </c>
      <c r="SMK347" s="444">
        <v>6</v>
      </c>
      <c r="SML347" s="444" t="s">
        <v>1127</v>
      </c>
      <c r="SMM347" s="444">
        <v>6</v>
      </c>
      <c r="SMN347" s="444" t="s">
        <v>1127</v>
      </c>
      <c r="SMO347" s="444">
        <v>6</v>
      </c>
      <c r="SMP347" s="444" t="s">
        <v>1127</v>
      </c>
      <c r="SMQ347" s="444">
        <v>6</v>
      </c>
      <c r="SMR347" s="444" t="s">
        <v>1127</v>
      </c>
      <c r="SMS347" s="444">
        <v>6</v>
      </c>
      <c r="SMT347" s="444" t="s">
        <v>1127</v>
      </c>
      <c r="SMU347" s="444">
        <v>6</v>
      </c>
      <c r="SMV347" s="444" t="s">
        <v>1127</v>
      </c>
      <c r="SMW347" s="444">
        <v>6</v>
      </c>
      <c r="SMX347" s="444" t="s">
        <v>1127</v>
      </c>
      <c r="SMY347" s="444">
        <v>6</v>
      </c>
      <c r="SMZ347" s="444" t="s">
        <v>1127</v>
      </c>
      <c r="SNA347" s="444">
        <v>6</v>
      </c>
      <c r="SNB347" s="444" t="s">
        <v>1127</v>
      </c>
      <c r="SNC347" s="444">
        <v>6</v>
      </c>
      <c r="SND347" s="444" t="s">
        <v>1127</v>
      </c>
      <c r="SNE347" s="444">
        <v>6</v>
      </c>
      <c r="SNF347" s="444" t="s">
        <v>1127</v>
      </c>
      <c r="SNG347" s="444">
        <v>6</v>
      </c>
      <c r="SNH347" s="444" t="s">
        <v>1127</v>
      </c>
      <c r="SNI347" s="444">
        <v>6</v>
      </c>
      <c r="SNJ347" s="444" t="s">
        <v>1127</v>
      </c>
      <c r="SNK347" s="444">
        <v>6</v>
      </c>
      <c r="SNL347" s="444" t="s">
        <v>1127</v>
      </c>
      <c r="SNM347" s="444">
        <v>6</v>
      </c>
      <c r="SNN347" s="444" t="s">
        <v>1127</v>
      </c>
      <c r="SNO347" s="444">
        <v>6</v>
      </c>
      <c r="SNP347" s="444" t="s">
        <v>1127</v>
      </c>
      <c r="SNQ347" s="444">
        <v>6</v>
      </c>
      <c r="SNR347" s="444" t="s">
        <v>1127</v>
      </c>
      <c r="SNS347" s="444">
        <v>6</v>
      </c>
      <c r="SNT347" s="444" t="s">
        <v>1127</v>
      </c>
      <c r="SNU347" s="444">
        <v>6</v>
      </c>
      <c r="SNV347" s="444" t="s">
        <v>1127</v>
      </c>
      <c r="SNW347" s="444">
        <v>6</v>
      </c>
      <c r="SNX347" s="444" t="s">
        <v>1127</v>
      </c>
      <c r="SNY347" s="444">
        <v>6</v>
      </c>
      <c r="SNZ347" s="444" t="s">
        <v>1127</v>
      </c>
      <c r="SOA347" s="444">
        <v>6</v>
      </c>
      <c r="SOB347" s="444" t="s">
        <v>1127</v>
      </c>
      <c r="SOC347" s="444">
        <v>6</v>
      </c>
      <c r="SOD347" s="444" t="s">
        <v>1127</v>
      </c>
      <c r="SOE347" s="444">
        <v>6</v>
      </c>
      <c r="SOF347" s="444" t="s">
        <v>1127</v>
      </c>
      <c r="SOG347" s="444">
        <v>6</v>
      </c>
      <c r="SOH347" s="444" t="s">
        <v>1127</v>
      </c>
      <c r="SOI347" s="444">
        <v>6</v>
      </c>
      <c r="SOJ347" s="444" t="s">
        <v>1127</v>
      </c>
      <c r="SOK347" s="444">
        <v>6</v>
      </c>
      <c r="SOL347" s="444" t="s">
        <v>1127</v>
      </c>
      <c r="SOM347" s="444">
        <v>6</v>
      </c>
      <c r="SON347" s="444" t="s">
        <v>1127</v>
      </c>
      <c r="SOO347" s="444">
        <v>6</v>
      </c>
      <c r="SOP347" s="444" t="s">
        <v>1127</v>
      </c>
      <c r="SOQ347" s="444">
        <v>6</v>
      </c>
      <c r="SOR347" s="444" t="s">
        <v>1127</v>
      </c>
      <c r="SOS347" s="444">
        <v>6</v>
      </c>
      <c r="SOT347" s="444" t="s">
        <v>1127</v>
      </c>
      <c r="SOU347" s="444">
        <v>6</v>
      </c>
      <c r="SOV347" s="444" t="s">
        <v>1127</v>
      </c>
      <c r="SOW347" s="444">
        <v>6</v>
      </c>
      <c r="SOX347" s="444" t="s">
        <v>1127</v>
      </c>
      <c r="SOY347" s="444">
        <v>6</v>
      </c>
      <c r="SOZ347" s="444" t="s">
        <v>1127</v>
      </c>
      <c r="SPA347" s="444">
        <v>6</v>
      </c>
      <c r="SPB347" s="444" t="s">
        <v>1127</v>
      </c>
      <c r="SPC347" s="444">
        <v>6</v>
      </c>
      <c r="SPD347" s="444" t="s">
        <v>1127</v>
      </c>
      <c r="SPE347" s="444">
        <v>6</v>
      </c>
      <c r="SPF347" s="444" t="s">
        <v>1127</v>
      </c>
      <c r="SPG347" s="444">
        <v>6</v>
      </c>
      <c r="SPH347" s="444" t="s">
        <v>1127</v>
      </c>
      <c r="SPI347" s="444">
        <v>6</v>
      </c>
      <c r="SPJ347" s="444" t="s">
        <v>1127</v>
      </c>
      <c r="SPK347" s="444">
        <v>6</v>
      </c>
      <c r="SPL347" s="444" t="s">
        <v>1127</v>
      </c>
      <c r="SPM347" s="444">
        <v>6</v>
      </c>
      <c r="SPN347" s="444" t="s">
        <v>1127</v>
      </c>
      <c r="SPO347" s="444">
        <v>6</v>
      </c>
      <c r="SPP347" s="444" t="s">
        <v>1127</v>
      </c>
      <c r="SPQ347" s="444">
        <v>6</v>
      </c>
      <c r="SPR347" s="444" t="s">
        <v>1127</v>
      </c>
      <c r="SPS347" s="444">
        <v>6</v>
      </c>
      <c r="SPT347" s="444" t="s">
        <v>1127</v>
      </c>
      <c r="SPU347" s="444">
        <v>6</v>
      </c>
      <c r="SPV347" s="444" t="s">
        <v>1127</v>
      </c>
      <c r="SPW347" s="444">
        <v>6</v>
      </c>
      <c r="SPX347" s="444" t="s">
        <v>1127</v>
      </c>
      <c r="SPY347" s="444">
        <v>6</v>
      </c>
      <c r="SPZ347" s="444" t="s">
        <v>1127</v>
      </c>
      <c r="SQA347" s="444">
        <v>6</v>
      </c>
      <c r="SQB347" s="444" t="s">
        <v>1127</v>
      </c>
      <c r="SQC347" s="444">
        <v>6</v>
      </c>
      <c r="SQD347" s="444" t="s">
        <v>1127</v>
      </c>
      <c r="SQE347" s="444">
        <v>6</v>
      </c>
      <c r="SQF347" s="444" t="s">
        <v>1127</v>
      </c>
      <c r="SQG347" s="444">
        <v>6</v>
      </c>
      <c r="SQH347" s="444" t="s">
        <v>1127</v>
      </c>
      <c r="SQI347" s="444">
        <v>6</v>
      </c>
      <c r="SQJ347" s="444" t="s">
        <v>1127</v>
      </c>
      <c r="SQK347" s="444">
        <v>6</v>
      </c>
      <c r="SQL347" s="444" t="s">
        <v>1127</v>
      </c>
      <c r="SQM347" s="444">
        <v>6</v>
      </c>
      <c r="SQN347" s="444" t="s">
        <v>1127</v>
      </c>
      <c r="SQO347" s="444">
        <v>6</v>
      </c>
      <c r="SQP347" s="444" t="s">
        <v>1127</v>
      </c>
      <c r="SQQ347" s="444">
        <v>6</v>
      </c>
      <c r="SQR347" s="444" t="s">
        <v>1127</v>
      </c>
      <c r="SQS347" s="444">
        <v>6</v>
      </c>
      <c r="SQT347" s="444" t="s">
        <v>1127</v>
      </c>
      <c r="SQU347" s="444">
        <v>6</v>
      </c>
      <c r="SQV347" s="444" t="s">
        <v>1127</v>
      </c>
      <c r="SQW347" s="444">
        <v>6</v>
      </c>
      <c r="SQX347" s="444" t="s">
        <v>1127</v>
      </c>
      <c r="SQY347" s="444">
        <v>6</v>
      </c>
      <c r="SQZ347" s="444" t="s">
        <v>1127</v>
      </c>
      <c r="SRA347" s="444">
        <v>6</v>
      </c>
      <c r="SRB347" s="444" t="s">
        <v>1127</v>
      </c>
      <c r="SRC347" s="444">
        <v>6</v>
      </c>
      <c r="SRD347" s="444" t="s">
        <v>1127</v>
      </c>
      <c r="SRE347" s="444">
        <v>6</v>
      </c>
      <c r="SRF347" s="444" t="s">
        <v>1127</v>
      </c>
      <c r="SRG347" s="444">
        <v>6</v>
      </c>
      <c r="SRH347" s="444" t="s">
        <v>1127</v>
      </c>
      <c r="SRI347" s="444">
        <v>6</v>
      </c>
      <c r="SRJ347" s="444" t="s">
        <v>1127</v>
      </c>
      <c r="SRK347" s="444">
        <v>6</v>
      </c>
      <c r="SRL347" s="444" t="s">
        <v>1127</v>
      </c>
      <c r="SRM347" s="444">
        <v>6</v>
      </c>
      <c r="SRN347" s="444" t="s">
        <v>1127</v>
      </c>
      <c r="SRO347" s="444">
        <v>6</v>
      </c>
      <c r="SRP347" s="444" t="s">
        <v>1127</v>
      </c>
      <c r="SRQ347" s="444">
        <v>6</v>
      </c>
      <c r="SRR347" s="444" t="s">
        <v>1127</v>
      </c>
      <c r="SRS347" s="444">
        <v>6</v>
      </c>
      <c r="SRT347" s="444" t="s">
        <v>1127</v>
      </c>
      <c r="SRU347" s="444">
        <v>6</v>
      </c>
      <c r="SRV347" s="444" t="s">
        <v>1127</v>
      </c>
      <c r="SRW347" s="444">
        <v>6</v>
      </c>
      <c r="SRX347" s="444" t="s">
        <v>1127</v>
      </c>
      <c r="SRY347" s="444">
        <v>6</v>
      </c>
      <c r="SRZ347" s="444" t="s">
        <v>1127</v>
      </c>
      <c r="SSA347" s="444">
        <v>6</v>
      </c>
      <c r="SSB347" s="444" t="s">
        <v>1127</v>
      </c>
      <c r="SSC347" s="444">
        <v>6</v>
      </c>
      <c r="SSD347" s="444" t="s">
        <v>1127</v>
      </c>
      <c r="SSE347" s="444">
        <v>6</v>
      </c>
      <c r="SSF347" s="444" t="s">
        <v>1127</v>
      </c>
      <c r="SSG347" s="444">
        <v>6</v>
      </c>
      <c r="SSH347" s="444" t="s">
        <v>1127</v>
      </c>
      <c r="SSI347" s="444">
        <v>6</v>
      </c>
      <c r="SSJ347" s="444" t="s">
        <v>1127</v>
      </c>
      <c r="SSK347" s="444">
        <v>6</v>
      </c>
      <c r="SSL347" s="444" t="s">
        <v>1127</v>
      </c>
      <c r="SSM347" s="444">
        <v>6</v>
      </c>
      <c r="SSN347" s="444" t="s">
        <v>1127</v>
      </c>
      <c r="SSO347" s="444">
        <v>6</v>
      </c>
      <c r="SSP347" s="444" t="s">
        <v>1127</v>
      </c>
      <c r="SSQ347" s="444">
        <v>6</v>
      </c>
      <c r="SSR347" s="444" t="s">
        <v>1127</v>
      </c>
      <c r="SSS347" s="444">
        <v>6</v>
      </c>
      <c r="SST347" s="444" t="s">
        <v>1127</v>
      </c>
      <c r="SSU347" s="444">
        <v>6</v>
      </c>
      <c r="SSV347" s="444" t="s">
        <v>1127</v>
      </c>
      <c r="SSW347" s="444">
        <v>6</v>
      </c>
      <c r="SSX347" s="444" t="s">
        <v>1127</v>
      </c>
      <c r="SSY347" s="444">
        <v>6</v>
      </c>
      <c r="SSZ347" s="444" t="s">
        <v>1127</v>
      </c>
      <c r="STA347" s="444">
        <v>6</v>
      </c>
      <c r="STB347" s="444" t="s">
        <v>1127</v>
      </c>
      <c r="STC347" s="444">
        <v>6</v>
      </c>
      <c r="STD347" s="444" t="s">
        <v>1127</v>
      </c>
      <c r="STE347" s="444">
        <v>6</v>
      </c>
      <c r="STF347" s="444" t="s">
        <v>1127</v>
      </c>
      <c r="STG347" s="444">
        <v>6</v>
      </c>
      <c r="STH347" s="444" t="s">
        <v>1127</v>
      </c>
      <c r="STI347" s="444">
        <v>6</v>
      </c>
      <c r="STJ347" s="444" t="s">
        <v>1127</v>
      </c>
      <c r="STK347" s="444">
        <v>6</v>
      </c>
      <c r="STL347" s="444" t="s">
        <v>1127</v>
      </c>
      <c r="STM347" s="444">
        <v>6</v>
      </c>
      <c r="STN347" s="444" t="s">
        <v>1127</v>
      </c>
      <c r="STO347" s="444">
        <v>6</v>
      </c>
      <c r="STP347" s="444" t="s">
        <v>1127</v>
      </c>
      <c r="STQ347" s="444">
        <v>6</v>
      </c>
      <c r="STR347" s="444" t="s">
        <v>1127</v>
      </c>
      <c r="STS347" s="444">
        <v>6</v>
      </c>
      <c r="STT347" s="444" t="s">
        <v>1127</v>
      </c>
      <c r="STU347" s="444">
        <v>6</v>
      </c>
      <c r="STV347" s="444" t="s">
        <v>1127</v>
      </c>
      <c r="STW347" s="444">
        <v>6</v>
      </c>
      <c r="STX347" s="444" t="s">
        <v>1127</v>
      </c>
      <c r="STY347" s="444">
        <v>6</v>
      </c>
      <c r="STZ347" s="444" t="s">
        <v>1127</v>
      </c>
      <c r="SUA347" s="444">
        <v>6</v>
      </c>
      <c r="SUB347" s="444" t="s">
        <v>1127</v>
      </c>
      <c r="SUC347" s="444">
        <v>6</v>
      </c>
      <c r="SUD347" s="444" t="s">
        <v>1127</v>
      </c>
      <c r="SUE347" s="444">
        <v>6</v>
      </c>
      <c r="SUF347" s="444" t="s">
        <v>1127</v>
      </c>
      <c r="SUG347" s="444">
        <v>6</v>
      </c>
      <c r="SUH347" s="444" t="s">
        <v>1127</v>
      </c>
      <c r="SUI347" s="444">
        <v>6</v>
      </c>
      <c r="SUJ347" s="444" t="s">
        <v>1127</v>
      </c>
      <c r="SUK347" s="444">
        <v>6</v>
      </c>
      <c r="SUL347" s="444" t="s">
        <v>1127</v>
      </c>
      <c r="SUM347" s="444">
        <v>6</v>
      </c>
      <c r="SUN347" s="444" t="s">
        <v>1127</v>
      </c>
      <c r="SUO347" s="444">
        <v>6</v>
      </c>
      <c r="SUP347" s="444" t="s">
        <v>1127</v>
      </c>
      <c r="SUQ347" s="444">
        <v>6</v>
      </c>
      <c r="SUR347" s="444" t="s">
        <v>1127</v>
      </c>
      <c r="SUS347" s="444">
        <v>6</v>
      </c>
      <c r="SUT347" s="444" t="s">
        <v>1127</v>
      </c>
      <c r="SUU347" s="444">
        <v>6</v>
      </c>
      <c r="SUV347" s="444" t="s">
        <v>1127</v>
      </c>
      <c r="SUW347" s="444">
        <v>6</v>
      </c>
      <c r="SUX347" s="444" t="s">
        <v>1127</v>
      </c>
      <c r="SUY347" s="444">
        <v>6</v>
      </c>
      <c r="SUZ347" s="444" t="s">
        <v>1127</v>
      </c>
      <c r="SVA347" s="444">
        <v>6</v>
      </c>
      <c r="SVB347" s="444" t="s">
        <v>1127</v>
      </c>
      <c r="SVC347" s="444">
        <v>6</v>
      </c>
      <c r="SVD347" s="444" t="s">
        <v>1127</v>
      </c>
      <c r="SVE347" s="444">
        <v>6</v>
      </c>
      <c r="SVF347" s="444" t="s">
        <v>1127</v>
      </c>
      <c r="SVG347" s="444">
        <v>6</v>
      </c>
      <c r="SVH347" s="444" t="s">
        <v>1127</v>
      </c>
      <c r="SVI347" s="444">
        <v>6</v>
      </c>
      <c r="SVJ347" s="444" t="s">
        <v>1127</v>
      </c>
      <c r="SVK347" s="444">
        <v>6</v>
      </c>
      <c r="SVL347" s="444" t="s">
        <v>1127</v>
      </c>
      <c r="SVM347" s="444">
        <v>6</v>
      </c>
      <c r="SVN347" s="444" t="s">
        <v>1127</v>
      </c>
      <c r="SVO347" s="444">
        <v>6</v>
      </c>
      <c r="SVP347" s="444" t="s">
        <v>1127</v>
      </c>
      <c r="SVQ347" s="444">
        <v>6</v>
      </c>
      <c r="SVR347" s="444" t="s">
        <v>1127</v>
      </c>
      <c r="SVS347" s="444">
        <v>6</v>
      </c>
      <c r="SVT347" s="444" t="s">
        <v>1127</v>
      </c>
      <c r="SVU347" s="444">
        <v>6</v>
      </c>
      <c r="SVV347" s="444" t="s">
        <v>1127</v>
      </c>
      <c r="SVW347" s="444">
        <v>6</v>
      </c>
      <c r="SVX347" s="444" t="s">
        <v>1127</v>
      </c>
      <c r="SVY347" s="444">
        <v>6</v>
      </c>
      <c r="SVZ347" s="444" t="s">
        <v>1127</v>
      </c>
      <c r="SWA347" s="444">
        <v>6</v>
      </c>
      <c r="SWB347" s="444" t="s">
        <v>1127</v>
      </c>
      <c r="SWC347" s="444">
        <v>6</v>
      </c>
      <c r="SWD347" s="444" t="s">
        <v>1127</v>
      </c>
      <c r="SWE347" s="444">
        <v>6</v>
      </c>
      <c r="SWF347" s="444" t="s">
        <v>1127</v>
      </c>
      <c r="SWG347" s="444">
        <v>6</v>
      </c>
      <c r="SWH347" s="444" t="s">
        <v>1127</v>
      </c>
      <c r="SWI347" s="444">
        <v>6</v>
      </c>
      <c r="SWJ347" s="444" t="s">
        <v>1127</v>
      </c>
      <c r="SWK347" s="444">
        <v>6</v>
      </c>
      <c r="SWL347" s="444" t="s">
        <v>1127</v>
      </c>
      <c r="SWM347" s="444">
        <v>6</v>
      </c>
      <c r="SWN347" s="444" t="s">
        <v>1127</v>
      </c>
      <c r="SWO347" s="444">
        <v>6</v>
      </c>
      <c r="SWP347" s="444" t="s">
        <v>1127</v>
      </c>
      <c r="SWQ347" s="444">
        <v>6</v>
      </c>
      <c r="SWR347" s="444" t="s">
        <v>1127</v>
      </c>
      <c r="SWS347" s="444">
        <v>6</v>
      </c>
      <c r="SWT347" s="444" t="s">
        <v>1127</v>
      </c>
      <c r="SWU347" s="444">
        <v>6</v>
      </c>
      <c r="SWV347" s="444" t="s">
        <v>1127</v>
      </c>
      <c r="SWW347" s="444">
        <v>6</v>
      </c>
      <c r="SWX347" s="444" t="s">
        <v>1127</v>
      </c>
      <c r="SWY347" s="444">
        <v>6</v>
      </c>
      <c r="SWZ347" s="444" t="s">
        <v>1127</v>
      </c>
      <c r="SXA347" s="444">
        <v>6</v>
      </c>
      <c r="SXB347" s="444" t="s">
        <v>1127</v>
      </c>
      <c r="SXC347" s="444">
        <v>6</v>
      </c>
      <c r="SXD347" s="444" t="s">
        <v>1127</v>
      </c>
      <c r="SXE347" s="444">
        <v>6</v>
      </c>
      <c r="SXF347" s="444" t="s">
        <v>1127</v>
      </c>
      <c r="SXG347" s="444">
        <v>6</v>
      </c>
      <c r="SXH347" s="444" t="s">
        <v>1127</v>
      </c>
      <c r="SXI347" s="444">
        <v>6</v>
      </c>
      <c r="SXJ347" s="444" t="s">
        <v>1127</v>
      </c>
      <c r="SXK347" s="444">
        <v>6</v>
      </c>
      <c r="SXL347" s="444" t="s">
        <v>1127</v>
      </c>
      <c r="SXM347" s="444">
        <v>6</v>
      </c>
      <c r="SXN347" s="444" t="s">
        <v>1127</v>
      </c>
      <c r="SXO347" s="444">
        <v>6</v>
      </c>
      <c r="SXP347" s="444" t="s">
        <v>1127</v>
      </c>
      <c r="SXQ347" s="444">
        <v>6</v>
      </c>
      <c r="SXR347" s="444" t="s">
        <v>1127</v>
      </c>
      <c r="SXS347" s="444">
        <v>6</v>
      </c>
      <c r="SXT347" s="444" t="s">
        <v>1127</v>
      </c>
      <c r="SXU347" s="444">
        <v>6</v>
      </c>
      <c r="SXV347" s="444" t="s">
        <v>1127</v>
      </c>
      <c r="SXW347" s="444">
        <v>6</v>
      </c>
      <c r="SXX347" s="444" t="s">
        <v>1127</v>
      </c>
      <c r="SXY347" s="444">
        <v>6</v>
      </c>
      <c r="SXZ347" s="444" t="s">
        <v>1127</v>
      </c>
      <c r="SYA347" s="444">
        <v>6</v>
      </c>
      <c r="SYB347" s="444" t="s">
        <v>1127</v>
      </c>
      <c r="SYC347" s="444">
        <v>6</v>
      </c>
      <c r="SYD347" s="444" t="s">
        <v>1127</v>
      </c>
      <c r="SYE347" s="444">
        <v>6</v>
      </c>
      <c r="SYF347" s="444" t="s">
        <v>1127</v>
      </c>
      <c r="SYG347" s="444">
        <v>6</v>
      </c>
      <c r="SYH347" s="444" t="s">
        <v>1127</v>
      </c>
      <c r="SYI347" s="444">
        <v>6</v>
      </c>
      <c r="SYJ347" s="444" t="s">
        <v>1127</v>
      </c>
      <c r="SYK347" s="444">
        <v>6</v>
      </c>
      <c r="SYL347" s="444" t="s">
        <v>1127</v>
      </c>
      <c r="SYM347" s="444">
        <v>6</v>
      </c>
      <c r="SYN347" s="444" t="s">
        <v>1127</v>
      </c>
      <c r="SYO347" s="444">
        <v>6</v>
      </c>
      <c r="SYP347" s="444" t="s">
        <v>1127</v>
      </c>
      <c r="SYQ347" s="444">
        <v>6</v>
      </c>
      <c r="SYR347" s="444" t="s">
        <v>1127</v>
      </c>
      <c r="SYS347" s="444">
        <v>6</v>
      </c>
      <c r="SYT347" s="444" t="s">
        <v>1127</v>
      </c>
      <c r="SYU347" s="444">
        <v>6</v>
      </c>
      <c r="SYV347" s="444" t="s">
        <v>1127</v>
      </c>
      <c r="SYW347" s="444">
        <v>6</v>
      </c>
      <c r="SYX347" s="444" t="s">
        <v>1127</v>
      </c>
      <c r="SYY347" s="444">
        <v>6</v>
      </c>
      <c r="SYZ347" s="444" t="s">
        <v>1127</v>
      </c>
      <c r="SZA347" s="444">
        <v>6</v>
      </c>
      <c r="SZB347" s="444" t="s">
        <v>1127</v>
      </c>
      <c r="SZC347" s="444">
        <v>6</v>
      </c>
      <c r="SZD347" s="444" t="s">
        <v>1127</v>
      </c>
      <c r="SZE347" s="444">
        <v>6</v>
      </c>
      <c r="SZF347" s="444" t="s">
        <v>1127</v>
      </c>
      <c r="SZG347" s="444">
        <v>6</v>
      </c>
      <c r="SZH347" s="444" t="s">
        <v>1127</v>
      </c>
      <c r="SZI347" s="444">
        <v>6</v>
      </c>
      <c r="SZJ347" s="444" t="s">
        <v>1127</v>
      </c>
      <c r="SZK347" s="444">
        <v>6</v>
      </c>
      <c r="SZL347" s="444" t="s">
        <v>1127</v>
      </c>
      <c r="SZM347" s="444">
        <v>6</v>
      </c>
      <c r="SZN347" s="444" t="s">
        <v>1127</v>
      </c>
      <c r="SZO347" s="444">
        <v>6</v>
      </c>
      <c r="SZP347" s="444" t="s">
        <v>1127</v>
      </c>
      <c r="SZQ347" s="444">
        <v>6</v>
      </c>
      <c r="SZR347" s="444" t="s">
        <v>1127</v>
      </c>
      <c r="SZS347" s="444">
        <v>6</v>
      </c>
      <c r="SZT347" s="444" t="s">
        <v>1127</v>
      </c>
      <c r="SZU347" s="444">
        <v>6</v>
      </c>
      <c r="SZV347" s="444" t="s">
        <v>1127</v>
      </c>
      <c r="SZW347" s="444">
        <v>6</v>
      </c>
      <c r="SZX347" s="444" t="s">
        <v>1127</v>
      </c>
      <c r="SZY347" s="444">
        <v>6</v>
      </c>
      <c r="SZZ347" s="444" t="s">
        <v>1127</v>
      </c>
      <c r="TAA347" s="444">
        <v>6</v>
      </c>
      <c r="TAB347" s="444" t="s">
        <v>1127</v>
      </c>
      <c r="TAC347" s="444">
        <v>6</v>
      </c>
      <c r="TAD347" s="444" t="s">
        <v>1127</v>
      </c>
      <c r="TAE347" s="444">
        <v>6</v>
      </c>
      <c r="TAF347" s="444" t="s">
        <v>1127</v>
      </c>
      <c r="TAG347" s="444">
        <v>6</v>
      </c>
      <c r="TAH347" s="444" t="s">
        <v>1127</v>
      </c>
      <c r="TAI347" s="444">
        <v>6</v>
      </c>
      <c r="TAJ347" s="444" t="s">
        <v>1127</v>
      </c>
      <c r="TAK347" s="444">
        <v>6</v>
      </c>
      <c r="TAL347" s="444" t="s">
        <v>1127</v>
      </c>
      <c r="TAM347" s="444">
        <v>6</v>
      </c>
      <c r="TAN347" s="444" t="s">
        <v>1127</v>
      </c>
      <c r="TAO347" s="444">
        <v>6</v>
      </c>
      <c r="TAP347" s="444" t="s">
        <v>1127</v>
      </c>
      <c r="TAQ347" s="444">
        <v>6</v>
      </c>
      <c r="TAR347" s="444" t="s">
        <v>1127</v>
      </c>
      <c r="TAS347" s="444">
        <v>6</v>
      </c>
      <c r="TAT347" s="444" t="s">
        <v>1127</v>
      </c>
      <c r="TAU347" s="444">
        <v>6</v>
      </c>
      <c r="TAV347" s="444" t="s">
        <v>1127</v>
      </c>
      <c r="TAW347" s="444">
        <v>6</v>
      </c>
      <c r="TAX347" s="444" t="s">
        <v>1127</v>
      </c>
      <c r="TAY347" s="444">
        <v>6</v>
      </c>
      <c r="TAZ347" s="444" t="s">
        <v>1127</v>
      </c>
      <c r="TBA347" s="444">
        <v>6</v>
      </c>
      <c r="TBB347" s="444" t="s">
        <v>1127</v>
      </c>
      <c r="TBC347" s="444">
        <v>6</v>
      </c>
      <c r="TBD347" s="444" t="s">
        <v>1127</v>
      </c>
      <c r="TBE347" s="444">
        <v>6</v>
      </c>
      <c r="TBF347" s="444" t="s">
        <v>1127</v>
      </c>
      <c r="TBG347" s="444">
        <v>6</v>
      </c>
      <c r="TBH347" s="444" t="s">
        <v>1127</v>
      </c>
      <c r="TBI347" s="444">
        <v>6</v>
      </c>
      <c r="TBJ347" s="444" t="s">
        <v>1127</v>
      </c>
      <c r="TBK347" s="444">
        <v>6</v>
      </c>
      <c r="TBL347" s="444" t="s">
        <v>1127</v>
      </c>
      <c r="TBM347" s="444">
        <v>6</v>
      </c>
      <c r="TBN347" s="444" t="s">
        <v>1127</v>
      </c>
      <c r="TBO347" s="444">
        <v>6</v>
      </c>
      <c r="TBP347" s="444" t="s">
        <v>1127</v>
      </c>
      <c r="TBQ347" s="444">
        <v>6</v>
      </c>
      <c r="TBR347" s="444" t="s">
        <v>1127</v>
      </c>
      <c r="TBS347" s="444">
        <v>6</v>
      </c>
      <c r="TBT347" s="444" t="s">
        <v>1127</v>
      </c>
      <c r="TBU347" s="444">
        <v>6</v>
      </c>
      <c r="TBV347" s="444" t="s">
        <v>1127</v>
      </c>
      <c r="TBW347" s="444">
        <v>6</v>
      </c>
      <c r="TBX347" s="444" t="s">
        <v>1127</v>
      </c>
      <c r="TBY347" s="444">
        <v>6</v>
      </c>
      <c r="TBZ347" s="444" t="s">
        <v>1127</v>
      </c>
      <c r="TCA347" s="444">
        <v>6</v>
      </c>
      <c r="TCB347" s="444" t="s">
        <v>1127</v>
      </c>
      <c r="TCC347" s="444">
        <v>6</v>
      </c>
      <c r="TCD347" s="444" t="s">
        <v>1127</v>
      </c>
      <c r="TCE347" s="444">
        <v>6</v>
      </c>
      <c r="TCF347" s="444" t="s">
        <v>1127</v>
      </c>
      <c r="TCG347" s="444">
        <v>6</v>
      </c>
      <c r="TCH347" s="444" t="s">
        <v>1127</v>
      </c>
      <c r="TCI347" s="444">
        <v>6</v>
      </c>
      <c r="TCJ347" s="444" t="s">
        <v>1127</v>
      </c>
      <c r="TCK347" s="444">
        <v>6</v>
      </c>
      <c r="TCL347" s="444" t="s">
        <v>1127</v>
      </c>
      <c r="TCM347" s="444">
        <v>6</v>
      </c>
      <c r="TCN347" s="444" t="s">
        <v>1127</v>
      </c>
      <c r="TCO347" s="444">
        <v>6</v>
      </c>
      <c r="TCP347" s="444" t="s">
        <v>1127</v>
      </c>
      <c r="TCQ347" s="444">
        <v>6</v>
      </c>
      <c r="TCR347" s="444" t="s">
        <v>1127</v>
      </c>
      <c r="TCS347" s="444">
        <v>6</v>
      </c>
      <c r="TCT347" s="444" t="s">
        <v>1127</v>
      </c>
      <c r="TCU347" s="444">
        <v>6</v>
      </c>
      <c r="TCV347" s="444" t="s">
        <v>1127</v>
      </c>
      <c r="TCW347" s="444">
        <v>6</v>
      </c>
      <c r="TCX347" s="444" t="s">
        <v>1127</v>
      </c>
      <c r="TCY347" s="444">
        <v>6</v>
      </c>
      <c r="TCZ347" s="444" t="s">
        <v>1127</v>
      </c>
      <c r="TDA347" s="444">
        <v>6</v>
      </c>
      <c r="TDB347" s="444" t="s">
        <v>1127</v>
      </c>
      <c r="TDC347" s="444">
        <v>6</v>
      </c>
      <c r="TDD347" s="444" t="s">
        <v>1127</v>
      </c>
      <c r="TDE347" s="444">
        <v>6</v>
      </c>
      <c r="TDF347" s="444" t="s">
        <v>1127</v>
      </c>
      <c r="TDG347" s="444">
        <v>6</v>
      </c>
      <c r="TDH347" s="444" t="s">
        <v>1127</v>
      </c>
      <c r="TDI347" s="444">
        <v>6</v>
      </c>
      <c r="TDJ347" s="444" t="s">
        <v>1127</v>
      </c>
      <c r="TDK347" s="444">
        <v>6</v>
      </c>
      <c r="TDL347" s="444" t="s">
        <v>1127</v>
      </c>
      <c r="TDM347" s="444">
        <v>6</v>
      </c>
      <c r="TDN347" s="444" t="s">
        <v>1127</v>
      </c>
      <c r="TDO347" s="444">
        <v>6</v>
      </c>
      <c r="TDP347" s="444" t="s">
        <v>1127</v>
      </c>
      <c r="TDQ347" s="444">
        <v>6</v>
      </c>
      <c r="TDR347" s="444" t="s">
        <v>1127</v>
      </c>
      <c r="TDS347" s="444">
        <v>6</v>
      </c>
      <c r="TDT347" s="444" t="s">
        <v>1127</v>
      </c>
      <c r="TDU347" s="444">
        <v>6</v>
      </c>
      <c r="TDV347" s="444" t="s">
        <v>1127</v>
      </c>
      <c r="TDW347" s="444">
        <v>6</v>
      </c>
      <c r="TDX347" s="444" t="s">
        <v>1127</v>
      </c>
      <c r="TDY347" s="444">
        <v>6</v>
      </c>
      <c r="TDZ347" s="444" t="s">
        <v>1127</v>
      </c>
      <c r="TEA347" s="444">
        <v>6</v>
      </c>
      <c r="TEB347" s="444" t="s">
        <v>1127</v>
      </c>
      <c r="TEC347" s="444">
        <v>6</v>
      </c>
      <c r="TED347" s="444" t="s">
        <v>1127</v>
      </c>
      <c r="TEE347" s="444">
        <v>6</v>
      </c>
      <c r="TEF347" s="444" t="s">
        <v>1127</v>
      </c>
      <c r="TEG347" s="444">
        <v>6</v>
      </c>
      <c r="TEH347" s="444" t="s">
        <v>1127</v>
      </c>
      <c r="TEI347" s="444">
        <v>6</v>
      </c>
      <c r="TEJ347" s="444" t="s">
        <v>1127</v>
      </c>
      <c r="TEK347" s="444">
        <v>6</v>
      </c>
      <c r="TEL347" s="444" t="s">
        <v>1127</v>
      </c>
      <c r="TEM347" s="444">
        <v>6</v>
      </c>
      <c r="TEN347" s="444" t="s">
        <v>1127</v>
      </c>
      <c r="TEO347" s="444">
        <v>6</v>
      </c>
      <c r="TEP347" s="444" t="s">
        <v>1127</v>
      </c>
      <c r="TEQ347" s="444">
        <v>6</v>
      </c>
      <c r="TER347" s="444" t="s">
        <v>1127</v>
      </c>
      <c r="TES347" s="444">
        <v>6</v>
      </c>
      <c r="TET347" s="444" t="s">
        <v>1127</v>
      </c>
      <c r="TEU347" s="444">
        <v>6</v>
      </c>
      <c r="TEV347" s="444" t="s">
        <v>1127</v>
      </c>
      <c r="TEW347" s="444">
        <v>6</v>
      </c>
      <c r="TEX347" s="444" t="s">
        <v>1127</v>
      </c>
      <c r="TEY347" s="444">
        <v>6</v>
      </c>
      <c r="TEZ347" s="444" t="s">
        <v>1127</v>
      </c>
      <c r="TFA347" s="444">
        <v>6</v>
      </c>
      <c r="TFB347" s="444" t="s">
        <v>1127</v>
      </c>
      <c r="TFC347" s="444">
        <v>6</v>
      </c>
      <c r="TFD347" s="444" t="s">
        <v>1127</v>
      </c>
      <c r="TFE347" s="444">
        <v>6</v>
      </c>
      <c r="TFF347" s="444" t="s">
        <v>1127</v>
      </c>
      <c r="TFG347" s="444">
        <v>6</v>
      </c>
      <c r="TFH347" s="444" t="s">
        <v>1127</v>
      </c>
      <c r="TFI347" s="444">
        <v>6</v>
      </c>
      <c r="TFJ347" s="444" t="s">
        <v>1127</v>
      </c>
      <c r="TFK347" s="444">
        <v>6</v>
      </c>
      <c r="TFL347" s="444" t="s">
        <v>1127</v>
      </c>
      <c r="TFM347" s="444">
        <v>6</v>
      </c>
      <c r="TFN347" s="444" t="s">
        <v>1127</v>
      </c>
      <c r="TFO347" s="444">
        <v>6</v>
      </c>
      <c r="TFP347" s="444" t="s">
        <v>1127</v>
      </c>
      <c r="TFQ347" s="444">
        <v>6</v>
      </c>
      <c r="TFR347" s="444" t="s">
        <v>1127</v>
      </c>
      <c r="TFS347" s="444">
        <v>6</v>
      </c>
      <c r="TFT347" s="444" t="s">
        <v>1127</v>
      </c>
      <c r="TFU347" s="444">
        <v>6</v>
      </c>
      <c r="TFV347" s="444" t="s">
        <v>1127</v>
      </c>
      <c r="TFW347" s="444">
        <v>6</v>
      </c>
      <c r="TFX347" s="444" t="s">
        <v>1127</v>
      </c>
      <c r="TFY347" s="444">
        <v>6</v>
      </c>
      <c r="TFZ347" s="444" t="s">
        <v>1127</v>
      </c>
      <c r="TGA347" s="444">
        <v>6</v>
      </c>
      <c r="TGB347" s="444" t="s">
        <v>1127</v>
      </c>
      <c r="TGC347" s="444">
        <v>6</v>
      </c>
      <c r="TGD347" s="444" t="s">
        <v>1127</v>
      </c>
      <c r="TGE347" s="444">
        <v>6</v>
      </c>
      <c r="TGF347" s="444" t="s">
        <v>1127</v>
      </c>
      <c r="TGG347" s="444">
        <v>6</v>
      </c>
      <c r="TGH347" s="444" t="s">
        <v>1127</v>
      </c>
      <c r="TGI347" s="444">
        <v>6</v>
      </c>
      <c r="TGJ347" s="444" t="s">
        <v>1127</v>
      </c>
      <c r="TGK347" s="444">
        <v>6</v>
      </c>
      <c r="TGL347" s="444" t="s">
        <v>1127</v>
      </c>
      <c r="TGM347" s="444">
        <v>6</v>
      </c>
      <c r="TGN347" s="444" t="s">
        <v>1127</v>
      </c>
      <c r="TGO347" s="444">
        <v>6</v>
      </c>
      <c r="TGP347" s="444" t="s">
        <v>1127</v>
      </c>
      <c r="TGQ347" s="444">
        <v>6</v>
      </c>
      <c r="TGR347" s="444" t="s">
        <v>1127</v>
      </c>
      <c r="TGS347" s="444">
        <v>6</v>
      </c>
      <c r="TGT347" s="444" t="s">
        <v>1127</v>
      </c>
      <c r="TGU347" s="444">
        <v>6</v>
      </c>
      <c r="TGV347" s="444" t="s">
        <v>1127</v>
      </c>
      <c r="TGW347" s="444">
        <v>6</v>
      </c>
      <c r="TGX347" s="444" t="s">
        <v>1127</v>
      </c>
      <c r="TGY347" s="444">
        <v>6</v>
      </c>
      <c r="TGZ347" s="444" t="s">
        <v>1127</v>
      </c>
      <c r="THA347" s="444">
        <v>6</v>
      </c>
      <c r="THB347" s="444" t="s">
        <v>1127</v>
      </c>
      <c r="THC347" s="444">
        <v>6</v>
      </c>
      <c r="THD347" s="444" t="s">
        <v>1127</v>
      </c>
      <c r="THE347" s="444">
        <v>6</v>
      </c>
      <c r="THF347" s="444" t="s">
        <v>1127</v>
      </c>
      <c r="THG347" s="444">
        <v>6</v>
      </c>
      <c r="THH347" s="444" t="s">
        <v>1127</v>
      </c>
      <c r="THI347" s="444">
        <v>6</v>
      </c>
      <c r="THJ347" s="444" t="s">
        <v>1127</v>
      </c>
      <c r="THK347" s="444">
        <v>6</v>
      </c>
      <c r="THL347" s="444" t="s">
        <v>1127</v>
      </c>
      <c r="THM347" s="444">
        <v>6</v>
      </c>
      <c r="THN347" s="444" t="s">
        <v>1127</v>
      </c>
      <c r="THO347" s="444">
        <v>6</v>
      </c>
      <c r="THP347" s="444" t="s">
        <v>1127</v>
      </c>
      <c r="THQ347" s="444">
        <v>6</v>
      </c>
      <c r="THR347" s="444" t="s">
        <v>1127</v>
      </c>
      <c r="THS347" s="444">
        <v>6</v>
      </c>
      <c r="THT347" s="444" t="s">
        <v>1127</v>
      </c>
      <c r="THU347" s="444">
        <v>6</v>
      </c>
      <c r="THV347" s="444" t="s">
        <v>1127</v>
      </c>
      <c r="THW347" s="444">
        <v>6</v>
      </c>
      <c r="THX347" s="444" t="s">
        <v>1127</v>
      </c>
      <c r="THY347" s="444">
        <v>6</v>
      </c>
      <c r="THZ347" s="444" t="s">
        <v>1127</v>
      </c>
      <c r="TIA347" s="444">
        <v>6</v>
      </c>
      <c r="TIB347" s="444" t="s">
        <v>1127</v>
      </c>
      <c r="TIC347" s="444">
        <v>6</v>
      </c>
      <c r="TID347" s="444" t="s">
        <v>1127</v>
      </c>
      <c r="TIE347" s="444">
        <v>6</v>
      </c>
      <c r="TIF347" s="444" t="s">
        <v>1127</v>
      </c>
      <c r="TIG347" s="444">
        <v>6</v>
      </c>
      <c r="TIH347" s="444" t="s">
        <v>1127</v>
      </c>
      <c r="TII347" s="444">
        <v>6</v>
      </c>
      <c r="TIJ347" s="444" t="s">
        <v>1127</v>
      </c>
      <c r="TIK347" s="444">
        <v>6</v>
      </c>
      <c r="TIL347" s="444" t="s">
        <v>1127</v>
      </c>
      <c r="TIM347" s="444">
        <v>6</v>
      </c>
      <c r="TIN347" s="444" t="s">
        <v>1127</v>
      </c>
      <c r="TIO347" s="444">
        <v>6</v>
      </c>
      <c r="TIP347" s="444" t="s">
        <v>1127</v>
      </c>
      <c r="TIQ347" s="444">
        <v>6</v>
      </c>
      <c r="TIR347" s="444" t="s">
        <v>1127</v>
      </c>
      <c r="TIS347" s="444">
        <v>6</v>
      </c>
      <c r="TIT347" s="444" t="s">
        <v>1127</v>
      </c>
      <c r="TIU347" s="444">
        <v>6</v>
      </c>
      <c r="TIV347" s="444" t="s">
        <v>1127</v>
      </c>
      <c r="TIW347" s="444">
        <v>6</v>
      </c>
      <c r="TIX347" s="444" t="s">
        <v>1127</v>
      </c>
      <c r="TIY347" s="444">
        <v>6</v>
      </c>
      <c r="TIZ347" s="444" t="s">
        <v>1127</v>
      </c>
      <c r="TJA347" s="444">
        <v>6</v>
      </c>
      <c r="TJB347" s="444" t="s">
        <v>1127</v>
      </c>
      <c r="TJC347" s="444">
        <v>6</v>
      </c>
      <c r="TJD347" s="444" t="s">
        <v>1127</v>
      </c>
      <c r="TJE347" s="444">
        <v>6</v>
      </c>
      <c r="TJF347" s="444" t="s">
        <v>1127</v>
      </c>
      <c r="TJG347" s="444">
        <v>6</v>
      </c>
      <c r="TJH347" s="444" t="s">
        <v>1127</v>
      </c>
      <c r="TJI347" s="444">
        <v>6</v>
      </c>
      <c r="TJJ347" s="444" t="s">
        <v>1127</v>
      </c>
      <c r="TJK347" s="444">
        <v>6</v>
      </c>
      <c r="TJL347" s="444" t="s">
        <v>1127</v>
      </c>
      <c r="TJM347" s="444">
        <v>6</v>
      </c>
      <c r="TJN347" s="444" t="s">
        <v>1127</v>
      </c>
      <c r="TJO347" s="444">
        <v>6</v>
      </c>
      <c r="TJP347" s="444" t="s">
        <v>1127</v>
      </c>
      <c r="TJQ347" s="444">
        <v>6</v>
      </c>
      <c r="TJR347" s="444" t="s">
        <v>1127</v>
      </c>
      <c r="TJS347" s="444">
        <v>6</v>
      </c>
      <c r="TJT347" s="444" t="s">
        <v>1127</v>
      </c>
      <c r="TJU347" s="444">
        <v>6</v>
      </c>
      <c r="TJV347" s="444" t="s">
        <v>1127</v>
      </c>
      <c r="TJW347" s="444">
        <v>6</v>
      </c>
      <c r="TJX347" s="444" t="s">
        <v>1127</v>
      </c>
      <c r="TJY347" s="444">
        <v>6</v>
      </c>
      <c r="TJZ347" s="444" t="s">
        <v>1127</v>
      </c>
      <c r="TKA347" s="444">
        <v>6</v>
      </c>
      <c r="TKB347" s="444" t="s">
        <v>1127</v>
      </c>
      <c r="TKC347" s="444">
        <v>6</v>
      </c>
      <c r="TKD347" s="444" t="s">
        <v>1127</v>
      </c>
      <c r="TKE347" s="444">
        <v>6</v>
      </c>
      <c r="TKF347" s="444" t="s">
        <v>1127</v>
      </c>
      <c r="TKG347" s="444">
        <v>6</v>
      </c>
      <c r="TKH347" s="444" t="s">
        <v>1127</v>
      </c>
      <c r="TKI347" s="444">
        <v>6</v>
      </c>
      <c r="TKJ347" s="444" t="s">
        <v>1127</v>
      </c>
      <c r="TKK347" s="444">
        <v>6</v>
      </c>
      <c r="TKL347" s="444" t="s">
        <v>1127</v>
      </c>
      <c r="TKM347" s="444">
        <v>6</v>
      </c>
      <c r="TKN347" s="444" t="s">
        <v>1127</v>
      </c>
      <c r="TKO347" s="444">
        <v>6</v>
      </c>
      <c r="TKP347" s="444" t="s">
        <v>1127</v>
      </c>
      <c r="TKQ347" s="444">
        <v>6</v>
      </c>
      <c r="TKR347" s="444" t="s">
        <v>1127</v>
      </c>
      <c r="TKS347" s="444">
        <v>6</v>
      </c>
      <c r="TKT347" s="444" t="s">
        <v>1127</v>
      </c>
      <c r="TKU347" s="444">
        <v>6</v>
      </c>
      <c r="TKV347" s="444" t="s">
        <v>1127</v>
      </c>
      <c r="TKW347" s="444">
        <v>6</v>
      </c>
      <c r="TKX347" s="444" t="s">
        <v>1127</v>
      </c>
      <c r="TKY347" s="444">
        <v>6</v>
      </c>
      <c r="TKZ347" s="444" t="s">
        <v>1127</v>
      </c>
      <c r="TLA347" s="444">
        <v>6</v>
      </c>
      <c r="TLB347" s="444" t="s">
        <v>1127</v>
      </c>
      <c r="TLC347" s="444">
        <v>6</v>
      </c>
      <c r="TLD347" s="444" t="s">
        <v>1127</v>
      </c>
      <c r="TLE347" s="444">
        <v>6</v>
      </c>
      <c r="TLF347" s="444" t="s">
        <v>1127</v>
      </c>
      <c r="TLG347" s="444">
        <v>6</v>
      </c>
      <c r="TLH347" s="444" t="s">
        <v>1127</v>
      </c>
      <c r="TLI347" s="444">
        <v>6</v>
      </c>
      <c r="TLJ347" s="444" t="s">
        <v>1127</v>
      </c>
      <c r="TLK347" s="444">
        <v>6</v>
      </c>
      <c r="TLL347" s="444" t="s">
        <v>1127</v>
      </c>
      <c r="TLM347" s="444">
        <v>6</v>
      </c>
      <c r="TLN347" s="444" t="s">
        <v>1127</v>
      </c>
      <c r="TLO347" s="444">
        <v>6</v>
      </c>
      <c r="TLP347" s="444" t="s">
        <v>1127</v>
      </c>
      <c r="TLQ347" s="444">
        <v>6</v>
      </c>
      <c r="TLR347" s="444" t="s">
        <v>1127</v>
      </c>
      <c r="TLS347" s="444">
        <v>6</v>
      </c>
      <c r="TLT347" s="444" t="s">
        <v>1127</v>
      </c>
      <c r="TLU347" s="444">
        <v>6</v>
      </c>
      <c r="TLV347" s="444" t="s">
        <v>1127</v>
      </c>
      <c r="TLW347" s="444">
        <v>6</v>
      </c>
      <c r="TLX347" s="444" t="s">
        <v>1127</v>
      </c>
      <c r="TLY347" s="444">
        <v>6</v>
      </c>
      <c r="TLZ347" s="444" t="s">
        <v>1127</v>
      </c>
      <c r="TMA347" s="444">
        <v>6</v>
      </c>
      <c r="TMB347" s="444" t="s">
        <v>1127</v>
      </c>
      <c r="TMC347" s="444">
        <v>6</v>
      </c>
      <c r="TMD347" s="444" t="s">
        <v>1127</v>
      </c>
      <c r="TME347" s="444">
        <v>6</v>
      </c>
      <c r="TMF347" s="444" t="s">
        <v>1127</v>
      </c>
      <c r="TMG347" s="444">
        <v>6</v>
      </c>
      <c r="TMH347" s="444" t="s">
        <v>1127</v>
      </c>
      <c r="TMI347" s="444">
        <v>6</v>
      </c>
      <c r="TMJ347" s="444" t="s">
        <v>1127</v>
      </c>
      <c r="TMK347" s="444">
        <v>6</v>
      </c>
      <c r="TML347" s="444" t="s">
        <v>1127</v>
      </c>
      <c r="TMM347" s="444">
        <v>6</v>
      </c>
      <c r="TMN347" s="444" t="s">
        <v>1127</v>
      </c>
      <c r="TMO347" s="444">
        <v>6</v>
      </c>
      <c r="TMP347" s="444" t="s">
        <v>1127</v>
      </c>
      <c r="TMQ347" s="444">
        <v>6</v>
      </c>
      <c r="TMR347" s="444" t="s">
        <v>1127</v>
      </c>
      <c r="TMS347" s="444">
        <v>6</v>
      </c>
      <c r="TMT347" s="444" t="s">
        <v>1127</v>
      </c>
      <c r="TMU347" s="444">
        <v>6</v>
      </c>
      <c r="TMV347" s="444" t="s">
        <v>1127</v>
      </c>
      <c r="TMW347" s="444">
        <v>6</v>
      </c>
      <c r="TMX347" s="444" t="s">
        <v>1127</v>
      </c>
      <c r="TMY347" s="444">
        <v>6</v>
      </c>
      <c r="TMZ347" s="444" t="s">
        <v>1127</v>
      </c>
      <c r="TNA347" s="444">
        <v>6</v>
      </c>
      <c r="TNB347" s="444" t="s">
        <v>1127</v>
      </c>
      <c r="TNC347" s="444">
        <v>6</v>
      </c>
      <c r="TND347" s="444" t="s">
        <v>1127</v>
      </c>
      <c r="TNE347" s="444">
        <v>6</v>
      </c>
      <c r="TNF347" s="444" t="s">
        <v>1127</v>
      </c>
      <c r="TNG347" s="444">
        <v>6</v>
      </c>
      <c r="TNH347" s="444" t="s">
        <v>1127</v>
      </c>
      <c r="TNI347" s="444">
        <v>6</v>
      </c>
      <c r="TNJ347" s="444" t="s">
        <v>1127</v>
      </c>
      <c r="TNK347" s="444">
        <v>6</v>
      </c>
      <c r="TNL347" s="444" t="s">
        <v>1127</v>
      </c>
      <c r="TNM347" s="444">
        <v>6</v>
      </c>
      <c r="TNN347" s="444" t="s">
        <v>1127</v>
      </c>
      <c r="TNO347" s="444">
        <v>6</v>
      </c>
      <c r="TNP347" s="444" t="s">
        <v>1127</v>
      </c>
      <c r="TNQ347" s="444">
        <v>6</v>
      </c>
      <c r="TNR347" s="444" t="s">
        <v>1127</v>
      </c>
      <c r="TNS347" s="444">
        <v>6</v>
      </c>
      <c r="TNT347" s="444" t="s">
        <v>1127</v>
      </c>
      <c r="TNU347" s="444">
        <v>6</v>
      </c>
      <c r="TNV347" s="444" t="s">
        <v>1127</v>
      </c>
      <c r="TNW347" s="444">
        <v>6</v>
      </c>
      <c r="TNX347" s="444" t="s">
        <v>1127</v>
      </c>
      <c r="TNY347" s="444">
        <v>6</v>
      </c>
      <c r="TNZ347" s="444" t="s">
        <v>1127</v>
      </c>
      <c r="TOA347" s="444">
        <v>6</v>
      </c>
      <c r="TOB347" s="444" t="s">
        <v>1127</v>
      </c>
      <c r="TOC347" s="444">
        <v>6</v>
      </c>
      <c r="TOD347" s="444" t="s">
        <v>1127</v>
      </c>
      <c r="TOE347" s="444">
        <v>6</v>
      </c>
      <c r="TOF347" s="444" t="s">
        <v>1127</v>
      </c>
      <c r="TOG347" s="444">
        <v>6</v>
      </c>
      <c r="TOH347" s="444" t="s">
        <v>1127</v>
      </c>
      <c r="TOI347" s="444">
        <v>6</v>
      </c>
      <c r="TOJ347" s="444" t="s">
        <v>1127</v>
      </c>
      <c r="TOK347" s="444">
        <v>6</v>
      </c>
      <c r="TOL347" s="444" t="s">
        <v>1127</v>
      </c>
      <c r="TOM347" s="444">
        <v>6</v>
      </c>
      <c r="TON347" s="444" t="s">
        <v>1127</v>
      </c>
      <c r="TOO347" s="444">
        <v>6</v>
      </c>
      <c r="TOP347" s="444" t="s">
        <v>1127</v>
      </c>
      <c r="TOQ347" s="444">
        <v>6</v>
      </c>
      <c r="TOR347" s="444" t="s">
        <v>1127</v>
      </c>
      <c r="TOS347" s="444">
        <v>6</v>
      </c>
      <c r="TOT347" s="444" t="s">
        <v>1127</v>
      </c>
      <c r="TOU347" s="444">
        <v>6</v>
      </c>
      <c r="TOV347" s="444" t="s">
        <v>1127</v>
      </c>
      <c r="TOW347" s="444">
        <v>6</v>
      </c>
      <c r="TOX347" s="444" t="s">
        <v>1127</v>
      </c>
      <c r="TOY347" s="444">
        <v>6</v>
      </c>
      <c r="TOZ347" s="444" t="s">
        <v>1127</v>
      </c>
      <c r="TPA347" s="444">
        <v>6</v>
      </c>
      <c r="TPB347" s="444" t="s">
        <v>1127</v>
      </c>
      <c r="TPC347" s="444">
        <v>6</v>
      </c>
      <c r="TPD347" s="444" t="s">
        <v>1127</v>
      </c>
      <c r="TPE347" s="444">
        <v>6</v>
      </c>
      <c r="TPF347" s="444" t="s">
        <v>1127</v>
      </c>
      <c r="TPG347" s="444">
        <v>6</v>
      </c>
      <c r="TPH347" s="444" t="s">
        <v>1127</v>
      </c>
      <c r="TPI347" s="444">
        <v>6</v>
      </c>
      <c r="TPJ347" s="444" t="s">
        <v>1127</v>
      </c>
      <c r="TPK347" s="444">
        <v>6</v>
      </c>
      <c r="TPL347" s="444" t="s">
        <v>1127</v>
      </c>
      <c r="TPM347" s="444">
        <v>6</v>
      </c>
      <c r="TPN347" s="444" t="s">
        <v>1127</v>
      </c>
      <c r="TPO347" s="444">
        <v>6</v>
      </c>
      <c r="TPP347" s="444" t="s">
        <v>1127</v>
      </c>
      <c r="TPQ347" s="444">
        <v>6</v>
      </c>
      <c r="TPR347" s="444" t="s">
        <v>1127</v>
      </c>
      <c r="TPS347" s="444">
        <v>6</v>
      </c>
      <c r="TPT347" s="444" t="s">
        <v>1127</v>
      </c>
      <c r="TPU347" s="444">
        <v>6</v>
      </c>
      <c r="TPV347" s="444" t="s">
        <v>1127</v>
      </c>
      <c r="TPW347" s="444">
        <v>6</v>
      </c>
      <c r="TPX347" s="444" t="s">
        <v>1127</v>
      </c>
      <c r="TPY347" s="444">
        <v>6</v>
      </c>
      <c r="TPZ347" s="444" t="s">
        <v>1127</v>
      </c>
      <c r="TQA347" s="444">
        <v>6</v>
      </c>
      <c r="TQB347" s="444" t="s">
        <v>1127</v>
      </c>
      <c r="TQC347" s="444">
        <v>6</v>
      </c>
      <c r="TQD347" s="444" t="s">
        <v>1127</v>
      </c>
      <c r="TQE347" s="444">
        <v>6</v>
      </c>
      <c r="TQF347" s="444" t="s">
        <v>1127</v>
      </c>
      <c r="TQG347" s="444">
        <v>6</v>
      </c>
      <c r="TQH347" s="444" t="s">
        <v>1127</v>
      </c>
      <c r="TQI347" s="444">
        <v>6</v>
      </c>
      <c r="TQJ347" s="444" t="s">
        <v>1127</v>
      </c>
      <c r="TQK347" s="444">
        <v>6</v>
      </c>
      <c r="TQL347" s="444" t="s">
        <v>1127</v>
      </c>
      <c r="TQM347" s="444">
        <v>6</v>
      </c>
      <c r="TQN347" s="444" t="s">
        <v>1127</v>
      </c>
      <c r="TQO347" s="444">
        <v>6</v>
      </c>
      <c r="TQP347" s="444" t="s">
        <v>1127</v>
      </c>
      <c r="TQQ347" s="444">
        <v>6</v>
      </c>
      <c r="TQR347" s="444" t="s">
        <v>1127</v>
      </c>
      <c r="TQS347" s="444">
        <v>6</v>
      </c>
      <c r="TQT347" s="444" t="s">
        <v>1127</v>
      </c>
      <c r="TQU347" s="444">
        <v>6</v>
      </c>
      <c r="TQV347" s="444" t="s">
        <v>1127</v>
      </c>
      <c r="TQW347" s="444">
        <v>6</v>
      </c>
      <c r="TQX347" s="444" t="s">
        <v>1127</v>
      </c>
      <c r="TQY347" s="444">
        <v>6</v>
      </c>
      <c r="TQZ347" s="444" t="s">
        <v>1127</v>
      </c>
      <c r="TRA347" s="444">
        <v>6</v>
      </c>
      <c r="TRB347" s="444" t="s">
        <v>1127</v>
      </c>
      <c r="TRC347" s="444">
        <v>6</v>
      </c>
      <c r="TRD347" s="444" t="s">
        <v>1127</v>
      </c>
      <c r="TRE347" s="444">
        <v>6</v>
      </c>
      <c r="TRF347" s="444" t="s">
        <v>1127</v>
      </c>
      <c r="TRG347" s="444">
        <v>6</v>
      </c>
      <c r="TRH347" s="444" t="s">
        <v>1127</v>
      </c>
      <c r="TRI347" s="444">
        <v>6</v>
      </c>
      <c r="TRJ347" s="444" t="s">
        <v>1127</v>
      </c>
      <c r="TRK347" s="444">
        <v>6</v>
      </c>
      <c r="TRL347" s="444" t="s">
        <v>1127</v>
      </c>
      <c r="TRM347" s="444">
        <v>6</v>
      </c>
      <c r="TRN347" s="444" t="s">
        <v>1127</v>
      </c>
      <c r="TRO347" s="444">
        <v>6</v>
      </c>
      <c r="TRP347" s="444" t="s">
        <v>1127</v>
      </c>
      <c r="TRQ347" s="444">
        <v>6</v>
      </c>
      <c r="TRR347" s="444" t="s">
        <v>1127</v>
      </c>
      <c r="TRS347" s="444">
        <v>6</v>
      </c>
      <c r="TRT347" s="444" t="s">
        <v>1127</v>
      </c>
      <c r="TRU347" s="444">
        <v>6</v>
      </c>
      <c r="TRV347" s="444" t="s">
        <v>1127</v>
      </c>
      <c r="TRW347" s="444">
        <v>6</v>
      </c>
      <c r="TRX347" s="444" t="s">
        <v>1127</v>
      </c>
      <c r="TRY347" s="444">
        <v>6</v>
      </c>
      <c r="TRZ347" s="444" t="s">
        <v>1127</v>
      </c>
      <c r="TSA347" s="444">
        <v>6</v>
      </c>
      <c r="TSB347" s="444" t="s">
        <v>1127</v>
      </c>
      <c r="TSC347" s="444">
        <v>6</v>
      </c>
      <c r="TSD347" s="444" t="s">
        <v>1127</v>
      </c>
      <c r="TSE347" s="444">
        <v>6</v>
      </c>
      <c r="TSF347" s="444" t="s">
        <v>1127</v>
      </c>
      <c r="TSG347" s="444">
        <v>6</v>
      </c>
      <c r="TSH347" s="444" t="s">
        <v>1127</v>
      </c>
      <c r="TSI347" s="444">
        <v>6</v>
      </c>
      <c r="TSJ347" s="444" t="s">
        <v>1127</v>
      </c>
      <c r="TSK347" s="444">
        <v>6</v>
      </c>
      <c r="TSL347" s="444" t="s">
        <v>1127</v>
      </c>
      <c r="TSM347" s="444">
        <v>6</v>
      </c>
      <c r="TSN347" s="444" t="s">
        <v>1127</v>
      </c>
      <c r="TSO347" s="444">
        <v>6</v>
      </c>
      <c r="TSP347" s="444" t="s">
        <v>1127</v>
      </c>
      <c r="TSQ347" s="444">
        <v>6</v>
      </c>
      <c r="TSR347" s="444" t="s">
        <v>1127</v>
      </c>
      <c r="TSS347" s="444">
        <v>6</v>
      </c>
      <c r="TST347" s="444" t="s">
        <v>1127</v>
      </c>
      <c r="TSU347" s="444">
        <v>6</v>
      </c>
      <c r="TSV347" s="444" t="s">
        <v>1127</v>
      </c>
      <c r="TSW347" s="444">
        <v>6</v>
      </c>
      <c r="TSX347" s="444" t="s">
        <v>1127</v>
      </c>
      <c r="TSY347" s="444">
        <v>6</v>
      </c>
      <c r="TSZ347" s="444" t="s">
        <v>1127</v>
      </c>
      <c r="TTA347" s="444">
        <v>6</v>
      </c>
      <c r="TTB347" s="444" t="s">
        <v>1127</v>
      </c>
      <c r="TTC347" s="444">
        <v>6</v>
      </c>
      <c r="TTD347" s="444" t="s">
        <v>1127</v>
      </c>
      <c r="TTE347" s="444">
        <v>6</v>
      </c>
      <c r="TTF347" s="444" t="s">
        <v>1127</v>
      </c>
      <c r="TTG347" s="444">
        <v>6</v>
      </c>
      <c r="TTH347" s="444" t="s">
        <v>1127</v>
      </c>
      <c r="TTI347" s="444">
        <v>6</v>
      </c>
      <c r="TTJ347" s="444" t="s">
        <v>1127</v>
      </c>
      <c r="TTK347" s="444">
        <v>6</v>
      </c>
      <c r="TTL347" s="444" t="s">
        <v>1127</v>
      </c>
      <c r="TTM347" s="444">
        <v>6</v>
      </c>
      <c r="TTN347" s="444" t="s">
        <v>1127</v>
      </c>
      <c r="TTO347" s="444">
        <v>6</v>
      </c>
      <c r="TTP347" s="444" t="s">
        <v>1127</v>
      </c>
      <c r="TTQ347" s="444">
        <v>6</v>
      </c>
      <c r="TTR347" s="444" t="s">
        <v>1127</v>
      </c>
      <c r="TTS347" s="444">
        <v>6</v>
      </c>
      <c r="TTT347" s="444" t="s">
        <v>1127</v>
      </c>
      <c r="TTU347" s="444">
        <v>6</v>
      </c>
      <c r="TTV347" s="444" t="s">
        <v>1127</v>
      </c>
      <c r="TTW347" s="444">
        <v>6</v>
      </c>
      <c r="TTX347" s="444" t="s">
        <v>1127</v>
      </c>
      <c r="TTY347" s="444">
        <v>6</v>
      </c>
      <c r="TTZ347" s="444" t="s">
        <v>1127</v>
      </c>
      <c r="TUA347" s="444">
        <v>6</v>
      </c>
      <c r="TUB347" s="444" t="s">
        <v>1127</v>
      </c>
      <c r="TUC347" s="444">
        <v>6</v>
      </c>
      <c r="TUD347" s="444" t="s">
        <v>1127</v>
      </c>
      <c r="TUE347" s="444">
        <v>6</v>
      </c>
      <c r="TUF347" s="444" t="s">
        <v>1127</v>
      </c>
      <c r="TUG347" s="444">
        <v>6</v>
      </c>
      <c r="TUH347" s="444" t="s">
        <v>1127</v>
      </c>
      <c r="TUI347" s="444">
        <v>6</v>
      </c>
      <c r="TUJ347" s="444" t="s">
        <v>1127</v>
      </c>
      <c r="TUK347" s="444">
        <v>6</v>
      </c>
      <c r="TUL347" s="444" t="s">
        <v>1127</v>
      </c>
      <c r="TUM347" s="444">
        <v>6</v>
      </c>
      <c r="TUN347" s="444" t="s">
        <v>1127</v>
      </c>
      <c r="TUO347" s="444">
        <v>6</v>
      </c>
      <c r="TUP347" s="444" t="s">
        <v>1127</v>
      </c>
      <c r="TUQ347" s="444">
        <v>6</v>
      </c>
      <c r="TUR347" s="444" t="s">
        <v>1127</v>
      </c>
      <c r="TUS347" s="444">
        <v>6</v>
      </c>
      <c r="TUT347" s="444" t="s">
        <v>1127</v>
      </c>
      <c r="TUU347" s="444">
        <v>6</v>
      </c>
      <c r="TUV347" s="444" t="s">
        <v>1127</v>
      </c>
      <c r="TUW347" s="444">
        <v>6</v>
      </c>
      <c r="TUX347" s="444" t="s">
        <v>1127</v>
      </c>
      <c r="TUY347" s="444">
        <v>6</v>
      </c>
      <c r="TUZ347" s="444" t="s">
        <v>1127</v>
      </c>
      <c r="TVA347" s="444">
        <v>6</v>
      </c>
      <c r="TVB347" s="444" t="s">
        <v>1127</v>
      </c>
      <c r="TVC347" s="444">
        <v>6</v>
      </c>
      <c r="TVD347" s="444" t="s">
        <v>1127</v>
      </c>
      <c r="TVE347" s="444">
        <v>6</v>
      </c>
      <c r="TVF347" s="444" t="s">
        <v>1127</v>
      </c>
      <c r="TVG347" s="444">
        <v>6</v>
      </c>
      <c r="TVH347" s="444" t="s">
        <v>1127</v>
      </c>
      <c r="TVI347" s="444">
        <v>6</v>
      </c>
      <c r="TVJ347" s="444" t="s">
        <v>1127</v>
      </c>
      <c r="TVK347" s="444">
        <v>6</v>
      </c>
      <c r="TVL347" s="444" t="s">
        <v>1127</v>
      </c>
      <c r="TVM347" s="444">
        <v>6</v>
      </c>
      <c r="TVN347" s="444" t="s">
        <v>1127</v>
      </c>
      <c r="TVO347" s="444">
        <v>6</v>
      </c>
      <c r="TVP347" s="444" t="s">
        <v>1127</v>
      </c>
      <c r="TVQ347" s="444">
        <v>6</v>
      </c>
      <c r="TVR347" s="444" t="s">
        <v>1127</v>
      </c>
      <c r="TVS347" s="444">
        <v>6</v>
      </c>
      <c r="TVT347" s="444" t="s">
        <v>1127</v>
      </c>
      <c r="TVU347" s="444">
        <v>6</v>
      </c>
      <c r="TVV347" s="444" t="s">
        <v>1127</v>
      </c>
      <c r="TVW347" s="444">
        <v>6</v>
      </c>
      <c r="TVX347" s="444" t="s">
        <v>1127</v>
      </c>
      <c r="TVY347" s="444">
        <v>6</v>
      </c>
      <c r="TVZ347" s="444" t="s">
        <v>1127</v>
      </c>
      <c r="TWA347" s="444">
        <v>6</v>
      </c>
      <c r="TWB347" s="444" t="s">
        <v>1127</v>
      </c>
      <c r="TWC347" s="444">
        <v>6</v>
      </c>
      <c r="TWD347" s="444" t="s">
        <v>1127</v>
      </c>
      <c r="TWE347" s="444">
        <v>6</v>
      </c>
      <c r="TWF347" s="444" t="s">
        <v>1127</v>
      </c>
      <c r="TWG347" s="444">
        <v>6</v>
      </c>
      <c r="TWH347" s="444" t="s">
        <v>1127</v>
      </c>
      <c r="TWI347" s="444">
        <v>6</v>
      </c>
      <c r="TWJ347" s="444" t="s">
        <v>1127</v>
      </c>
      <c r="TWK347" s="444">
        <v>6</v>
      </c>
      <c r="TWL347" s="444" t="s">
        <v>1127</v>
      </c>
      <c r="TWM347" s="444">
        <v>6</v>
      </c>
      <c r="TWN347" s="444" t="s">
        <v>1127</v>
      </c>
      <c r="TWO347" s="444">
        <v>6</v>
      </c>
      <c r="TWP347" s="444" t="s">
        <v>1127</v>
      </c>
      <c r="TWQ347" s="444">
        <v>6</v>
      </c>
      <c r="TWR347" s="444" t="s">
        <v>1127</v>
      </c>
      <c r="TWS347" s="444">
        <v>6</v>
      </c>
      <c r="TWT347" s="444" t="s">
        <v>1127</v>
      </c>
      <c r="TWU347" s="444">
        <v>6</v>
      </c>
      <c r="TWV347" s="444" t="s">
        <v>1127</v>
      </c>
      <c r="TWW347" s="444">
        <v>6</v>
      </c>
      <c r="TWX347" s="444" t="s">
        <v>1127</v>
      </c>
      <c r="TWY347" s="444">
        <v>6</v>
      </c>
      <c r="TWZ347" s="444" t="s">
        <v>1127</v>
      </c>
      <c r="TXA347" s="444">
        <v>6</v>
      </c>
      <c r="TXB347" s="444" t="s">
        <v>1127</v>
      </c>
      <c r="TXC347" s="444">
        <v>6</v>
      </c>
      <c r="TXD347" s="444" t="s">
        <v>1127</v>
      </c>
      <c r="TXE347" s="444">
        <v>6</v>
      </c>
      <c r="TXF347" s="444" t="s">
        <v>1127</v>
      </c>
      <c r="TXG347" s="444">
        <v>6</v>
      </c>
      <c r="TXH347" s="444" t="s">
        <v>1127</v>
      </c>
      <c r="TXI347" s="444">
        <v>6</v>
      </c>
      <c r="TXJ347" s="444" t="s">
        <v>1127</v>
      </c>
      <c r="TXK347" s="444">
        <v>6</v>
      </c>
      <c r="TXL347" s="444" t="s">
        <v>1127</v>
      </c>
      <c r="TXM347" s="444">
        <v>6</v>
      </c>
      <c r="TXN347" s="444" t="s">
        <v>1127</v>
      </c>
      <c r="TXO347" s="444">
        <v>6</v>
      </c>
      <c r="TXP347" s="444" t="s">
        <v>1127</v>
      </c>
      <c r="TXQ347" s="444">
        <v>6</v>
      </c>
      <c r="TXR347" s="444" t="s">
        <v>1127</v>
      </c>
      <c r="TXS347" s="444">
        <v>6</v>
      </c>
      <c r="TXT347" s="444" t="s">
        <v>1127</v>
      </c>
      <c r="TXU347" s="444">
        <v>6</v>
      </c>
      <c r="TXV347" s="444" t="s">
        <v>1127</v>
      </c>
      <c r="TXW347" s="444">
        <v>6</v>
      </c>
      <c r="TXX347" s="444" t="s">
        <v>1127</v>
      </c>
      <c r="TXY347" s="444">
        <v>6</v>
      </c>
      <c r="TXZ347" s="444" t="s">
        <v>1127</v>
      </c>
      <c r="TYA347" s="444">
        <v>6</v>
      </c>
      <c r="TYB347" s="444" t="s">
        <v>1127</v>
      </c>
      <c r="TYC347" s="444">
        <v>6</v>
      </c>
      <c r="TYD347" s="444" t="s">
        <v>1127</v>
      </c>
      <c r="TYE347" s="444">
        <v>6</v>
      </c>
      <c r="TYF347" s="444" t="s">
        <v>1127</v>
      </c>
      <c r="TYG347" s="444">
        <v>6</v>
      </c>
      <c r="TYH347" s="444" t="s">
        <v>1127</v>
      </c>
      <c r="TYI347" s="444">
        <v>6</v>
      </c>
      <c r="TYJ347" s="444" t="s">
        <v>1127</v>
      </c>
      <c r="TYK347" s="444">
        <v>6</v>
      </c>
      <c r="TYL347" s="444" t="s">
        <v>1127</v>
      </c>
      <c r="TYM347" s="444">
        <v>6</v>
      </c>
      <c r="TYN347" s="444" t="s">
        <v>1127</v>
      </c>
      <c r="TYO347" s="444">
        <v>6</v>
      </c>
      <c r="TYP347" s="444" t="s">
        <v>1127</v>
      </c>
      <c r="TYQ347" s="444">
        <v>6</v>
      </c>
      <c r="TYR347" s="444" t="s">
        <v>1127</v>
      </c>
      <c r="TYS347" s="444">
        <v>6</v>
      </c>
      <c r="TYT347" s="444" t="s">
        <v>1127</v>
      </c>
      <c r="TYU347" s="444">
        <v>6</v>
      </c>
      <c r="TYV347" s="444" t="s">
        <v>1127</v>
      </c>
      <c r="TYW347" s="444">
        <v>6</v>
      </c>
      <c r="TYX347" s="444" t="s">
        <v>1127</v>
      </c>
      <c r="TYY347" s="444">
        <v>6</v>
      </c>
      <c r="TYZ347" s="444" t="s">
        <v>1127</v>
      </c>
      <c r="TZA347" s="444">
        <v>6</v>
      </c>
      <c r="TZB347" s="444" t="s">
        <v>1127</v>
      </c>
      <c r="TZC347" s="444">
        <v>6</v>
      </c>
      <c r="TZD347" s="444" t="s">
        <v>1127</v>
      </c>
      <c r="TZE347" s="444">
        <v>6</v>
      </c>
      <c r="TZF347" s="444" t="s">
        <v>1127</v>
      </c>
      <c r="TZG347" s="444">
        <v>6</v>
      </c>
      <c r="TZH347" s="444" t="s">
        <v>1127</v>
      </c>
      <c r="TZI347" s="444">
        <v>6</v>
      </c>
      <c r="TZJ347" s="444" t="s">
        <v>1127</v>
      </c>
      <c r="TZK347" s="444">
        <v>6</v>
      </c>
      <c r="TZL347" s="444" t="s">
        <v>1127</v>
      </c>
      <c r="TZM347" s="444">
        <v>6</v>
      </c>
      <c r="TZN347" s="444" t="s">
        <v>1127</v>
      </c>
      <c r="TZO347" s="444">
        <v>6</v>
      </c>
      <c r="TZP347" s="444" t="s">
        <v>1127</v>
      </c>
      <c r="TZQ347" s="444">
        <v>6</v>
      </c>
      <c r="TZR347" s="444" t="s">
        <v>1127</v>
      </c>
      <c r="TZS347" s="444">
        <v>6</v>
      </c>
      <c r="TZT347" s="444" t="s">
        <v>1127</v>
      </c>
      <c r="TZU347" s="444">
        <v>6</v>
      </c>
      <c r="TZV347" s="444" t="s">
        <v>1127</v>
      </c>
      <c r="TZW347" s="444">
        <v>6</v>
      </c>
      <c r="TZX347" s="444" t="s">
        <v>1127</v>
      </c>
      <c r="TZY347" s="444">
        <v>6</v>
      </c>
      <c r="TZZ347" s="444" t="s">
        <v>1127</v>
      </c>
      <c r="UAA347" s="444">
        <v>6</v>
      </c>
      <c r="UAB347" s="444" t="s">
        <v>1127</v>
      </c>
      <c r="UAC347" s="444">
        <v>6</v>
      </c>
      <c r="UAD347" s="444" t="s">
        <v>1127</v>
      </c>
      <c r="UAE347" s="444">
        <v>6</v>
      </c>
      <c r="UAF347" s="444" t="s">
        <v>1127</v>
      </c>
      <c r="UAG347" s="444">
        <v>6</v>
      </c>
      <c r="UAH347" s="444" t="s">
        <v>1127</v>
      </c>
      <c r="UAI347" s="444">
        <v>6</v>
      </c>
      <c r="UAJ347" s="444" t="s">
        <v>1127</v>
      </c>
      <c r="UAK347" s="444">
        <v>6</v>
      </c>
      <c r="UAL347" s="444" t="s">
        <v>1127</v>
      </c>
      <c r="UAM347" s="444">
        <v>6</v>
      </c>
      <c r="UAN347" s="444" t="s">
        <v>1127</v>
      </c>
      <c r="UAO347" s="444">
        <v>6</v>
      </c>
      <c r="UAP347" s="444" t="s">
        <v>1127</v>
      </c>
      <c r="UAQ347" s="444">
        <v>6</v>
      </c>
      <c r="UAR347" s="444" t="s">
        <v>1127</v>
      </c>
      <c r="UAS347" s="444">
        <v>6</v>
      </c>
      <c r="UAT347" s="444" t="s">
        <v>1127</v>
      </c>
      <c r="UAU347" s="444">
        <v>6</v>
      </c>
      <c r="UAV347" s="444" t="s">
        <v>1127</v>
      </c>
      <c r="UAW347" s="444">
        <v>6</v>
      </c>
      <c r="UAX347" s="444" t="s">
        <v>1127</v>
      </c>
      <c r="UAY347" s="444">
        <v>6</v>
      </c>
      <c r="UAZ347" s="444" t="s">
        <v>1127</v>
      </c>
      <c r="UBA347" s="444">
        <v>6</v>
      </c>
      <c r="UBB347" s="444" t="s">
        <v>1127</v>
      </c>
      <c r="UBC347" s="444">
        <v>6</v>
      </c>
      <c r="UBD347" s="444" t="s">
        <v>1127</v>
      </c>
      <c r="UBE347" s="444">
        <v>6</v>
      </c>
      <c r="UBF347" s="444" t="s">
        <v>1127</v>
      </c>
      <c r="UBG347" s="444">
        <v>6</v>
      </c>
      <c r="UBH347" s="444" t="s">
        <v>1127</v>
      </c>
      <c r="UBI347" s="444">
        <v>6</v>
      </c>
      <c r="UBJ347" s="444" t="s">
        <v>1127</v>
      </c>
      <c r="UBK347" s="444">
        <v>6</v>
      </c>
      <c r="UBL347" s="444" t="s">
        <v>1127</v>
      </c>
      <c r="UBM347" s="444">
        <v>6</v>
      </c>
      <c r="UBN347" s="444" t="s">
        <v>1127</v>
      </c>
      <c r="UBO347" s="444">
        <v>6</v>
      </c>
      <c r="UBP347" s="444" t="s">
        <v>1127</v>
      </c>
      <c r="UBQ347" s="444">
        <v>6</v>
      </c>
      <c r="UBR347" s="444" t="s">
        <v>1127</v>
      </c>
      <c r="UBS347" s="444">
        <v>6</v>
      </c>
      <c r="UBT347" s="444" t="s">
        <v>1127</v>
      </c>
      <c r="UBU347" s="444">
        <v>6</v>
      </c>
      <c r="UBV347" s="444" t="s">
        <v>1127</v>
      </c>
      <c r="UBW347" s="444">
        <v>6</v>
      </c>
      <c r="UBX347" s="444" t="s">
        <v>1127</v>
      </c>
      <c r="UBY347" s="444">
        <v>6</v>
      </c>
      <c r="UBZ347" s="444" t="s">
        <v>1127</v>
      </c>
      <c r="UCA347" s="444">
        <v>6</v>
      </c>
      <c r="UCB347" s="444" t="s">
        <v>1127</v>
      </c>
      <c r="UCC347" s="444">
        <v>6</v>
      </c>
      <c r="UCD347" s="444" t="s">
        <v>1127</v>
      </c>
      <c r="UCE347" s="444">
        <v>6</v>
      </c>
      <c r="UCF347" s="444" t="s">
        <v>1127</v>
      </c>
      <c r="UCG347" s="444">
        <v>6</v>
      </c>
      <c r="UCH347" s="444" t="s">
        <v>1127</v>
      </c>
      <c r="UCI347" s="444">
        <v>6</v>
      </c>
      <c r="UCJ347" s="444" t="s">
        <v>1127</v>
      </c>
      <c r="UCK347" s="444">
        <v>6</v>
      </c>
      <c r="UCL347" s="444" t="s">
        <v>1127</v>
      </c>
      <c r="UCM347" s="444">
        <v>6</v>
      </c>
      <c r="UCN347" s="444" t="s">
        <v>1127</v>
      </c>
      <c r="UCO347" s="444">
        <v>6</v>
      </c>
      <c r="UCP347" s="444" t="s">
        <v>1127</v>
      </c>
      <c r="UCQ347" s="444">
        <v>6</v>
      </c>
      <c r="UCR347" s="444" t="s">
        <v>1127</v>
      </c>
      <c r="UCS347" s="444">
        <v>6</v>
      </c>
      <c r="UCT347" s="444" t="s">
        <v>1127</v>
      </c>
      <c r="UCU347" s="444">
        <v>6</v>
      </c>
      <c r="UCV347" s="444" t="s">
        <v>1127</v>
      </c>
      <c r="UCW347" s="444">
        <v>6</v>
      </c>
      <c r="UCX347" s="444" t="s">
        <v>1127</v>
      </c>
      <c r="UCY347" s="444">
        <v>6</v>
      </c>
      <c r="UCZ347" s="444" t="s">
        <v>1127</v>
      </c>
      <c r="UDA347" s="444">
        <v>6</v>
      </c>
      <c r="UDB347" s="444" t="s">
        <v>1127</v>
      </c>
      <c r="UDC347" s="444">
        <v>6</v>
      </c>
      <c r="UDD347" s="444" t="s">
        <v>1127</v>
      </c>
      <c r="UDE347" s="444">
        <v>6</v>
      </c>
      <c r="UDF347" s="444" t="s">
        <v>1127</v>
      </c>
      <c r="UDG347" s="444">
        <v>6</v>
      </c>
      <c r="UDH347" s="444" t="s">
        <v>1127</v>
      </c>
      <c r="UDI347" s="444">
        <v>6</v>
      </c>
      <c r="UDJ347" s="444" t="s">
        <v>1127</v>
      </c>
      <c r="UDK347" s="444">
        <v>6</v>
      </c>
      <c r="UDL347" s="444" t="s">
        <v>1127</v>
      </c>
      <c r="UDM347" s="444">
        <v>6</v>
      </c>
      <c r="UDN347" s="444" t="s">
        <v>1127</v>
      </c>
      <c r="UDO347" s="444">
        <v>6</v>
      </c>
      <c r="UDP347" s="444" t="s">
        <v>1127</v>
      </c>
      <c r="UDQ347" s="444">
        <v>6</v>
      </c>
      <c r="UDR347" s="444" t="s">
        <v>1127</v>
      </c>
      <c r="UDS347" s="444">
        <v>6</v>
      </c>
      <c r="UDT347" s="444" t="s">
        <v>1127</v>
      </c>
      <c r="UDU347" s="444">
        <v>6</v>
      </c>
      <c r="UDV347" s="444" t="s">
        <v>1127</v>
      </c>
      <c r="UDW347" s="444">
        <v>6</v>
      </c>
      <c r="UDX347" s="444" t="s">
        <v>1127</v>
      </c>
      <c r="UDY347" s="444">
        <v>6</v>
      </c>
      <c r="UDZ347" s="444" t="s">
        <v>1127</v>
      </c>
      <c r="UEA347" s="444">
        <v>6</v>
      </c>
      <c r="UEB347" s="444" t="s">
        <v>1127</v>
      </c>
      <c r="UEC347" s="444">
        <v>6</v>
      </c>
      <c r="UED347" s="444" t="s">
        <v>1127</v>
      </c>
      <c r="UEE347" s="444">
        <v>6</v>
      </c>
      <c r="UEF347" s="444" t="s">
        <v>1127</v>
      </c>
      <c r="UEG347" s="444">
        <v>6</v>
      </c>
      <c r="UEH347" s="444" t="s">
        <v>1127</v>
      </c>
      <c r="UEI347" s="444">
        <v>6</v>
      </c>
      <c r="UEJ347" s="444" t="s">
        <v>1127</v>
      </c>
      <c r="UEK347" s="444">
        <v>6</v>
      </c>
      <c r="UEL347" s="444" t="s">
        <v>1127</v>
      </c>
      <c r="UEM347" s="444">
        <v>6</v>
      </c>
      <c r="UEN347" s="444" t="s">
        <v>1127</v>
      </c>
      <c r="UEO347" s="444">
        <v>6</v>
      </c>
      <c r="UEP347" s="444" t="s">
        <v>1127</v>
      </c>
      <c r="UEQ347" s="444">
        <v>6</v>
      </c>
      <c r="UER347" s="444" t="s">
        <v>1127</v>
      </c>
      <c r="UES347" s="444">
        <v>6</v>
      </c>
      <c r="UET347" s="444" t="s">
        <v>1127</v>
      </c>
      <c r="UEU347" s="444">
        <v>6</v>
      </c>
      <c r="UEV347" s="444" t="s">
        <v>1127</v>
      </c>
      <c r="UEW347" s="444">
        <v>6</v>
      </c>
      <c r="UEX347" s="444" t="s">
        <v>1127</v>
      </c>
      <c r="UEY347" s="444">
        <v>6</v>
      </c>
      <c r="UEZ347" s="444" t="s">
        <v>1127</v>
      </c>
      <c r="UFA347" s="444">
        <v>6</v>
      </c>
      <c r="UFB347" s="444" t="s">
        <v>1127</v>
      </c>
      <c r="UFC347" s="444">
        <v>6</v>
      </c>
      <c r="UFD347" s="444" t="s">
        <v>1127</v>
      </c>
      <c r="UFE347" s="444">
        <v>6</v>
      </c>
      <c r="UFF347" s="444" t="s">
        <v>1127</v>
      </c>
      <c r="UFG347" s="444">
        <v>6</v>
      </c>
      <c r="UFH347" s="444" t="s">
        <v>1127</v>
      </c>
      <c r="UFI347" s="444">
        <v>6</v>
      </c>
      <c r="UFJ347" s="444" t="s">
        <v>1127</v>
      </c>
      <c r="UFK347" s="444">
        <v>6</v>
      </c>
      <c r="UFL347" s="444" t="s">
        <v>1127</v>
      </c>
      <c r="UFM347" s="444">
        <v>6</v>
      </c>
      <c r="UFN347" s="444" t="s">
        <v>1127</v>
      </c>
      <c r="UFO347" s="444">
        <v>6</v>
      </c>
      <c r="UFP347" s="444" t="s">
        <v>1127</v>
      </c>
      <c r="UFQ347" s="444">
        <v>6</v>
      </c>
      <c r="UFR347" s="444" t="s">
        <v>1127</v>
      </c>
      <c r="UFS347" s="444">
        <v>6</v>
      </c>
      <c r="UFT347" s="444" t="s">
        <v>1127</v>
      </c>
      <c r="UFU347" s="444">
        <v>6</v>
      </c>
      <c r="UFV347" s="444" t="s">
        <v>1127</v>
      </c>
      <c r="UFW347" s="444">
        <v>6</v>
      </c>
      <c r="UFX347" s="444" t="s">
        <v>1127</v>
      </c>
      <c r="UFY347" s="444">
        <v>6</v>
      </c>
      <c r="UFZ347" s="444" t="s">
        <v>1127</v>
      </c>
      <c r="UGA347" s="444">
        <v>6</v>
      </c>
      <c r="UGB347" s="444" t="s">
        <v>1127</v>
      </c>
      <c r="UGC347" s="444">
        <v>6</v>
      </c>
      <c r="UGD347" s="444" t="s">
        <v>1127</v>
      </c>
      <c r="UGE347" s="444">
        <v>6</v>
      </c>
      <c r="UGF347" s="444" t="s">
        <v>1127</v>
      </c>
      <c r="UGG347" s="444">
        <v>6</v>
      </c>
      <c r="UGH347" s="444" t="s">
        <v>1127</v>
      </c>
      <c r="UGI347" s="444">
        <v>6</v>
      </c>
      <c r="UGJ347" s="444" t="s">
        <v>1127</v>
      </c>
      <c r="UGK347" s="444">
        <v>6</v>
      </c>
      <c r="UGL347" s="444" t="s">
        <v>1127</v>
      </c>
      <c r="UGM347" s="444">
        <v>6</v>
      </c>
      <c r="UGN347" s="444" t="s">
        <v>1127</v>
      </c>
      <c r="UGO347" s="444">
        <v>6</v>
      </c>
      <c r="UGP347" s="444" t="s">
        <v>1127</v>
      </c>
      <c r="UGQ347" s="444">
        <v>6</v>
      </c>
      <c r="UGR347" s="444" t="s">
        <v>1127</v>
      </c>
      <c r="UGS347" s="444">
        <v>6</v>
      </c>
      <c r="UGT347" s="444" t="s">
        <v>1127</v>
      </c>
      <c r="UGU347" s="444">
        <v>6</v>
      </c>
      <c r="UGV347" s="444" t="s">
        <v>1127</v>
      </c>
      <c r="UGW347" s="444">
        <v>6</v>
      </c>
      <c r="UGX347" s="444" t="s">
        <v>1127</v>
      </c>
      <c r="UGY347" s="444">
        <v>6</v>
      </c>
      <c r="UGZ347" s="444" t="s">
        <v>1127</v>
      </c>
      <c r="UHA347" s="444">
        <v>6</v>
      </c>
      <c r="UHB347" s="444" t="s">
        <v>1127</v>
      </c>
      <c r="UHC347" s="444">
        <v>6</v>
      </c>
      <c r="UHD347" s="444" t="s">
        <v>1127</v>
      </c>
      <c r="UHE347" s="444">
        <v>6</v>
      </c>
      <c r="UHF347" s="444" t="s">
        <v>1127</v>
      </c>
      <c r="UHG347" s="444">
        <v>6</v>
      </c>
      <c r="UHH347" s="444" t="s">
        <v>1127</v>
      </c>
      <c r="UHI347" s="444">
        <v>6</v>
      </c>
      <c r="UHJ347" s="444" t="s">
        <v>1127</v>
      </c>
      <c r="UHK347" s="444">
        <v>6</v>
      </c>
      <c r="UHL347" s="444" t="s">
        <v>1127</v>
      </c>
      <c r="UHM347" s="444">
        <v>6</v>
      </c>
      <c r="UHN347" s="444" t="s">
        <v>1127</v>
      </c>
      <c r="UHO347" s="444">
        <v>6</v>
      </c>
      <c r="UHP347" s="444" t="s">
        <v>1127</v>
      </c>
      <c r="UHQ347" s="444">
        <v>6</v>
      </c>
      <c r="UHR347" s="444" t="s">
        <v>1127</v>
      </c>
      <c r="UHS347" s="444">
        <v>6</v>
      </c>
      <c r="UHT347" s="444" t="s">
        <v>1127</v>
      </c>
      <c r="UHU347" s="444">
        <v>6</v>
      </c>
      <c r="UHV347" s="444" t="s">
        <v>1127</v>
      </c>
      <c r="UHW347" s="444">
        <v>6</v>
      </c>
      <c r="UHX347" s="444" t="s">
        <v>1127</v>
      </c>
      <c r="UHY347" s="444">
        <v>6</v>
      </c>
      <c r="UHZ347" s="444" t="s">
        <v>1127</v>
      </c>
      <c r="UIA347" s="444">
        <v>6</v>
      </c>
      <c r="UIB347" s="444" t="s">
        <v>1127</v>
      </c>
      <c r="UIC347" s="444">
        <v>6</v>
      </c>
      <c r="UID347" s="444" t="s">
        <v>1127</v>
      </c>
      <c r="UIE347" s="444">
        <v>6</v>
      </c>
      <c r="UIF347" s="444" t="s">
        <v>1127</v>
      </c>
      <c r="UIG347" s="444">
        <v>6</v>
      </c>
      <c r="UIH347" s="444" t="s">
        <v>1127</v>
      </c>
      <c r="UII347" s="444">
        <v>6</v>
      </c>
      <c r="UIJ347" s="444" t="s">
        <v>1127</v>
      </c>
      <c r="UIK347" s="444">
        <v>6</v>
      </c>
      <c r="UIL347" s="444" t="s">
        <v>1127</v>
      </c>
      <c r="UIM347" s="444">
        <v>6</v>
      </c>
      <c r="UIN347" s="444" t="s">
        <v>1127</v>
      </c>
      <c r="UIO347" s="444">
        <v>6</v>
      </c>
      <c r="UIP347" s="444" t="s">
        <v>1127</v>
      </c>
      <c r="UIQ347" s="444">
        <v>6</v>
      </c>
      <c r="UIR347" s="444" t="s">
        <v>1127</v>
      </c>
      <c r="UIS347" s="444">
        <v>6</v>
      </c>
      <c r="UIT347" s="444" t="s">
        <v>1127</v>
      </c>
      <c r="UIU347" s="444">
        <v>6</v>
      </c>
      <c r="UIV347" s="444" t="s">
        <v>1127</v>
      </c>
      <c r="UIW347" s="444">
        <v>6</v>
      </c>
      <c r="UIX347" s="444" t="s">
        <v>1127</v>
      </c>
      <c r="UIY347" s="444">
        <v>6</v>
      </c>
      <c r="UIZ347" s="444" t="s">
        <v>1127</v>
      </c>
      <c r="UJA347" s="444">
        <v>6</v>
      </c>
      <c r="UJB347" s="444" t="s">
        <v>1127</v>
      </c>
      <c r="UJC347" s="444">
        <v>6</v>
      </c>
      <c r="UJD347" s="444" t="s">
        <v>1127</v>
      </c>
      <c r="UJE347" s="444">
        <v>6</v>
      </c>
      <c r="UJF347" s="444" t="s">
        <v>1127</v>
      </c>
      <c r="UJG347" s="444">
        <v>6</v>
      </c>
      <c r="UJH347" s="444" t="s">
        <v>1127</v>
      </c>
      <c r="UJI347" s="444">
        <v>6</v>
      </c>
      <c r="UJJ347" s="444" t="s">
        <v>1127</v>
      </c>
      <c r="UJK347" s="444">
        <v>6</v>
      </c>
      <c r="UJL347" s="444" t="s">
        <v>1127</v>
      </c>
      <c r="UJM347" s="444">
        <v>6</v>
      </c>
      <c r="UJN347" s="444" t="s">
        <v>1127</v>
      </c>
      <c r="UJO347" s="444">
        <v>6</v>
      </c>
      <c r="UJP347" s="444" t="s">
        <v>1127</v>
      </c>
      <c r="UJQ347" s="444">
        <v>6</v>
      </c>
      <c r="UJR347" s="444" t="s">
        <v>1127</v>
      </c>
      <c r="UJS347" s="444">
        <v>6</v>
      </c>
      <c r="UJT347" s="444" t="s">
        <v>1127</v>
      </c>
      <c r="UJU347" s="444">
        <v>6</v>
      </c>
      <c r="UJV347" s="444" t="s">
        <v>1127</v>
      </c>
      <c r="UJW347" s="444">
        <v>6</v>
      </c>
      <c r="UJX347" s="444" t="s">
        <v>1127</v>
      </c>
      <c r="UJY347" s="444">
        <v>6</v>
      </c>
      <c r="UJZ347" s="444" t="s">
        <v>1127</v>
      </c>
      <c r="UKA347" s="444">
        <v>6</v>
      </c>
      <c r="UKB347" s="444" t="s">
        <v>1127</v>
      </c>
      <c r="UKC347" s="444">
        <v>6</v>
      </c>
      <c r="UKD347" s="444" t="s">
        <v>1127</v>
      </c>
      <c r="UKE347" s="444">
        <v>6</v>
      </c>
      <c r="UKF347" s="444" t="s">
        <v>1127</v>
      </c>
      <c r="UKG347" s="444">
        <v>6</v>
      </c>
      <c r="UKH347" s="444" t="s">
        <v>1127</v>
      </c>
      <c r="UKI347" s="444">
        <v>6</v>
      </c>
      <c r="UKJ347" s="444" t="s">
        <v>1127</v>
      </c>
      <c r="UKK347" s="444">
        <v>6</v>
      </c>
      <c r="UKL347" s="444" t="s">
        <v>1127</v>
      </c>
      <c r="UKM347" s="444">
        <v>6</v>
      </c>
      <c r="UKN347" s="444" t="s">
        <v>1127</v>
      </c>
      <c r="UKO347" s="444">
        <v>6</v>
      </c>
      <c r="UKP347" s="444" t="s">
        <v>1127</v>
      </c>
      <c r="UKQ347" s="444">
        <v>6</v>
      </c>
      <c r="UKR347" s="444" t="s">
        <v>1127</v>
      </c>
      <c r="UKS347" s="444">
        <v>6</v>
      </c>
      <c r="UKT347" s="444" t="s">
        <v>1127</v>
      </c>
      <c r="UKU347" s="444">
        <v>6</v>
      </c>
      <c r="UKV347" s="444" t="s">
        <v>1127</v>
      </c>
      <c r="UKW347" s="444">
        <v>6</v>
      </c>
      <c r="UKX347" s="444" t="s">
        <v>1127</v>
      </c>
      <c r="UKY347" s="444">
        <v>6</v>
      </c>
      <c r="UKZ347" s="444" t="s">
        <v>1127</v>
      </c>
      <c r="ULA347" s="444">
        <v>6</v>
      </c>
      <c r="ULB347" s="444" t="s">
        <v>1127</v>
      </c>
      <c r="ULC347" s="444">
        <v>6</v>
      </c>
      <c r="ULD347" s="444" t="s">
        <v>1127</v>
      </c>
      <c r="ULE347" s="444">
        <v>6</v>
      </c>
      <c r="ULF347" s="444" t="s">
        <v>1127</v>
      </c>
      <c r="ULG347" s="444">
        <v>6</v>
      </c>
      <c r="ULH347" s="444" t="s">
        <v>1127</v>
      </c>
      <c r="ULI347" s="444">
        <v>6</v>
      </c>
      <c r="ULJ347" s="444" t="s">
        <v>1127</v>
      </c>
      <c r="ULK347" s="444">
        <v>6</v>
      </c>
      <c r="ULL347" s="444" t="s">
        <v>1127</v>
      </c>
      <c r="ULM347" s="444">
        <v>6</v>
      </c>
      <c r="ULN347" s="444" t="s">
        <v>1127</v>
      </c>
      <c r="ULO347" s="444">
        <v>6</v>
      </c>
      <c r="ULP347" s="444" t="s">
        <v>1127</v>
      </c>
      <c r="ULQ347" s="444">
        <v>6</v>
      </c>
      <c r="ULR347" s="444" t="s">
        <v>1127</v>
      </c>
      <c r="ULS347" s="444">
        <v>6</v>
      </c>
      <c r="ULT347" s="444" t="s">
        <v>1127</v>
      </c>
      <c r="ULU347" s="444">
        <v>6</v>
      </c>
      <c r="ULV347" s="444" t="s">
        <v>1127</v>
      </c>
      <c r="ULW347" s="444">
        <v>6</v>
      </c>
      <c r="ULX347" s="444" t="s">
        <v>1127</v>
      </c>
      <c r="ULY347" s="444">
        <v>6</v>
      </c>
      <c r="ULZ347" s="444" t="s">
        <v>1127</v>
      </c>
      <c r="UMA347" s="444">
        <v>6</v>
      </c>
      <c r="UMB347" s="444" t="s">
        <v>1127</v>
      </c>
      <c r="UMC347" s="444">
        <v>6</v>
      </c>
      <c r="UMD347" s="444" t="s">
        <v>1127</v>
      </c>
      <c r="UME347" s="444">
        <v>6</v>
      </c>
      <c r="UMF347" s="444" t="s">
        <v>1127</v>
      </c>
      <c r="UMG347" s="444">
        <v>6</v>
      </c>
      <c r="UMH347" s="444" t="s">
        <v>1127</v>
      </c>
      <c r="UMI347" s="444">
        <v>6</v>
      </c>
      <c r="UMJ347" s="444" t="s">
        <v>1127</v>
      </c>
      <c r="UMK347" s="444">
        <v>6</v>
      </c>
      <c r="UML347" s="444" t="s">
        <v>1127</v>
      </c>
      <c r="UMM347" s="444">
        <v>6</v>
      </c>
      <c r="UMN347" s="444" t="s">
        <v>1127</v>
      </c>
      <c r="UMO347" s="444">
        <v>6</v>
      </c>
      <c r="UMP347" s="444" t="s">
        <v>1127</v>
      </c>
      <c r="UMQ347" s="444">
        <v>6</v>
      </c>
      <c r="UMR347" s="444" t="s">
        <v>1127</v>
      </c>
      <c r="UMS347" s="444">
        <v>6</v>
      </c>
      <c r="UMT347" s="444" t="s">
        <v>1127</v>
      </c>
      <c r="UMU347" s="444">
        <v>6</v>
      </c>
      <c r="UMV347" s="444" t="s">
        <v>1127</v>
      </c>
      <c r="UMW347" s="444">
        <v>6</v>
      </c>
      <c r="UMX347" s="444" t="s">
        <v>1127</v>
      </c>
      <c r="UMY347" s="444">
        <v>6</v>
      </c>
      <c r="UMZ347" s="444" t="s">
        <v>1127</v>
      </c>
      <c r="UNA347" s="444">
        <v>6</v>
      </c>
      <c r="UNB347" s="444" t="s">
        <v>1127</v>
      </c>
      <c r="UNC347" s="444">
        <v>6</v>
      </c>
      <c r="UND347" s="444" t="s">
        <v>1127</v>
      </c>
      <c r="UNE347" s="444">
        <v>6</v>
      </c>
      <c r="UNF347" s="444" t="s">
        <v>1127</v>
      </c>
      <c r="UNG347" s="444">
        <v>6</v>
      </c>
      <c r="UNH347" s="444" t="s">
        <v>1127</v>
      </c>
      <c r="UNI347" s="444">
        <v>6</v>
      </c>
      <c r="UNJ347" s="444" t="s">
        <v>1127</v>
      </c>
      <c r="UNK347" s="444">
        <v>6</v>
      </c>
      <c r="UNL347" s="444" t="s">
        <v>1127</v>
      </c>
      <c r="UNM347" s="444">
        <v>6</v>
      </c>
      <c r="UNN347" s="444" t="s">
        <v>1127</v>
      </c>
      <c r="UNO347" s="444">
        <v>6</v>
      </c>
      <c r="UNP347" s="444" t="s">
        <v>1127</v>
      </c>
      <c r="UNQ347" s="444">
        <v>6</v>
      </c>
      <c r="UNR347" s="444" t="s">
        <v>1127</v>
      </c>
      <c r="UNS347" s="444">
        <v>6</v>
      </c>
      <c r="UNT347" s="444" t="s">
        <v>1127</v>
      </c>
      <c r="UNU347" s="444">
        <v>6</v>
      </c>
      <c r="UNV347" s="444" t="s">
        <v>1127</v>
      </c>
      <c r="UNW347" s="444">
        <v>6</v>
      </c>
      <c r="UNX347" s="444" t="s">
        <v>1127</v>
      </c>
      <c r="UNY347" s="444">
        <v>6</v>
      </c>
      <c r="UNZ347" s="444" t="s">
        <v>1127</v>
      </c>
      <c r="UOA347" s="444">
        <v>6</v>
      </c>
      <c r="UOB347" s="444" t="s">
        <v>1127</v>
      </c>
      <c r="UOC347" s="444">
        <v>6</v>
      </c>
      <c r="UOD347" s="444" t="s">
        <v>1127</v>
      </c>
      <c r="UOE347" s="444">
        <v>6</v>
      </c>
      <c r="UOF347" s="444" t="s">
        <v>1127</v>
      </c>
      <c r="UOG347" s="444">
        <v>6</v>
      </c>
      <c r="UOH347" s="444" t="s">
        <v>1127</v>
      </c>
      <c r="UOI347" s="444">
        <v>6</v>
      </c>
      <c r="UOJ347" s="444" t="s">
        <v>1127</v>
      </c>
      <c r="UOK347" s="444">
        <v>6</v>
      </c>
      <c r="UOL347" s="444" t="s">
        <v>1127</v>
      </c>
      <c r="UOM347" s="444">
        <v>6</v>
      </c>
      <c r="UON347" s="444" t="s">
        <v>1127</v>
      </c>
      <c r="UOO347" s="444">
        <v>6</v>
      </c>
      <c r="UOP347" s="444" t="s">
        <v>1127</v>
      </c>
      <c r="UOQ347" s="444">
        <v>6</v>
      </c>
      <c r="UOR347" s="444" t="s">
        <v>1127</v>
      </c>
      <c r="UOS347" s="444">
        <v>6</v>
      </c>
      <c r="UOT347" s="444" t="s">
        <v>1127</v>
      </c>
      <c r="UOU347" s="444">
        <v>6</v>
      </c>
      <c r="UOV347" s="444" t="s">
        <v>1127</v>
      </c>
      <c r="UOW347" s="444">
        <v>6</v>
      </c>
      <c r="UOX347" s="444" t="s">
        <v>1127</v>
      </c>
      <c r="UOY347" s="444">
        <v>6</v>
      </c>
      <c r="UOZ347" s="444" t="s">
        <v>1127</v>
      </c>
      <c r="UPA347" s="444">
        <v>6</v>
      </c>
      <c r="UPB347" s="444" t="s">
        <v>1127</v>
      </c>
      <c r="UPC347" s="444">
        <v>6</v>
      </c>
      <c r="UPD347" s="444" t="s">
        <v>1127</v>
      </c>
      <c r="UPE347" s="444">
        <v>6</v>
      </c>
      <c r="UPF347" s="444" t="s">
        <v>1127</v>
      </c>
      <c r="UPG347" s="444">
        <v>6</v>
      </c>
      <c r="UPH347" s="444" t="s">
        <v>1127</v>
      </c>
      <c r="UPI347" s="444">
        <v>6</v>
      </c>
      <c r="UPJ347" s="444" t="s">
        <v>1127</v>
      </c>
      <c r="UPK347" s="444">
        <v>6</v>
      </c>
      <c r="UPL347" s="444" t="s">
        <v>1127</v>
      </c>
      <c r="UPM347" s="444">
        <v>6</v>
      </c>
      <c r="UPN347" s="444" t="s">
        <v>1127</v>
      </c>
      <c r="UPO347" s="444">
        <v>6</v>
      </c>
      <c r="UPP347" s="444" t="s">
        <v>1127</v>
      </c>
      <c r="UPQ347" s="444">
        <v>6</v>
      </c>
      <c r="UPR347" s="444" t="s">
        <v>1127</v>
      </c>
      <c r="UPS347" s="444">
        <v>6</v>
      </c>
      <c r="UPT347" s="444" t="s">
        <v>1127</v>
      </c>
      <c r="UPU347" s="444">
        <v>6</v>
      </c>
      <c r="UPV347" s="444" t="s">
        <v>1127</v>
      </c>
      <c r="UPW347" s="444">
        <v>6</v>
      </c>
      <c r="UPX347" s="444" t="s">
        <v>1127</v>
      </c>
      <c r="UPY347" s="444">
        <v>6</v>
      </c>
      <c r="UPZ347" s="444" t="s">
        <v>1127</v>
      </c>
      <c r="UQA347" s="444">
        <v>6</v>
      </c>
      <c r="UQB347" s="444" t="s">
        <v>1127</v>
      </c>
      <c r="UQC347" s="444">
        <v>6</v>
      </c>
      <c r="UQD347" s="444" t="s">
        <v>1127</v>
      </c>
      <c r="UQE347" s="444">
        <v>6</v>
      </c>
      <c r="UQF347" s="444" t="s">
        <v>1127</v>
      </c>
      <c r="UQG347" s="444">
        <v>6</v>
      </c>
      <c r="UQH347" s="444" t="s">
        <v>1127</v>
      </c>
      <c r="UQI347" s="444">
        <v>6</v>
      </c>
      <c r="UQJ347" s="444" t="s">
        <v>1127</v>
      </c>
      <c r="UQK347" s="444">
        <v>6</v>
      </c>
      <c r="UQL347" s="444" t="s">
        <v>1127</v>
      </c>
      <c r="UQM347" s="444">
        <v>6</v>
      </c>
      <c r="UQN347" s="444" t="s">
        <v>1127</v>
      </c>
      <c r="UQO347" s="444">
        <v>6</v>
      </c>
      <c r="UQP347" s="444" t="s">
        <v>1127</v>
      </c>
      <c r="UQQ347" s="444">
        <v>6</v>
      </c>
      <c r="UQR347" s="444" t="s">
        <v>1127</v>
      </c>
      <c r="UQS347" s="444">
        <v>6</v>
      </c>
      <c r="UQT347" s="444" t="s">
        <v>1127</v>
      </c>
      <c r="UQU347" s="444">
        <v>6</v>
      </c>
      <c r="UQV347" s="444" t="s">
        <v>1127</v>
      </c>
      <c r="UQW347" s="444">
        <v>6</v>
      </c>
      <c r="UQX347" s="444" t="s">
        <v>1127</v>
      </c>
      <c r="UQY347" s="444">
        <v>6</v>
      </c>
      <c r="UQZ347" s="444" t="s">
        <v>1127</v>
      </c>
      <c r="URA347" s="444">
        <v>6</v>
      </c>
      <c r="URB347" s="444" t="s">
        <v>1127</v>
      </c>
      <c r="URC347" s="444">
        <v>6</v>
      </c>
      <c r="URD347" s="444" t="s">
        <v>1127</v>
      </c>
      <c r="URE347" s="444">
        <v>6</v>
      </c>
      <c r="URF347" s="444" t="s">
        <v>1127</v>
      </c>
      <c r="URG347" s="444">
        <v>6</v>
      </c>
      <c r="URH347" s="444" t="s">
        <v>1127</v>
      </c>
      <c r="URI347" s="444">
        <v>6</v>
      </c>
      <c r="URJ347" s="444" t="s">
        <v>1127</v>
      </c>
      <c r="URK347" s="444">
        <v>6</v>
      </c>
      <c r="URL347" s="444" t="s">
        <v>1127</v>
      </c>
      <c r="URM347" s="444">
        <v>6</v>
      </c>
      <c r="URN347" s="444" t="s">
        <v>1127</v>
      </c>
      <c r="URO347" s="444">
        <v>6</v>
      </c>
      <c r="URP347" s="444" t="s">
        <v>1127</v>
      </c>
      <c r="URQ347" s="444">
        <v>6</v>
      </c>
      <c r="URR347" s="444" t="s">
        <v>1127</v>
      </c>
      <c r="URS347" s="444">
        <v>6</v>
      </c>
      <c r="URT347" s="444" t="s">
        <v>1127</v>
      </c>
      <c r="URU347" s="444">
        <v>6</v>
      </c>
      <c r="URV347" s="444" t="s">
        <v>1127</v>
      </c>
      <c r="URW347" s="444">
        <v>6</v>
      </c>
      <c r="URX347" s="444" t="s">
        <v>1127</v>
      </c>
      <c r="URY347" s="444">
        <v>6</v>
      </c>
      <c r="URZ347" s="444" t="s">
        <v>1127</v>
      </c>
      <c r="USA347" s="444">
        <v>6</v>
      </c>
      <c r="USB347" s="444" t="s">
        <v>1127</v>
      </c>
      <c r="USC347" s="444">
        <v>6</v>
      </c>
      <c r="USD347" s="444" t="s">
        <v>1127</v>
      </c>
      <c r="USE347" s="444">
        <v>6</v>
      </c>
      <c r="USF347" s="444" t="s">
        <v>1127</v>
      </c>
      <c r="USG347" s="444">
        <v>6</v>
      </c>
      <c r="USH347" s="444" t="s">
        <v>1127</v>
      </c>
      <c r="USI347" s="444">
        <v>6</v>
      </c>
      <c r="USJ347" s="444" t="s">
        <v>1127</v>
      </c>
      <c r="USK347" s="444">
        <v>6</v>
      </c>
      <c r="USL347" s="444" t="s">
        <v>1127</v>
      </c>
      <c r="USM347" s="444">
        <v>6</v>
      </c>
      <c r="USN347" s="444" t="s">
        <v>1127</v>
      </c>
      <c r="USO347" s="444">
        <v>6</v>
      </c>
      <c r="USP347" s="444" t="s">
        <v>1127</v>
      </c>
      <c r="USQ347" s="444">
        <v>6</v>
      </c>
      <c r="USR347" s="444" t="s">
        <v>1127</v>
      </c>
      <c r="USS347" s="444">
        <v>6</v>
      </c>
      <c r="UST347" s="444" t="s">
        <v>1127</v>
      </c>
      <c r="USU347" s="444">
        <v>6</v>
      </c>
      <c r="USV347" s="444" t="s">
        <v>1127</v>
      </c>
      <c r="USW347" s="444">
        <v>6</v>
      </c>
      <c r="USX347" s="444" t="s">
        <v>1127</v>
      </c>
      <c r="USY347" s="444">
        <v>6</v>
      </c>
      <c r="USZ347" s="444" t="s">
        <v>1127</v>
      </c>
      <c r="UTA347" s="444">
        <v>6</v>
      </c>
      <c r="UTB347" s="444" t="s">
        <v>1127</v>
      </c>
      <c r="UTC347" s="444">
        <v>6</v>
      </c>
      <c r="UTD347" s="444" t="s">
        <v>1127</v>
      </c>
      <c r="UTE347" s="444">
        <v>6</v>
      </c>
      <c r="UTF347" s="444" t="s">
        <v>1127</v>
      </c>
      <c r="UTG347" s="444">
        <v>6</v>
      </c>
      <c r="UTH347" s="444" t="s">
        <v>1127</v>
      </c>
      <c r="UTI347" s="444">
        <v>6</v>
      </c>
      <c r="UTJ347" s="444" t="s">
        <v>1127</v>
      </c>
      <c r="UTK347" s="444">
        <v>6</v>
      </c>
      <c r="UTL347" s="444" t="s">
        <v>1127</v>
      </c>
      <c r="UTM347" s="444">
        <v>6</v>
      </c>
      <c r="UTN347" s="444" t="s">
        <v>1127</v>
      </c>
      <c r="UTO347" s="444">
        <v>6</v>
      </c>
      <c r="UTP347" s="444" t="s">
        <v>1127</v>
      </c>
      <c r="UTQ347" s="444">
        <v>6</v>
      </c>
      <c r="UTR347" s="444" t="s">
        <v>1127</v>
      </c>
      <c r="UTS347" s="444">
        <v>6</v>
      </c>
      <c r="UTT347" s="444" t="s">
        <v>1127</v>
      </c>
      <c r="UTU347" s="444">
        <v>6</v>
      </c>
      <c r="UTV347" s="444" t="s">
        <v>1127</v>
      </c>
      <c r="UTW347" s="444">
        <v>6</v>
      </c>
      <c r="UTX347" s="444" t="s">
        <v>1127</v>
      </c>
      <c r="UTY347" s="444">
        <v>6</v>
      </c>
      <c r="UTZ347" s="444" t="s">
        <v>1127</v>
      </c>
      <c r="UUA347" s="444">
        <v>6</v>
      </c>
      <c r="UUB347" s="444" t="s">
        <v>1127</v>
      </c>
      <c r="UUC347" s="444">
        <v>6</v>
      </c>
      <c r="UUD347" s="444" t="s">
        <v>1127</v>
      </c>
      <c r="UUE347" s="444">
        <v>6</v>
      </c>
      <c r="UUF347" s="444" t="s">
        <v>1127</v>
      </c>
      <c r="UUG347" s="444">
        <v>6</v>
      </c>
      <c r="UUH347" s="444" t="s">
        <v>1127</v>
      </c>
      <c r="UUI347" s="444">
        <v>6</v>
      </c>
      <c r="UUJ347" s="444" t="s">
        <v>1127</v>
      </c>
      <c r="UUK347" s="444">
        <v>6</v>
      </c>
      <c r="UUL347" s="444" t="s">
        <v>1127</v>
      </c>
      <c r="UUM347" s="444">
        <v>6</v>
      </c>
      <c r="UUN347" s="444" t="s">
        <v>1127</v>
      </c>
      <c r="UUO347" s="444">
        <v>6</v>
      </c>
      <c r="UUP347" s="444" t="s">
        <v>1127</v>
      </c>
      <c r="UUQ347" s="444">
        <v>6</v>
      </c>
      <c r="UUR347" s="444" t="s">
        <v>1127</v>
      </c>
      <c r="UUS347" s="444">
        <v>6</v>
      </c>
      <c r="UUT347" s="444" t="s">
        <v>1127</v>
      </c>
      <c r="UUU347" s="444">
        <v>6</v>
      </c>
      <c r="UUV347" s="444" t="s">
        <v>1127</v>
      </c>
      <c r="UUW347" s="444">
        <v>6</v>
      </c>
      <c r="UUX347" s="444" t="s">
        <v>1127</v>
      </c>
      <c r="UUY347" s="444">
        <v>6</v>
      </c>
      <c r="UUZ347" s="444" t="s">
        <v>1127</v>
      </c>
      <c r="UVA347" s="444">
        <v>6</v>
      </c>
      <c r="UVB347" s="444" t="s">
        <v>1127</v>
      </c>
      <c r="UVC347" s="444">
        <v>6</v>
      </c>
      <c r="UVD347" s="444" t="s">
        <v>1127</v>
      </c>
      <c r="UVE347" s="444">
        <v>6</v>
      </c>
      <c r="UVF347" s="444" t="s">
        <v>1127</v>
      </c>
      <c r="UVG347" s="444">
        <v>6</v>
      </c>
      <c r="UVH347" s="444" t="s">
        <v>1127</v>
      </c>
      <c r="UVI347" s="444">
        <v>6</v>
      </c>
      <c r="UVJ347" s="444" t="s">
        <v>1127</v>
      </c>
      <c r="UVK347" s="444">
        <v>6</v>
      </c>
      <c r="UVL347" s="444" t="s">
        <v>1127</v>
      </c>
      <c r="UVM347" s="444">
        <v>6</v>
      </c>
      <c r="UVN347" s="444" t="s">
        <v>1127</v>
      </c>
      <c r="UVO347" s="444">
        <v>6</v>
      </c>
      <c r="UVP347" s="444" t="s">
        <v>1127</v>
      </c>
      <c r="UVQ347" s="444">
        <v>6</v>
      </c>
      <c r="UVR347" s="444" t="s">
        <v>1127</v>
      </c>
      <c r="UVS347" s="444">
        <v>6</v>
      </c>
      <c r="UVT347" s="444" t="s">
        <v>1127</v>
      </c>
      <c r="UVU347" s="444">
        <v>6</v>
      </c>
      <c r="UVV347" s="444" t="s">
        <v>1127</v>
      </c>
      <c r="UVW347" s="444">
        <v>6</v>
      </c>
      <c r="UVX347" s="444" t="s">
        <v>1127</v>
      </c>
      <c r="UVY347" s="444">
        <v>6</v>
      </c>
      <c r="UVZ347" s="444" t="s">
        <v>1127</v>
      </c>
      <c r="UWA347" s="444">
        <v>6</v>
      </c>
      <c r="UWB347" s="444" t="s">
        <v>1127</v>
      </c>
      <c r="UWC347" s="444">
        <v>6</v>
      </c>
      <c r="UWD347" s="444" t="s">
        <v>1127</v>
      </c>
      <c r="UWE347" s="444">
        <v>6</v>
      </c>
      <c r="UWF347" s="444" t="s">
        <v>1127</v>
      </c>
      <c r="UWG347" s="444">
        <v>6</v>
      </c>
      <c r="UWH347" s="444" t="s">
        <v>1127</v>
      </c>
      <c r="UWI347" s="444">
        <v>6</v>
      </c>
      <c r="UWJ347" s="444" t="s">
        <v>1127</v>
      </c>
      <c r="UWK347" s="444">
        <v>6</v>
      </c>
      <c r="UWL347" s="444" t="s">
        <v>1127</v>
      </c>
      <c r="UWM347" s="444">
        <v>6</v>
      </c>
      <c r="UWN347" s="444" t="s">
        <v>1127</v>
      </c>
      <c r="UWO347" s="444">
        <v>6</v>
      </c>
      <c r="UWP347" s="444" t="s">
        <v>1127</v>
      </c>
      <c r="UWQ347" s="444">
        <v>6</v>
      </c>
      <c r="UWR347" s="444" t="s">
        <v>1127</v>
      </c>
      <c r="UWS347" s="444">
        <v>6</v>
      </c>
      <c r="UWT347" s="444" t="s">
        <v>1127</v>
      </c>
      <c r="UWU347" s="444">
        <v>6</v>
      </c>
      <c r="UWV347" s="444" t="s">
        <v>1127</v>
      </c>
      <c r="UWW347" s="444">
        <v>6</v>
      </c>
      <c r="UWX347" s="444" t="s">
        <v>1127</v>
      </c>
      <c r="UWY347" s="444">
        <v>6</v>
      </c>
      <c r="UWZ347" s="444" t="s">
        <v>1127</v>
      </c>
      <c r="UXA347" s="444">
        <v>6</v>
      </c>
      <c r="UXB347" s="444" t="s">
        <v>1127</v>
      </c>
      <c r="UXC347" s="444">
        <v>6</v>
      </c>
      <c r="UXD347" s="444" t="s">
        <v>1127</v>
      </c>
      <c r="UXE347" s="444">
        <v>6</v>
      </c>
      <c r="UXF347" s="444" t="s">
        <v>1127</v>
      </c>
      <c r="UXG347" s="444">
        <v>6</v>
      </c>
      <c r="UXH347" s="444" t="s">
        <v>1127</v>
      </c>
      <c r="UXI347" s="444">
        <v>6</v>
      </c>
      <c r="UXJ347" s="444" t="s">
        <v>1127</v>
      </c>
      <c r="UXK347" s="444">
        <v>6</v>
      </c>
      <c r="UXL347" s="444" t="s">
        <v>1127</v>
      </c>
      <c r="UXM347" s="444">
        <v>6</v>
      </c>
      <c r="UXN347" s="444" t="s">
        <v>1127</v>
      </c>
      <c r="UXO347" s="444">
        <v>6</v>
      </c>
      <c r="UXP347" s="444" t="s">
        <v>1127</v>
      </c>
      <c r="UXQ347" s="444">
        <v>6</v>
      </c>
      <c r="UXR347" s="444" t="s">
        <v>1127</v>
      </c>
      <c r="UXS347" s="444">
        <v>6</v>
      </c>
      <c r="UXT347" s="444" t="s">
        <v>1127</v>
      </c>
      <c r="UXU347" s="444">
        <v>6</v>
      </c>
      <c r="UXV347" s="444" t="s">
        <v>1127</v>
      </c>
      <c r="UXW347" s="444">
        <v>6</v>
      </c>
      <c r="UXX347" s="444" t="s">
        <v>1127</v>
      </c>
      <c r="UXY347" s="444">
        <v>6</v>
      </c>
      <c r="UXZ347" s="444" t="s">
        <v>1127</v>
      </c>
      <c r="UYA347" s="444">
        <v>6</v>
      </c>
      <c r="UYB347" s="444" t="s">
        <v>1127</v>
      </c>
      <c r="UYC347" s="444">
        <v>6</v>
      </c>
      <c r="UYD347" s="444" t="s">
        <v>1127</v>
      </c>
      <c r="UYE347" s="444">
        <v>6</v>
      </c>
      <c r="UYF347" s="444" t="s">
        <v>1127</v>
      </c>
      <c r="UYG347" s="444">
        <v>6</v>
      </c>
      <c r="UYH347" s="444" t="s">
        <v>1127</v>
      </c>
      <c r="UYI347" s="444">
        <v>6</v>
      </c>
      <c r="UYJ347" s="444" t="s">
        <v>1127</v>
      </c>
      <c r="UYK347" s="444">
        <v>6</v>
      </c>
      <c r="UYL347" s="444" t="s">
        <v>1127</v>
      </c>
      <c r="UYM347" s="444">
        <v>6</v>
      </c>
      <c r="UYN347" s="444" t="s">
        <v>1127</v>
      </c>
      <c r="UYO347" s="444">
        <v>6</v>
      </c>
      <c r="UYP347" s="444" t="s">
        <v>1127</v>
      </c>
      <c r="UYQ347" s="444">
        <v>6</v>
      </c>
      <c r="UYR347" s="444" t="s">
        <v>1127</v>
      </c>
      <c r="UYS347" s="444">
        <v>6</v>
      </c>
      <c r="UYT347" s="444" t="s">
        <v>1127</v>
      </c>
      <c r="UYU347" s="444">
        <v>6</v>
      </c>
      <c r="UYV347" s="444" t="s">
        <v>1127</v>
      </c>
      <c r="UYW347" s="444">
        <v>6</v>
      </c>
      <c r="UYX347" s="444" t="s">
        <v>1127</v>
      </c>
      <c r="UYY347" s="444">
        <v>6</v>
      </c>
      <c r="UYZ347" s="444" t="s">
        <v>1127</v>
      </c>
      <c r="UZA347" s="444">
        <v>6</v>
      </c>
      <c r="UZB347" s="444" t="s">
        <v>1127</v>
      </c>
      <c r="UZC347" s="444">
        <v>6</v>
      </c>
      <c r="UZD347" s="444" t="s">
        <v>1127</v>
      </c>
      <c r="UZE347" s="444">
        <v>6</v>
      </c>
      <c r="UZF347" s="444" t="s">
        <v>1127</v>
      </c>
      <c r="UZG347" s="444">
        <v>6</v>
      </c>
      <c r="UZH347" s="444" t="s">
        <v>1127</v>
      </c>
      <c r="UZI347" s="444">
        <v>6</v>
      </c>
      <c r="UZJ347" s="444" t="s">
        <v>1127</v>
      </c>
      <c r="UZK347" s="444">
        <v>6</v>
      </c>
      <c r="UZL347" s="444" t="s">
        <v>1127</v>
      </c>
      <c r="UZM347" s="444">
        <v>6</v>
      </c>
      <c r="UZN347" s="444" t="s">
        <v>1127</v>
      </c>
      <c r="UZO347" s="444">
        <v>6</v>
      </c>
      <c r="UZP347" s="444" t="s">
        <v>1127</v>
      </c>
      <c r="UZQ347" s="444">
        <v>6</v>
      </c>
      <c r="UZR347" s="444" t="s">
        <v>1127</v>
      </c>
      <c r="UZS347" s="444">
        <v>6</v>
      </c>
      <c r="UZT347" s="444" t="s">
        <v>1127</v>
      </c>
      <c r="UZU347" s="444">
        <v>6</v>
      </c>
      <c r="UZV347" s="444" t="s">
        <v>1127</v>
      </c>
      <c r="UZW347" s="444">
        <v>6</v>
      </c>
      <c r="UZX347" s="444" t="s">
        <v>1127</v>
      </c>
      <c r="UZY347" s="444">
        <v>6</v>
      </c>
      <c r="UZZ347" s="444" t="s">
        <v>1127</v>
      </c>
      <c r="VAA347" s="444">
        <v>6</v>
      </c>
      <c r="VAB347" s="444" t="s">
        <v>1127</v>
      </c>
      <c r="VAC347" s="444">
        <v>6</v>
      </c>
      <c r="VAD347" s="444" t="s">
        <v>1127</v>
      </c>
      <c r="VAE347" s="444">
        <v>6</v>
      </c>
      <c r="VAF347" s="444" t="s">
        <v>1127</v>
      </c>
      <c r="VAG347" s="444">
        <v>6</v>
      </c>
      <c r="VAH347" s="444" t="s">
        <v>1127</v>
      </c>
      <c r="VAI347" s="444">
        <v>6</v>
      </c>
      <c r="VAJ347" s="444" t="s">
        <v>1127</v>
      </c>
      <c r="VAK347" s="444">
        <v>6</v>
      </c>
      <c r="VAL347" s="444" t="s">
        <v>1127</v>
      </c>
      <c r="VAM347" s="444">
        <v>6</v>
      </c>
      <c r="VAN347" s="444" t="s">
        <v>1127</v>
      </c>
      <c r="VAO347" s="444">
        <v>6</v>
      </c>
      <c r="VAP347" s="444" t="s">
        <v>1127</v>
      </c>
      <c r="VAQ347" s="444">
        <v>6</v>
      </c>
      <c r="VAR347" s="444" t="s">
        <v>1127</v>
      </c>
      <c r="VAS347" s="444">
        <v>6</v>
      </c>
      <c r="VAT347" s="444" t="s">
        <v>1127</v>
      </c>
      <c r="VAU347" s="444">
        <v>6</v>
      </c>
      <c r="VAV347" s="444" t="s">
        <v>1127</v>
      </c>
      <c r="VAW347" s="444">
        <v>6</v>
      </c>
      <c r="VAX347" s="444" t="s">
        <v>1127</v>
      </c>
      <c r="VAY347" s="444">
        <v>6</v>
      </c>
      <c r="VAZ347" s="444" t="s">
        <v>1127</v>
      </c>
      <c r="VBA347" s="444">
        <v>6</v>
      </c>
      <c r="VBB347" s="444" t="s">
        <v>1127</v>
      </c>
      <c r="VBC347" s="444">
        <v>6</v>
      </c>
      <c r="VBD347" s="444" t="s">
        <v>1127</v>
      </c>
      <c r="VBE347" s="444">
        <v>6</v>
      </c>
      <c r="VBF347" s="444" t="s">
        <v>1127</v>
      </c>
      <c r="VBG347" s="444">
        <v>6</v>
      </c>
      <c r="VBH347" s="444" t="s">
        <v>1127</v>
      </c>
      <c r="VBI347" s="444">
        <v>6</v>
      </c>
      <c r="VBJ347" s="444" t="s">
        <v>1127</v>
      </c>
      <c r="VBK347" s="444">
        <v>6</v>
      </c>
      <c r="VBL347" s="444" t="s">
        <v>1127</v>
      </c>
      <c r="VBM347" s="444">
        <v>6</v>
      </c>
      <c r="VBN347" s="444" t="s">
        <v>1127</v>
      </c>
      <c r="VBO347" s="444">
        <v>6</v>
      </c>
      <c r="VBP347" s="444" t="s">
        <v>1127</v>
      </c>
      <c r="VBQ347" s="444">
        <v>6</v>
      </c>
      <c r="VBR347" s="444" t="s">
        <v>1127</v>
      </c>
      <c r="VBS347" s="444">
        <v>6</v>
      </c>
      <c r="VBT347" s="444" t="s">
        <v>1127</v>
      </c>
      <c r="VBU347" s="444">
        <v>6</v>
      </c>
      <c r="VBV347" s="444" t="s">
        <v>1127</v>
      </c>
      <c r="VBW347" s="444">
        <v>6</v>
      </c>
      <c r="VBX347" s="444" t="s">
        <v>1127</v>
      </c>
      <c r="VBY347" s="444">
        <v>6</v>
      </c>
      <c r="VBZ347" s="444" t="s">
        <v>1127</v>
      </c>
      <c r="VCA347" s="444">
        <v>6</v>
      </c>
      <c r="VCB347" s="444" t="s">
        <v>1127</v>
      </c>
      <c r="VCC347" s="444">
        <v>6</v>
      </c>
      <c r="VCD347" s="444" t="s">
        <v>1127</v>
      </c>
      <c r="VCE347" s="444">
        <v>6</v>
      </c>
      <c r="VCF347" s="444" t="s">
        <v>1127</v>
      </c>
      <c r="VCG347" s="444">
        <v>6</v>
      </c>
      <c r="VCH347" s="444" t="s">
        <v>1127</v>
      </c>
      <c r="VCI347" s="444">
        <v>6</v>
      </c>
      <c r="VCJ347" s="444" t="s">
        <v>1127</v>
      </c>
      <c r="VCK347" s="444">
        <v>6</v>
      </c>
      <c r="VCL347" s="444" t="s">
        <v>1127</v>
      </c>
      <c r="VCM347" s="444">
        <v>6</v>
      </c>
      <c r="VCN347" s="444" t="s">
        <v>1127</v>
      </c>
      <c r="VCO347" s="444">
        <v>6</v>
      </c>
      <c r="VCP347" s="444" t="s">
        <v>1127</v>
      </c>
      <c r="VCQ347" s="444">
        <v>6</v>
      </c>
      <c r="VCR347" s="444" t="s">
        <v>1127</v>
      </c>
      <c r="VCS347" s="444">
        <v>6</v>
      </c>
      <c r="VCT347" s="444" t="s">
        <v>1127</v>
      </c>
      <c r="VCU347" s="444">
        <v>6</v>
      </c>
      <c r="VCV347" s="444" t="s">
        <v>1127</v>
      </c>
      <c r="VCW347" s="444">
        <v>6</v>
      </c>
      <c r="VCX347" s="444" t="s">
        <v>1127</v>
      </c>
      <c r="VCY347" s="444">
        <v>6</v>
      </c>
      <c r="VCZ347" s="444" t="s">
        <v>1127</v>
      </c>
      <c r="VDA347" s="444">
        <v>6</v>
      </c>
      <c r="VDB347" s="444" t="s">
        <v>1127</v>
      </c>
      <c r="VDC347" s="444">
        <v>6</v>
      </c>
      <c r="VDD347" s="444" t="s">
        <v>1127</v>
      </c>
      <c r="VDE347" s="444">
        <v>6</v>
      </c>
      <c r="VDF347" s="444" t="s">
        <v>1127</v>
      </c>
      <c r="VDG347" s="444">
        <v>6</v>
      </c>
      <c r="VDH347" s="444" t="s">
        <v>1127</v>
      </c>
      <c r="VDI347" s="444">
        <v>6</v>
      </c>
      <c r="VDJ347" s="444" t="s">
        <v>1127</v>
      </c>
      <c r="VDK347" s="444">
        <v>6</v>
      </c>
      <c r="VDL347" s="444" t="s">
        <v>1127</v>
      </c>
      <c r="VDM347" s="444">
        <v>6</v>
      </c>
      <c r="VDN347" s="444" t="s">
        <v>1127</v>
      </c>
      <c r="VDO347" s="444">
        <v>6</v>
      </c>
      <c r="VDP347" s="444" t="s">
        <v>1127</v>
      </c>
      <c r="VDQ347" s="444">
        <v>6</v>
      </c>
      <c r="VDR347" s="444" t="s">
        <v>1127</v>
      </c>
      <c r="VDS347" s="444">
        <v>6</v>
      </c>
      <c r="VDT347" s="444" t="s">
        <v>1127</v>
      </c>
      <c r="VDU347" s="444">
        <v>6</v>
      </c>
      <c r="VDV347" s="444" t="s">
        <v>1127</v>
      </c>
      <c r="VDW347" s="444">
        <v>6</v>
      </c>
      <c r="VDX347" s="444" t="s">
        <v>1127</v>
      </c>
      <c r="VDY347" s="444">
        <v>6</v>
      </c>
      <c r="VDZ347" s="444" t="s">
        <v>1127</v>
      </c>
      <c r="VEA347" s="444">
        <v>6</v>
      </c>
      <c r="VEB347" s="444" t="s">
        <v>1127</v>
      </c>
      <c r="VEC347" s="444">
        <v>6</v>
      </c>
      <c r="VED347" s="444" t="s">
        <v>1127</v>
      </c>
      <c r="VEE347" s="444">
        <v>6</v>
      </c>
      <c r="VEF347" s="444" t="s">
        <v>1127</v>
      </c>
      <c r="VEG347" s="444">
        <v>6</v>
      </c>
      <c r="VEH347" s="444" t="s">
        <v>1127</v>
      </c>
      <c r="VEI347" s="444">
        <v>6</v>
      </c>
      <c r="VEJ347" s="444" t="s">
        <v>1127</v>
      </c>
      <c r="VEK347" s="444">
        <v>6</v>
      </c>
      <c r="VEL347" s="444" t="s">
        <v>1127</v>
      </c>
      <c r="VEM347" s="444">
        <v>6</v>
      </c>
      <c r="VEN347" s="444" t="s">
        <v>1127</v>
      </c>
      <c r="VEO347" s="444">
        <v>6</v>
      </c>
      <c r="VEP347" s="444" t="s">
        <v>1127</v>
      </c>
      <c r="VEQ347" s="444">
        <v>6</v>
      </c>
      <c r="VER347" s="444" t="s">
        <v>1127</v>
      </c>
      <c r="VES347" s="444">
        <v>6</v>
      </c>
      <c r="VET347" s="444" t="s">
        <v>1127</v>
      </c>
      <c r="VEU347" s="444">
        <v>6</v>
      </c>
      <c r="VEV347" s="444" t="s">
        <v>1127</v>
      </c>
      <c r="VEW347" s="444">
        <v>6</v>
      </c>
      <c r="VEX347" s="444" t="s">
        <v>1127</v>
      </c>
      <c r="VEY347" s="444">
        <v>6</v>
      </c>
      <c r="VEZ347" s="444" t="s">
        <v>1127</v>
      </c>
      <c r="VFA347" s="444">
        <v>6</v>
      </c>
      <c r="VFB347" s="444" t="s">
        <v>1127</v>
      </c>
      <c r="VFC347" s="444">
        <v>6</v>
      </c>
      <c r="VFD347" s="444" t="s">
        <v>1127</v>
      </c>
      <c r="VFE347" s="444">
        <v>6</v>
      </c>
      <c r="VFF347" s="444" t="s">
        <v>1127</v>
      </c>
      <c r="VFG347" s="444">
        <v>6</v>
      </c>
      <c r="VFH347" s="444" t="s">
        <v>1127</v>
      </c>
      <c r="VFI347" s="444">
        <v>6</v>
      </c>
      <c r="VFJ347" s="444" t="s">
        <v>1127</v>
      </c>
      <c r="VFK347" s="444">
        <v>6</v>
      </c>
      <c r="VFL347" s="444" t="s">
        <v>1127</v>
      </c>
      <c r="VFM347" s="444">
        <v>6</v>
      </c>
      <c r="VFN347" s="444" t="s">
        <v>1127</v>
      </c>
      <c r="VFO347" s="444">
        <v>6</v>
      </c>
      <c r="VFP347" s="444" t="s">
        <v>1127</v>
      </c>
      <c r="VFQ347" s="444">
        <v>6</v>
      </c>
      <c r="VFR347" s="444" t="s">
        <v>1127</v>
      </c>
      <c r="VFS347" s="444">
        <v>6</v>
      </c>
      <c r="VFT347" s="444" t="s">
        <v>1127</v>
      </c>
      <c r="VFU347" s="444">
        <v>6</v>
      </c>
      <c r="VFV347" s="444" t="s">
        <v>1127</v>
      </c>
      <c r="VFW347" s="444">
        <v>6</v>
      </c>
      <c r="VFX347" s="444" t="s">
        <v>1127</v>
      </c>
      <c r="VFY347" s="444">
        <v>6</v>
      </c>
      <c r="VFZ347" s="444" t="s">
        <v>1127</v>
      </c>
      <c r="VGA347" s="444">
        <v>6</v>
      </c>
      <c r="VGB347" s="444" t="s">
        <v>1127</v>
      </c>
      <c r="VGC347" s="444">
        <v>6</v>
      </c>
      <c r="VGD347" s="444" t="s">
        <v>1127</v>
      </c>
      <c r="VGE347" s="444">
        <v>6</v>
      </c>
      <c r="VGF347" s="444" t="s">
        <v>1127</v>
      </c>
      <c r="VGG347" s="444">
        <v>6</v>
      </c>
      <c r="VGH347" s="444" t="s">
        <v>1127</v>
      </c>
      <c r="VGI347" s="444">
        <v>6</v>
      </c>
      <c r="VGJ347" s="444" t="s">
        <v>1127</v>
      </c>
      <c r="VGK347" s="444">
        <v>6</v>
      </c>
      <c r="VGL347" s="444" t="s">
        <v>1127</v>
      </c>
      <c r="VGM347" s="444">
        <v>6</v>
      </c>
      <c r="VGN347" s="444" t="s">
        <v>1127</v>
      </c>
      <c r="VGO347" s="444">
        <v>6</v>
      </c>
      <c r="VGP347" s="444" t="s">
        <v>1127</v>
      </c>
      <c r="VGQ347" s="444">
        <v>6</v>
      </c>
      <c r="VGR347" s="444" t="s">
        <v>1127</v>
      </c>
      <c r="VGS347" s="444">
        <v>6</v>
      </c>
      <c r="VGT347" s="444" t="s">
        <v>1127</v>
      </c>
      <c r="VGU347" s="444">
        <v>6</v>
      </c>
      <c r="VGV347" s="444" t="s">
        <v>1127</v>
      </c>
      <c r="VGW347" s="444">
        <v>6</v>
      </c>
      <c r="VGX347" s="444" t="s">
        <v>1127</v>
      </c>
      <c r="VGY347" s="444">
        <v>6</v>
      </c>
      <c r="VGZ347" s="444" t="s">
        <v>1127</v>
      </c>
      <c r="VHA347" s="444">
        <v>6</v>
      </c>
      <c r="VHB347" s="444" t="s">
        <v>1127</v>
      </c>
      <c r="VHC347" s="444">
        <v>6</v>
      </c>
      <c r="VHD347" s="444" t="s">
        <v>1127</v>
      </c>
      <c r="VHE347" s="444">
        <v>6</v>
      </c>
      <c r="VHF347" s="444" t="s">
        <v>1127</v>
      </c>
      <c r="VHG347" s="444">
        <v>6</v>
      </c>
      <c r="VHH347" s="444" t="s">
        <v>1127</v>
      </c>
      <c r="VHI347" s="444">
        <v>6</v>
      </c>
      <c r="VHJ347" s="444" t="s">
        <v>1127</v>
      </c>
      <c r="VHK347" s="444">
        <v>6</v>
      </c>
      <c r="VHL347" s="444" t="s">
        <v>1127</v>
      </c>
      <c r="VHM347" s="444">
        <v>6</v>
      </c>
      <c r="VHN347" s="444" t="s">
        <v>1127</v>
      </c>
      <c r="VHO347" s="444">
        <v>6</v>
      </c>
      <c r="VHP347" s="444" t="s">
        <v>1127</v>
      </c>
      <c r="VHQ347" s="444">
        <v>6</v>
      </c>
      <c r="VHR347" s="444" t="s">
        <v>1127</v>
      </c>
      <c r="VHS347" s="444">
        <v>6</v>
      </c>
      <c r="VHT347" s="444" t="s">
        <v>1127</v>
      </c>
      <c r="VHU347" s="444">
        <v>6</v>
      </c>
      <c r="VHV347" s="444" t="s">
        <v>1127</v>
      </c>
      <c r="VHW347" s="444">
        <v>6</v>
      </c>
      <c r="VHX347" s="444" t="s">
        <v>1127</v>
      </c>
      <c r="VHY347" s="444">
        <v>6</v>
      </c>
      <c r="VHZ347" s="444" t="s">
        <v>1127</v>
      </c>
      <c r="VIA347" s="444">
        <v>6</v>
      </c>
      <c r="VIB347" s="444" t="s">
        <v>1127</v>
      </c>
      <c r="VIC347" s="444">
        <v>6</v>
      </c>
      <c r="VID347" s="444" t="s">
        <v>1127</v>
      </c>
      <c r="VIE347" s="444">
        <v>6</v>
      </c>
      <c r="VIF347" s="444" t="s">
        <v>1127</v>
      </c>
      <c r="VIG347" s="444">
        <v>6</v>
      </c>
      <c r="VIH347" s="444" t="s">
        <v>1127</v>
      </c>
      <c r="VII347" s="444">
        <v>6</v>
      </c>
      <c r="VIJ347" s="444" t="s">
        <v>1127</v>
      </c>
      <c r="VIK347" s="444">
        <v>6</v>
      </c>
      <c r="VIL347" s="444" t="s">
        <v>1127</v>
      </c>
      <c r="VIM347" s="444">
        <v>6</v>
      </c>
      <c r="VIN347" s="444" t="s">
        <v>1127</v>
      </c>
      <c r="VIO347" s="444">
        <v>6</v>
      </c>
      <c r="VIP347" s="444" t="s">
        <v>1127</v>
      </c>
      <c r="VIQ347" s="444">
        <v>6</v>
      </c>
      <c r="VIR347" s="444" t="s">
        <v>1127</v>
      </c>
      <c r="VIS347" s="444">
        <v>6</v>
      </c>
      <c r="VIT347" s="444" t="s">
        <v>1127</v>
      </c>
      <c r="VIU347" s="444">
        <v>6</v>
      </c>
      <c r="VIV347" s="444" t="s">
        <v>1127</v>
      </c>
      <c r="VIW347" s="444">
        <v>6</v>
      </c>
      <c r="VIX347" s="444" t="s">
        <v>1127</v>
      </c>
      <c r="VIY347" s="444">
        <v>6</v>
      </c>
      <c r="VIZ347" s="444" t="s">
        <v>1127</v>
      </c>
      <c r="VJA347" s="444">
        <v>6</v>
      </c>
      <c r="VJB347" s="444" t="s">
        <v>1127</v>
      </c>
      <c r="VJC347" s="444">
        <v>6</v>
      </c>
      <c r="VJD347" s="444" t="s">
        <v>1127</v>
      </c>
      <c r="VJE347" s="444">
        <v>6</v>
      </c>
      <c r="VJF347" s="444" t="s">
        <v>1127</v>
      </c>
      <c r="VJG347" s="444">
        <v>6</v>
      </c>
      <c r="VJH347" s="444" t="s">
        <v>1127</v>
      </c>
      <c r="VJI347" s="444">
        <v>6</v>
      </c>
      <c r="VJJ347" s="444" t="s">
        <v>1127</v>
      </c>
      <c r="VJK347" s="444">
        <v>6</v>
      </c>
      <c r="VJL347" s="444" t="s">
        <v>1127</v>
      </c>
      <c r="VJM347" s="444">
        <v>6</v>
      </c>
      <c r="VJN347" s="444" t="s">
        <v>1127</v>
      </c>
      <c r="VJO347" s="444">
        <v>6</v>
      </c>
      <c r="VJP347" s="444" t="s">
        <v>1127</v>
      </c>
      <c r="VJQ347" s="444">
        <v>6</v>
      </c>
      <c r="VJR347" s="444" t="s">
        <v>1127</v>
      </c>
      <c r="VJS347" s="444">
        <v>6</v>
      </c>
      <c r="VJT347" s="444" t="s">
        <v>1127</v>
      </c>
      <c r="VJU347" s="444">
        <v>6</v>
      </c>
      <c r="VJV347" s="444" t="s">
        <v>1127</v>
      </c>
      <c r="VJW347" s="444">
        <v>6</v>
      </c>
      <c r="VJX347" s="444" t="s">
        <v>1127</v>
      </c>
      <c r="VJY347" s="444">
        <v>6</v>
      </c>
      <c r="VJZ347" s="444" t="s">
        <v>1127</v>
      </c>
      <c r="VKA347" s="444">
        <v>6</v>
      </c>
      <c r="VKB347" s="444" t="s">
        <v>1127</v>
      </c>
      <c r="VKC347" s="444">
        <v>6</v>
      </c>
      <c r="VKD347" s="444" t="s">
        <v>1127</v>
      </c>
      <c r="VKE347" s="444">
        <v>6</v>
      </c>
      <c r="VKF347" s="444" t="s">
        <v>1127</v>
      </c>
      <c r="VKG347" s="444">
        <v>6</v>
      </c>
      <c r="VKH347" s="444" t="s">
        <v>1127</v>
      </c>
      <c r="VKI347" s="444">
        <v>6</v>
      </c>
      <c r="VKJ347" s="444" t="s">
        <v>1127</v>
      </c>
      <c r="VKK347" s="444">
        <v>6</v>
      </c>
      <c r="VKL347" s="444" t="s">
        <v>1127</v>
      </c>
      <c r="VKM347" s="444">
        <v>6</v>
      </c>
      <c r="VKN347" s="444" t="s">
        <v>1127</v>
      </c>
      <c r="VKO347" s="444">
        <v>6</v>
      </c>
      <c r="VKP347" s="444" t="s">
        <v>1127</v>
      </c>
      <c r="VKQ347" s="444">
        <v>6</v>
      </c>
      <c r="VKR347" s="444" t="s">
        <v>1127</v>
      </c>
      <c r="VKS347" s="444">
        <v>6</v>
      </c>
      <c r="VKT347" s="444" t="s">
        <v>1127</v>
      </c>
      <c r="VKU347" s="444">
        <v>6</v>
      </c>
      <c r="VKV347" s="444" t="s">
        <v>1127</v>
      </c>
      <c r="VKW347" s="444">
        <v>6</v>
      </c>
      <c r="VKX347" s="444" t="s">
        <v>1127</v>
      </c>
      <c r="VKY347" s="444">
        <v>6</v>
      </c>
      <c r="VKZ347" s="444" t="s">
        <v>1127</v>
      </c>
      <c r="VLA347" s="444">
        <v>6</v>
      </c>
      <c r="VLB347" s="444" t="s">
        <v>1127</v>
      </c>
      <c r="VLC347" s="444">
        <v>6</v>
      </c>
      <c r="VLD347" s="444" t="s">
        <v>1127</v>
      </c>
      <c r="VLE347" s="444">
        <v>6</v>
      </c>
      <c r="VLF347" s="444" t="s">
        <v>1127</v>
      </c>
      <c r="VLG347" s="444">
        <v>6</v>
      </c>
      <c r="VLH347" s="444" t="s">
        <v>1127</v>
      </c>
      <c r="VLI347" s="444">
        <v>6</v>
      </c>
      <c r="VLJ347" s="444" t="s">
        <v>1127</v>
      </c>
      <c r="VLK347" s="444">
        <v>6</v>
      </c>
      <c r="VLL347" s="444" t="s">
        <v>1127</v>
      </c>
      <c r="VLM347" s="444">
        <v>6</v>
      </c>
      <c r="VLN347" s="444" t="s">
        <v>1127</v>
      </c>
      <c r="VLO347" s="444">
        <v>6</v>
      </c>
      <c r="VLP347" s="444" t="s">
        <v>1127</v>
      </c>
      <c r="VLQ347" s="444">
        <v>6</v>
      </c>
      <c r="VLR347" s="444" t="s">
        <v>1127</v>
      </c>
      <c r="VLS347" s="444">
        <v>6</v>
      </c>
      <c r="VLT347" s="444" t="s">
        <v>1127</v>
      </c>
      <c r="VLU347" s="444">
        <v>6</v>
      </c>
      <c r="VLV347" s="444" t="s">
        <v>1127</v>
      </c>
      <c r="VLW347" s="444">
        <v>6</v>
      </c>
      <c r="VLX347" s="444" t="s">
        <v>1127</v>
      </c>
      <c r="VLY347" s="444">
        <v>6</v>
      </c>
      <c r="VLZ347" s="444" t="s">
        <v>1127</v>
      </c>
      <c r="VMA347" s="444">
        <v>6</v>
      </c>
      <c r="VMB347" s="444" t="s">
        <v>1127</v>
      </c>
      <c r="VMC347" s="444">
        <v>6</v>
      </c>
      <c r="VMD347" s="444" t="s">
        <v>1127</v>
      </c>
      <c r="VME347" s="444">
        <v>6</v>
      </c>
      <c r="VMF347" s="444" t="s">
        <v>1127</v>
      </c>
      <c r="VMG347" s="444">
        <v>6</v>
      </c>
      <c r="VMH347" s="444" t="s">
        <v>1127</v>
      </c>
      <c r="VMI347" s="444">
        <v>6</v>
      </c>
      <c r="VMJ347" s="444" t="s">
        <v>1127</v>
      </c>
      <c r="VMK347" s="444">
        <v>6</v>
      </c>
      <c r="VML347" s="444" t="s">
        <v>1127</v>
      </c>
      <c r="VMM347" s="444">
        <v>6</v>
      </c>
      <c r="VMN347" s="444" t="s">
        <v>1127</v>
      </c>
      <c r="VMO347" s="444">
        <v>6</v>
      </c>
      <c r="VMP347" s="444" t="s">
        <v>1127</v>
      </c>
      <c r="VMQ347" s="444">
        <v>6</v>
      </c>
      <c r="VMR347" s="444" t="s">
        <v>1127</v>
      </c>
      <c r="VMS347" s="444">
        <v>6</v>
      </c>
      <c r="VMT347" s="444" t="s">
        <v>1127</v>
      </c>
      <c r="VMU347" s="444">
        <v>6</v>
      </c>
      <c r="VMV347" s="444" t="s">
        <v>1127</v>
      </c>
      <c r="VMW347" s="444">
        <v>6</v>
      </c>
      <c r="VMX347" s="444" t="s">
        <v>1127</v>
      </c>
      <c r="VMY347" s="444">
        <v>6</v>
      </c>
      <c r="VMZ347" s="444" t="s">
        <v>1127</v>
      </c>
      <c r="VNA347" s="444">
        <v>6</v>
      </c>
      <c r="VNB347" s="444" t="s">
        <v>1127</v>
      </c>
      <c r="VNC347" s="444">
        <v>6</v>
      </c>
      <c r="VND347" s="444" t="s">
        <v>1127</v>
      </c>
      <c r="VNE347" s="444">
        <v>6</v>
      </c>
      <c r="VNF347" s="444" t="s">
        <v>1127</v>
      </c>
      <c r="VNG347" s="444">
        <v>6</v>
      </c>
      <c r="VNH347" s="444" t="s">
        <v>1127</v>
      </c>
      <c r="VNI347" s="444">
        <v>6</v>
      </c>
      <c r="VNJ347" s="444" t="s">
        <v>1127</v>
      </c>
      <c r="VNK347" s="444">
        <v>6</v>
      </c>
      <c r="VNL347" s="444" t="s">
        <v>1127</v>
      </c>
      <c r="VNM347" s="444">
        <v>6</v>
      </c>
      <c r="VNN347" s="444" t="s">
        <v>1127</v>
      </c>
      <c r="VNO347" s="444">
        <v>6</v>
      </c>
      <c r="VNP347" s="444" t="s">
        <v>1127</v>
      </c>
      <c r="VNQ347" s="444">
        <v>6</v>
      </c>
      <c r="VNR347" s="444" t="s">
        <v>1127</v>
      </c>
      <c r="VNS347" s="444">
        <v>6</v>
      </c>
      <c r="VNT347" s="444" t="s">
        <v>1127</v>
      </c>
      <c r="VNU347" s="444">
        <v>6</v>
      </c>
      <c r="VNV347" s="444" t="s">
        <v>1127</v>
      </c>
      <c r="VNW347" s="444">
        <v>6</v>
      </c>
      <c r="VNX347" s="444" t="s">
        <v>1127</v>
      </c>
      <c r="VNY347" s="444">
        <v>6</v>
      </c>
      <c r="VNZ347" s="444" t="s">
        <v>1127</v>
      </c>
      <c r="VOA347" s="444">
        <v>6</v>
      </c>
      <c r="VOB347" s="444" t="s">
        <v>1127</v>
      </c>
      <c r="VOC347" s="444">
        <v>6</v>
      </c>
      <c r="VOD347" s="444" t="s">
        <v>1127</v>
      </c>
      <c r="VOE347" s="444">
        <v>6</v>
      </c>
      <c r="VOF347" s="444" t="s">
        <v>1127</v>
      </c>
      <c r="VOG347" s="444">
        <v>6</v>
      </c>
      <c r="VOH347" s="444" t="s">
        <v>1127</v>
      </c>
      <c r="VOI347" s="444">
        <v>6</v>
      </c>
      <c r="VOJ347" s="444" t="s">
        <v>1127</v>
      </c>
      <c r="VOK347" s="444">
        <v>6</v>
      </c>
      <c r="VOL347" s="444" t="s">
        <v>1127</v>
      </c>
      <c r="VOM347" s="444">
        <v>6</v>
      </c>
      <c r="VON347" s="444" t="s">
        <v>1127</v>
      </c>
      <c r="VOO347" s="444">
        <v>6</v>
      </c>
      <c r="VOP347" s="444" t="s">
        <v>1127</v>
      </c>
      <c r="VOQ347" s="444">
        <v>6</v>
      </c>
      <c r="VOR347" s="444" t="s">
        <v>1127</v>
      </c>
      <c r="VOS347" s="444">
        <v>6</v>
      </c>
      <c r="VOT347" s="444" t="s">
        <v>1127</v>
      </c>
      <c r="VOU347" s="444">
        <v>6</v>
      </c>
      <c r="VOV347" s="444" t="s">
        <v>1127</v>
      </c>
      <c r="VOW347" s="444">
        <v>6</v>
      </c>
      <c r="VOX347" s="444" t="s">
        <v>1127</v>
      </c>
      <c r="VOY347" s="444">
        <v>6</v>
      </c>
      <c r="VOZ347" s="444" t="s">
        <v>1127</v>
      </c>
      <c r="VPA347" s="444">
        <v>6</v>
      </c>
      <c r="VPB347" s="444" t="s">
        <v>1127</v>
      </c>
      <c r="VPC347" s="444">
        <v>6</v>
      </c>
      <c r="VPD347" s="444" t="s">
        <v>1127</v>
      </c>
      <c r="VPE347" s="444">
        <v>6</v>
      </c>
      <c r="VPF347" s="444" t="s">
        <v>1127</v>
      </c>
      <c r="VPG347" s="444">
        <v>6</v>
      </c>
      <c r="VPH347" s="444" t="s">
        <v>1127</v>
      </c>
      <c r="VPI347" s="444">
        <v>6</v>
      </c>
      <c r="VPJ347" s="444" t="s">
        <v>1127</v>
      </c>
      <c r="VPK347" s="444">
        <v>6</v>
      </c>
      <c r="VPL347" s="444" t="s">
        <v>1127</v>
      </c>
      <c r="VPM347" s="444">
        <v>6</v>
      </c>
      <c r="VPN347" s="444" t="s">
        <v>1127</v>
      </c>
      <c r="VPO347" s="444">
        <v>6</v>
      </c>
      <c r="VPP347" s="444" t="s">
        <v>1127</v>
      </c>
      <c r="VPQ347" s="444">
        <v>6</v>
      </c>
      <c r="VPR347" s="444" t="s">
        <v>1127</v>
      </c>
      <c r="VPS347" s="444">
        <v>6</v>
      </c>
      <c r="VPT347" s="444" t="s">
        <v>1127</v>
      </c>
      <c r="VPU347" s="444">
        <v>6</v>
      </c>
      <c r="VPV347" s="444" t="s">
        <v>1127</v>
      </c>
      <c r="VPW347" s="444">
        <v>6</v>
      </c>
      <c r="VPX347" s="444" t="s">
        <v>1127</v>
      </c>
      <c r="VPY347" s="444">
        <v>6</v>
      </c>
      <c r="VPZ347" s="444" t="s">
        <v>1127</v>
      </c>
      <c r="VQA347" s="444">
        <v>6</v>
      </c>
      <c r="VQB347" s="444" t="s">
        <v>1127</v>
      </c>
      <c r="VQC347" s="444">
        <v>6</v>
      </c>
      <c r="VQD347" s="444" t="s">
        <v>1127</v>
      </c>
      <c r="VQE347" s="444">
        <v>6</v>
      </c>
      <c r="VQF347" s="444" t="s">
        <v>1127</v>
      </c>
      <c r="VQG347" s="444">
        <v>6</v>
      </c>
      <c r="VQH347" s="444" t="s">
        <v>1127</v>
      </c>
      <c r="VQI347" s="444">
        <v>6</v>
      </c>
      <c r="VQJ347" s="444" t="s">
        <v>1127</v>
      </c>
      <c r="VQK347" s="444">
        <v>6</v>
      </c>
      <c r="VQL347" s="444" t="s">
        <v>1127</v>
      </c>
      <c r="VQM347" s="444">
        <v>6</v>
      </c>
      <c r="VQN347" s="444" t="s">
        <v>1127</v>
      </c>
      <c r="VQO347" s="444">
        <v>6</v>
      </c>
      <c r="VQP347" s="444" t="s">
        <v>1127</v>
      </c>
      <c r="VQQ347" s="444">
        <v>6</v>
      </c>
      <c r="VQR347" s="444" t="s">
        <v>1127</v>
      </c>
      <c r="VQS347" s="444">
        <v>6</v>
      </c>
      <c r="VQT347" s="444" t="s">
        <v>1127</v>
      </c>
      <c r="VQU347" s="444">
        <v>6</v>
      </c>
      <c r="VQV347" s="444" t="s">
        <v>1127</v>
      </c>
      <c r="VQW347" s="444">
        <v>6</v>
      </c>
      <c r="VQX347" s="444" t="s">
        <v>1127</v>
      </c>
      <c r="VQY347" s="444">
        <v>6</v>
      </c>
      <c r="VQZ347" s="444" t="s">
        <v>1127</v>
      </c>
      <c r="VRA347" s="444">
        <v>6</v>
      </c>
      <c r="VRB347" s="444" t="s">
        <v>1127</v>
      </c>
      <c r="VRC347" s="444">
        <v>6</v>
      </c>
      <c r="VRD347" s="444" t="s">
        <v>1127</v>
      </c>
      <c r="VRE347" s="444">
        <v>6</v>
      </c>
      <c r="VRF347" s="444" t="s">
        <v>1127</v>
      </c>
      <c r="VRG347" s="444">
        <v>6</v>
      </c>
      <c r="VRH347" s="444" t="s">
        <v>1127</v>
      </c>
      <c r="VRI347" s="444">
        <v>6</v>
      </c>
      <c r="VRJ347" s="444" t="s">
        <v>1127</v>
      </c>
      <c r="VRK347" s="444">
        <v>6</v>
      </c>
      <c r="VRL347" s="444" t="s">
        <v>1127</v>
      </c>
      <c r="VRM347" s="444">
        <v>6</v>
      </c>
      <c r="VRN347" s="444" t="s">
        <v>1127</v>
      </c>
      <c r="VRO347" s="444">
        <v>6</v>
      </c>
      <c r="VRP347" s="444" t="s">
        <v>1127</v>
      </c>
      <c r="VRQ347" s="444">
        <v>6</v>
      </c>
      <c r="VRR347" s="444" t="s">
        <v>1127</v>
      </c>
      <c r="VRS347" s="444">
        <v>6</v>
      </c>
      <c r="VRT347" s="444" t="s">
        <v>1127</v>
      </c>
      <c r="VRU347" s="444">
        <v>6</v>
      </c>
      <c r="VRV347" s="444" t="s">
        <v>1127</v>
      </c>
      <c r="VRW347" s="444">
        <v>6</v>
      </c>
      <c r="VRX347" s="444" t="s">
        <v>1127</v>
      </c>
      <c r="VRY347" s="444">
        <v>6</v>
      </c>
      <c r="VRZ347" s="444" t="s">
        <v>1127</v>
      </c>
      <c r="VSA347" s="444">
        <v>6</v>
      </c>
      <c r="VSB347" s="444" t="s">
        <v>1127</v>
      </c>
      <c r="VSC347" s="444">
        <v>6</v>
      </c>
      <c r="VSD347" s="444" t="s">
        <v>1127</v>
      </c>
      <c r="VSE347" s="444">
        <v>6</v>
      </c>
      <c r="VSF347" s="444" t="s">
        <v>1127</v>
      </c>
      <c r="VSG347" s="444">
        <v>6</v>
      </c>
      <c r="VSH347" s="444" t="s">
        <v>1127</v>
      </c>
      <c r="VSI347" s="444">
        <v>6</v>
      </c>
      <c r="VSJ347" s="444" t="s">
        <v>1127</v>
      </c>
      <c r="VSK347" s="444">
        <v>6</v>
      </c>
      <c r="VSL347" s="444" t="s">
        <v>1127</v>
      </c>
      <c r="VSM347" s="444">
        <v>6</v>
      </c>
      <c r="VSN347" s="444" t="s">
        <v>1127</v>
      </c>
      <c r="VSO347" s="444">
        <v>6</v>
      </c>
      <c r="VSP347" s="444" t="s">
        <v>1127</v>
      </c>
      <c r="VSQ347" s="444">
        <v>6</v>
      </c>
      <c r="VSR347" s="444" t="s">
        <v>1127</v>
      </c>
      <c r="VSS347" s="444">
        <v>6</v>
      </c>
      <c r="VST347" s="444" t="s">
        <v>1127</v>
      </c>
      <c r="VSU347" s="444">
        <v>6</v>
      </c>
      <c r="VSV347" s="444" t="s">
        <v>1127</v>
      </c>
      <c r="VSW347" s="444">
        <v>6</v>
      </c>
      <c r="VSX347" s="444" t="s">
        <v>1127</v>
      </c>
      <c r="VSY347" s="444">
        <v>6</v>
      </c>
      <c r="VSZ347" s="444" t="s">
        <v>1127</v>
      </c>
      <c r="VTA347" s="444">
        <v>6</v>
      </c>
      <c r="VTB347" s="444" t="s">
        <v>1127</v>
      </c>
      <c r="VTC347" s="444">
        <v>6</v>
      </c>
      <c r="VTD347" s="444" t="s">
        <v>1127</v>
      </c>
      <c r="VTE347" s="444">
        <v>6</v>
      </c>
      <c r="VTF347" s="444" t="s">
        <v>1127</v>
      </c>
      <c r="VTG347" s="444">
        <v>6</v>
      </c>
      <c r="VTH347" s="444" t="s">
        <v>1127</v>
      </c>
      <c r="VTI347" s="444">
        <v>6</v>
      </c>
      <c r="VTJ347" s="444" t="s">
        <v>1127</v>
      </c>
      <c r="VTK347" s="444">
        <v>6</v>
      </c>
      <c r="VTL347" s="444" t="s">
        <v>1127</v>
      </c>
      <c r="VTM347" s="444">
        <v>6</v>
      </c>
      <c r="VTN347" s="444" t="s">
        <v>1127</v>
      </c>
      <c r="VTO347" s="444">
        <v>6</v>
      </c>
      <c r="VTP347" s="444" t="s">
        <v>1127</v>
      </c>
      <c r="VTQ347" s="444">
        <v>6</v>
      </c>
      <c r="VTR347" s="444" t="s">
        <v>1127</v>
      </c>
      <c r="VTS347" s="444">
        <v>6</v>
      </c>
      <c r="VTT347" s="444" t="s">
        <v>1127</v>
      </c>
      <c r="VTU347" s="444">
        <v>6</v>
      </c>
      <c r="VTV347" s="444" t="s">
        <v>1127</v>
      </c>
      <c r="VTW347" s="444">
        <v>6</v>
      </c>
      <c r="VTX347" s="444" t="s">
        <v>1127</v>
      </c>
      <c r="VTY347" s="444">
        <v>6</v>
      </c>
      <c r="VTZ347" s="444" t="s">
        <v>1127</v>
      </c>
      <c r="VUA347" s="444">
        <v>6</v>
      </c>
      <c r="VUB347" s="444" t="s">
        <v>1127</v>
      </c>
      <c r="VUC347" s="444">
        <v>6</v>
      </c>
      <c r="VUD347" s="444" t="s">
        <v>1127</v>
      </c>
      <c r="VUE347" s="444">
        <v>6</v>
      </c>
      <c r="VUF347" s="444" t="s">
        <v>1127</v>
      </c>
      <c r="VUG347" s="444">
        <v>6</v>
      </c>
      <c r="VUH347" s="444" t="s">
        <v>1127</v>
      </c>
      <c r="VUI347" s="444">
        <v>6</v>
      </c>
      <c r="VUJ347" s="444" t="s">
        <v>1127</v>
      </c>
      <c r="VUK347" s="444">
        <v>6</v>
      </c>
      <c r="VUL347" s="444" t="s">
        <v>1127</v>
      </c>
      <c r="VUM347" s="444">
        <v>6</v>
      </c>
      <c r="VUN347" s="444" t="s">
        <v>1127</v>
      </c>
      <c r="VUO347" s="444">
        <v>6</v>
      </c>
      <c r="VUP347" s="444" t="s">
        <v>1127</v>
      </c>
      <c r="VUQ347" s="444">
        <v>6</v>
      </c>
      <c r="VUR347" s="444" t="s">
        <v>1127</v>
      </c>
      <c r="VUS347" s="444">
        <v>6</v>
      </c>
      <c r="VUT347" s="444" t="s">
        <v>1127</v>
      </c>
      <c r="VUU347" s="444">
        <v>6</v>
      </c>
      <c r="VUV347" s="444" t="s">
        <v>1127</v>
      </c>
      <c r="VUW347" s="444">
        <v>6</v>
      </c>
      <c r="VUX347" s="444" t="s">
        <v>1127</v>
      </c>
      <c r="VUY347" s="444">
        <v>6</v>
      </c>
      <c r="VUZ347" s="444" t="s">
        <v>1127</v>
      </c>
      <c r="VVA347" s="444">
        <v>6</v>
      </c>
      <c r="VVB347" s="444" t="s">
        <v>1127</v>
      </c>
      <c r="VVC347" s="444">
        <v>6</v>
      </c>
      <c r="VVD347" s="444" t="s">
        <v>1127</v>
      </c>
      <c r="VVE347" s="444">
        <v>6</v>
      </c>
      <c r="VVF347" s="444" t="s">
        <v>1127</v>
      </c>
      <c r="VVG347" s="444">
        <v>6</v>
      </c>
      <c r="VVH347" s="444" t="s">
        <v>1127</v>
      </c>
      <c r="VVI347" s="444">
        <v>6</v>
      </c>
      <c r="VVJ347" s="444" t="s">
        <v>1127</v>
      </c>
      <c r="VVK347" s="444">
        <v>6</v>
      </c>
      <c r="VVL347" s="444" t="s">
        <v>1127</v>
      </c>
      <c r="VVM347" s="444">
        <v>6</v>
      </c>
      <c r="VVN347" s="444" t="s">
        <v>1127</v>
      </c>
      <c r="VVO347" s="444">
        <v>6</v>
      </c>
      <c r="VVP347" s="444" t="s">
        <v>1127</v>
      </c>
      <c r="VVQ347" s="444">
        <v>6</v>
      </c>
      <c r="VVR347" s="444" t="s">
        <v>1127</v>
      </c>
      <c r="VVS347" s="444">
        <v>6</v>
      </c>
      <c r="VVT347" s="444" t="s">
        <v>1127</v>
      </c>
      <c r="VVU347" s="444">
        <v>6</v>
      </c>
      <c r="VVV347" s="444" t="s">
        <v>1127</v>
      </c>
      <c r="VVW347" s="444">
        <v>6</v>
      </c>
      <c r="VVX347" s="444" t="s">
        <v>1127</v>
      </c>
      <c r="VVY347" s="444">
        <v>6</v>
      </c>
      <c r="VVZ347" s="444" t="s">
        <v>1127</v>
      </c>
      <c r="VWA347" s="444">
        <v>6</v>
      </c>
      <c r="VWB347" s="444" t="s">
        <v>1127</v>
      </c>
      <c r="VWC347" s="444">
        <v>6</v>
      </c>
      <c r="VWD347" s="444" t="s">
        <v>1127</v>
      </c>
      <c r="VWE347" s="444">
        <v>6</v>
      </c>
      <c r="VWF347" s="444" t="s">
        <v>1127</v>
      </c>
      <c r="VWG347" s="444">
        <v>6</v>
      </c>
      <c r="VWH347" s="444" t="s">
        <v>1127</v>
      </c>
      <c r="VWI347" s="444">
        <v>6</v>
      </c>
      <c r="VWJ347" s="444" t="s">
        <v>1127</v>
      </c>
      <c r="VWK347" s="444">
        <v>6</v>
      </c>
      <c r="VWL347" s="444" t="s">
        <v>1127</v>
      </c>
      <c r="VWM347" s="444">
        <v>6</v>
      </c>
      <c r="VWN347" s="444" t="s">
        <v>1127</v>
      </c>
      <c r="VWO347" s="444">
        <v>6</v>
      </c>
      <c r="VWP347" s="444" t="s">
        <v>1127</v>
      </c>
      <c r="VWQ347" s="444">
        <v>6</v>
      </c>
      <c r="VWR347" s="444" t="s">
        <v>1127</v>
      </c>
      <c r="VWS347" s="444">
        <v>6</v>
      </c>
      <c r="VWT347" s="444" t="s">
        <v>1127</v>
      </c>
      <c r="VWU347" s="444">
        <v>6</v>
      </c>
      <c r="VWV347" s="444" t="s">
        <v>1127</v>
      </c>
      <c r="VWW347" s="444">
        <v>6</v>
      </c>
      <c r="VWX347" s="444" t="s">
        <v>1127</v>
      </c>
      <c r="VWY347" s="444">
        <v>6</v>
      </c>
      <c r="VWZ347" s="444" t="s">
        <v>1127</v>
      </c>
      <c r="VXA347" s="444">
        <v>6</v>
      </c>
      <c r="VXB347" s="444" t="s">
        <v>1127</v>
      </c>
      <c r="VXC347" s="444">
        <v>6</v>
      </c>
      <c r="VXD347" s="444" t="s">
        <v>1127</v>
      </c>
      <c r="VXE347" s="444">
        <v>6</v>
      </c>
      <c r="VXF347" s="444" t="s">
        <v>1127</v>
      </c>
      <c r="VXG347" s="444">
        <v>6</v>
      </c>
      <c r="VXH347" s="444" t="s">
        <v>1127</v>
      </c>
      <c r="VXI347" s="444">
        <v>6</v>
      </c>
      <c r="VXJ347" s="444" t="s">
        <v>1127</v>
      </c>
      <c r="VXK347" s="444">
        <v>6</v>
      </c>
      <c r="VXL347" s="444" t="s">
        <v>1127</v>
      </c>
      <c r="VXM347" s="444">
        <v>6</v>
      </c>
      <c r="VXN347" s="444" t="s">
        <v>1127</v>
      </c>
      <c r="VXO347" s="444">
        <v>6</v>
      </c>
      <c r="VXP347" s="444" t="s">
        <v>1127</v>
      </c>
      <c r="VXQ347" s="444">
        <v>6</v>
      </c>
      <c r="VXR347" s="444" t="s">
        <v>1127</v>
      </c>
      <c r="VXS347" s="444">
        <v>6</v>
      </c>
      <c r="VXT347" s="444" t="s">
        <v>1127</v>
      </c>
      <c r="VXU347" s="444">
        <v>6</v>
      </c>
      <c r="VXV347" s="444" t="s">
        <v>1127</v>
      </c>
      <c r="VXW347" s="444">
        <v>6</v>
      </c>
      <c r="VXX347" s="444" t="s">
        <v>1127</v>
      </c>
      <c r="VXY347" s="444">
        <v>6</v>
      </c>
      <c r="VXZ347" s="444" t="s">
        <v>1127</v>
      </c>
      <c r="VYA347" s="444">
        <v>6</v>
      </c>
      <c r="VYB347" s="444" t="s">
        <v>1127</v>
      </c>
      <c r="VYC347" s="444">
        <v>6</v>
      </c>
      <c r="VYD347" s="444" t="s">
        <v>1127</v>
      </c>
      <c r="VYE347" s="444">
        <v>6</v>
      </c>
      <c r="VYF347" s="444" t="s">
        <v>1127</v>
      </c>
      <c r="VYG347" s="444">
        <v>6</v>
      </c>
      <c r="VYH347" s="444" t="s">
        <v>1127</v>
      </c>
      <c r="VYI347" s="444">
        <v>6</v>
      </c>
      <c r="VYJ347" s="444" t="s">
        <v>1127</v>
      </c>
      <c r="VYK347" s="444">
        <v>6</v>
      </c>
      <c r="VYL347" s="444" t="s">
        <v>1127</v>
      </c>
      <c r="VYM347" s="444">
        <v>6</v>
      </c>
      <c r="VYN347" s="444" t="s">
        <v>1127</v>
      </c>
      <c r="VYO347" s="444">
        <v>6</v>
      </c>
      <c r="VYP347" s="444" t="s">
        <v>1127</v>
      </c>
      <c r="VYQ347" s="444">
        <v>6</v>
      </c>
      <c r="VYR347" s="444" t="s">
        <v>1127</v>
      </c>
      <c r="VYS347" s="444">
        <v>6</v>
      </c>
      <c r="VYT347" s="444" t="s">
        <v>1127</v>
      </c>
      <c r="VYU347" s="444">
        <v>6</v>
      </c>
      <c r="VYV347" s="444" t="s">
        <v>1127</v>
      </c>
      <c r="VYW347" s="444">
        <v>6</v>
      </c>
      <c r="VYX347" s="444" t="s">
        <v>1127</v>
      </c>
      <c r="VYY347" s="444">
        <v>6</v>
      </c>
      <c r="VYZ347" s="444" t="s">
        <v>1127</v>
      </c>
      <c r="VZA347" s="444">
        <v>6</v>
      </c>
      <c r="VZB347" s="444" t="s">
        <v>1127</v>
      </c>
      <c r="VZC347" s="444">
        <v>6</v>
      </c>
      <c r="VZD347" s="444" t="s">
        <v>1127</v>
      </c>
      <c r="VZE347" s="444">
        <v>6</v>
      </c>
      <c r="VZF347" s="444" t="s">
        <v>1127</v>
      </c>
      <c r="VZG347" s="444">
        <v>6</v>
      </c>
      <c r="VZH347" s="444" t="s">
        <v>1127</v>
      </c>
      <c r="VZI347" s="444">
        <v>6</v>
      </c>
      <c r="VZJ347" s="444" t="s">
        <v>1127</v>
      </c>
      <c r="VZK347" s="444">
        <v>6</v>
      </c>
      <c r="VZL347" s="444" t="s">
        <v>1127</v>
      </c>
      <c r="VZM347" s="444">
        <v>6</v>
      </c>
      <c r="VZN347" s="444" t="s">
        <v>1127</v>
      </c>
      <c r="VZO347" s="444">
        <v>6</v>
      </c>
      <c r="VZP347" s="444" t="s">
        <v>1127</v>
      </c>
      <c r="VZQ347" s="444">
        <v>6</v>
      </c>
      <c r="VZR347" s="444" t="s">
        <v>1127</v>
      </c>
      <c r="VZS347" s="444">
        <v>6</v>
      </c>
      <c r="VZT347" s="444" t="s">
        <v>1127</v>
      </c>
      <c r="VZU347" s="444">
        <v>6</v>
      </c>
      <c r="VZV347" s="444" t="s">
        <v>1127</v>
      </c>
      <c r="VZW347" s="444">
        <v>6</v>
      </c>
      <c r="VZX347" s="444" t="s">
        <v>1127</v>
      </c>
      <c r="VZY347" s="444">
        <v>6</v>
      </c>
      <c r="VZZ347" s="444" t="s">
        <v>1127</v>
      </c>
      <c r="WAA347" s="444">
        <v>6</v>
      </c>
      <c r="WAB347" s="444" t="s">
        <v>1127</v>
      </c>
      <c r="WAC347" s="444">
        <v>6</v>
      </c>
      <c r="WAD347" s="444" t="s">
        <v>1127</v>
      </c>
      <c r="WAE347" s="444">
        <v>6</v>
      </c>
      <c r="WAF347" s="444" t="s">
        <v>1127</v>
      </c>
      <c r="WAG347" s="444">
        <v>6</v>
      </c>
      <c r="WAH347" s="444" t="s">
        <v>1127</v>
      </c>
      <c r="WAI347" s="444">
        <v>6</v>
      </c>
      <c r="WAJ347" s="444" t="s">
        <v>1127</v>
      </c>
      <c r="WAK347" s="444">
        <v>6</v>
      </c>
      <c r="WAL347" s="444" t="s">
        <v>1127</v>
      </c>
      <c r="WAM347" s="444">
        <v>6</v>
      </c>
      <c r="WAN347" s="444" t="s">
        <v>1127</v>
      </c>
      <c r="WAO347" s="444">
        <v>6</v>
      </c>
      <c r="WAP347" s="444" t="s">
        <v>1127</v>
      </c>
      <c r="WAQ347" s="444">
        <v>6</v>
      </c>
      <c r="WAR347" s="444" t="s">
        <v>1127</v>
      </c>
      <c r="WAS347" s="444">
        <v>6</v>
      </c>
      <c r="WAT347" s="444" t="s">
        <v>1127</v>
      </c>
      <c r="WAU347" s="444">
        <v>6</v>
      </c>
      <c r="WAV347" s="444" t="s">
        <v>1127</v>
      </c>
      <c r="WAW347" s="444">
        <v>6</v>
      </c>
      <c r="WAX347" s="444" t="s">
        <v>1127</v>
      </c>
      <c r="WAY347" s="444">
        <v>6</v>
      </c>
      <c r="WAZ347" s="444" t="s">
        <v>1127</v>
      </c>
      <c r="WBA347" s="444">
        <v>6</v>
      </c>
      <c r="WBB347" s="444" t="s">
        <v>1127</v>
      </c>
      <c r="WBC347" s="444">
        <v>6</v>
      </c>
      <c r="WBD347" s="444" t="s">
        <v>1127</v>
      </c>
      <c r="WBE347" s="444">
        <v>6</v>
      </c>
      <c r="WBF347" s="444" t="s">
        <v>1127</v>
      </c>
      <c r="WBG347" s="444">
        <v>6</v>
      </c>
      <c r="WBH347" s="444" t="s">
        <v>1127</v>
      </c>
      <c r="WBI347" s="444">
        <v>6</v>
      </c>
      <c r="WBJ347" s="444" t="s">
        <v>1127</v>
      </c>
      <c r="WBK347" s="444">
        <v>6</v>
      </c>
      <c r="WBL347" s="444" t="s">
        <v>1127</v>
      </c>
      <c r="WBM347" s="444">
        <v>6</v>
      </c>
      <c r="WBN347" s="444" t="s">
        <v>1127</v>
      </c>
      <c r="WBO347" s="444">
        <v>6</v>
      </c>
      <c r="WBP347" s="444" t="s">
        <v>1127</v>
      </c>
      <c r="WBQ347" s="444">
        <v>6</v>
      </c>
      <c r="WBR347" s="444" t="s">
        <v>1127</v>
      </c>
      <c r="WBS347" s="444">
        <v>6</v>
      </c>
      <c r="WBT347" s="444" t="s">
        <v>1127</v>
      </c>
      <c r="WBU347" s="444">
        <v>6</v>
      </c>
      <c r="WBV347" s="444" t="s">
        <v>1127</v>
      </c>
      <c r="WBW347" s="444">
        <v>6</v>
      </c>
      <c r="WBX347" s="444" t="s">
        <v>1127</v>
      </c>
      <c r="WBY347" s="444">
        <v>6</v>
      </c>
      <c r="WBZ347" s="444" t="s">
        <v>1127</v>
      </c>
      <c r="WCA347" s="444">
        <v>6</v>
      </c>
      <c r="WCB347" s="444" t="s">
        <v>1127</v>
      </c>
      <c r="WCC347" s="444">
        <v>6</v>
      </c>
      <c r="WCD347" s="444" t="s">
        <v>1127</v>
      </c>
      <c r="WCE347" s="444">
        <v>6</v>
      </c>
      <c r="WCF347" s="444" t="s">
        <v>1127</v>
      </c>
      <c r="WCG347" s="444">
        <v>6</v>
      </c>
      <c r="WCH347" s="444" t="s">
        <v>1127</v>
      </c>
      <c r="WCI347" s="444">
        <v>6</v>
      </c>
      <c r="WCJ347" s="444" t="s">
        <v>1127</v>
      </c>
      <c r="WCK347" s="444">
        <v>6</v>
      </c>
      <c r="WCL347" s="444" t="s">
        <v>1127</v>
      </c>
      <c r="WCM347" s="444">
        <v>6</v>
      </c>
      <c r="WCN347" s="444" t="s">
        <v>1127</v>
      </c>
      <c r="WCO347" s="444">
        <v>6</v>
      </c>
      <c r="WCP347" s="444" t="s">
        <v>1127</v>
      </c>
      <c r="WCQ347" s="444">
        <v>6</v>
      </c>
      <c r="WCR347" s="444" t="s">
        <v>1127</v>
      </c>
      <c r="WCS347" s="444">
        <v>6</v>
      </c>
      <c r="WCT347" s="444" t="s">
        <v>1127</v>
      </c>
      <c r="WCU347" s="444">
        <v>6</v>
      </c>
      <c r="WCV347" s="444" t="s">
        <v>1127</v>
      </c>
      <c r="WCW347" s="444">
        <v>6</v>
      </c>
      <c r="WCX347" s="444" t="s">
        <v>1127</v>
      </c>
      <c r="WCY347" s="444">
        <v>6</v>
      </c>
      <c r="WCZ347" s="444" t="s">
        <v>1127</v>
      </c>
      <c r="WDA347" s="444">
        <v>6</v>
      </c>
      <c r="WDB347" s="444" t="s">
        <v>1127</v>
      </c>
      <c r="WDC347" s="444">
        <v>6</v>
      </c>
      <c r="WDD347" s="444" t="s">
        <v>1127</v>
      </c>
      <c r="WDE347" s="444">
        <v>6</v>
      </c>
      <c r="WDF347" s="444" t="s">
        <v>1127</v>
      </c>
      <c r="WDG347" s="444">
        <v>6</v>
      </c>
      <c r="WDH347" s="444" t="s">
        <v>1127</v>
      </c>
      <c r="WDI347" s="444">
        <v>6</v>
      </c>
      <c r="WDJ347" s="444" t="s">
        <v>1127</v>
      </c>
      <c r="WDK347" s="444">
        <v>6</v>
      </c>
      <c r="WDL347" s="444" t="s">
        <v>1127</v>
      </c>
      <c r="WDM347" s="444">
        <v>6</v>
      </c>
      <c r="WDN347" s="444" t="s">
        <v>1127</v>
      </c>
      <c r="WDO347" s="444">
        <v>6</v>
      </c>
      <c r="WDP347" s="444" t="s">
        <v>1127</v>
      </c>
      <c r="WDQ347" s="444">
        <v>6</v>
      </c>
      <c r="WDR347" s="444" t="s">
        <v>1127</v>
      </c>
      <c r="WDS347" s="444">
        <v>6</v>
      </c>
      <c r="WDT347" s="444" t="s">
        <v>1127</v>
      </c>
      <c r="WDU347" s="444">
        <v>6</v>
      </c>
      <c r="WDV347" s="444" t="s">
        <v>1127</v>
      </c>
      <c r="WDW347" s="444">
        <v>6</v>
      </c>
      <c r="WDX347" s="444" t="s">
        <v>1127</v>
      </c>
      <c r="WDY347" s="444">
        <v>6</v>
      </c>
      <c r="WDZ347" s="444" t="s">
        <v>1127</v>
      </c>
      <c r="WEA347" s="444">
        <v>6</v>
      </c>
      <c r="WEB347" s="444" t="s">
        <v>1127</v>
      </c>
      <c r="WEC347" s="444">
        <v>6</v>
      </c>
      <c r="WED347" s="444" t="s">
        <v>1127</v>
      </c>
      <c r="WEE347" s="444">
        <v>6</v>
      </c>
      <c r="WEF347" s="444" t="s">
        <v>1127</v>
      </c>
      <c r="WEG347" s="444">
        <v>6</v>
      </c>
      <c r="WEH347" s="444" t="s">
        <v>1127</v>
      </c>
      <c r="WEI347" s="444">
        <v>6</v>
      </c>
      <c r="WEJ347" s="444" t="s">
        <v>1127</v>
      </c>
      <c r="WEK347" s="444">
        <v>6</v>
      </c>
      <c r="WEL347" s="444" t="s">
        <v>1127</v>
      </c>
      <c r="WEM347" s="444">
        <v>6</v>
      </c>
      <c r="WEN347" s="444" t="s">
        <v>1127</v>
      </c>
      <c r="WEO347" s="444">
        <v>6</v>
      </c>
      <c r="WEP347" s="444" t="s">
        <v>1127</v>
      </c>
      <c r="WEQ347" s="444">
        <v>6</v>
      </c>
      <c r="WER347" s="444" t="s">
        <v>1127</v>
      </c>
      <c r="WES347" s="444">
        <v>6</v>
      </c>
      <c r="WET347" s="444" t="s">
        <v>1127</v>
      </c>
      <c r="WEU347" s="444">
        <v>6</v>
      </c>
      <c r="WEV347" s="444" t="s">
        <v>1127</v>
      </c>
      <c r="WEW347" s="444">
        <v>6</v>
      </c>
      <c r="WEX347" s="444" t="s">
        <v>1127</v>
      </c>
      <c r="WEY347" s="444">
        <v>6</v>
      </c>
      <c r="WEZ347" s="444" t="s">
        <v>1127</v>
      </c>
      <c r="WFA347" s="444">
        <v>6</v>
      </c>
      <c r="WFB347" s="444" t="s">
        <v>1127</v>
      </c>
      <c r="WFC347" s="444">
        <v>6</v>
      </c>
      <c r="WFD347" s="444" t="s">
        <v>1127</v>
      </c>
      <c r="WFE347" s="444">
        <v>6</v>
      </c>
      <c r="WFF347" s="444" t="s">
        <v>1127</v>
      </c>
      <c r="WFG347" s="444">
        <v>6</v>
      </c>
      <c r="WFH347" s="444" t="s">
        <v>1127</v>
      </c>
      <c r="WFI347" s="444">
        <v>6</v>
      </c>
      <c r="WFJ347" s="444" t="s">
        <v>1127</v>
      </c>
      <c r="WFK347" s="444">
        <v>6</v>
      </c>
      <c r="WFL347" s="444" t="s">
        <v>1127</v>
      </c>
      <c r="WFM347" s="444">
        <v>6</v>
      </c>
      <c r="WFN347" s="444" t="s">
        <v>1127</v>
      </c>
      <c r="WFO347" s="444">
        <v>6</v>
      </c>
      <c r="WFP347" s="444" t="s">
        <v>1127</v>
      </c>
      <c r="WFQ347" s="444">
        <v>6</v>
      </c>
      <c r="WFR347" s="444" t="s">
        <v>1127</v>
      </c>
      <c r="WFS347" s="444">
        <v>6</v>
      </c>
      <c r="WFT347" s="444" t="s">
        <v>1127</v>
      </c>
      <c r="WFU347" s="444">
        <v>6</v>
      </c>
      <c r="WFV347" s="444" t="s">
        <v>1127</v>
      </c>
      <c r="WFW347" s="444">
        <v>6</v>
      </c>
      <c r="WFX347" s="444" t="s">
        <v>1127</v>
      </c>
      <c r="WFY347" s="444">
        <v>6</v>
      </c>
      <c r="WFZ347" s="444" t="s">
        <v>1127</v>
      </c>
      <c r="WGA347" s="444">
        <v>6</v>
      </c>
      <c r="WGB347" s="444" t="s">
        <v>1127</v>
      </c>
      <c r="WGC347" s="444">
        <v>6</v>
      </c>
      <c r="WGD347" s="444" t="s">
        <v>1127</v>
      </c>
      <c r="WGE347" s="444">
        <v>6</v>
      </c>
      <c r="WGF347" s="444" t="s">
        <v>1127</v>
      </c>
      <c r="WGG347" s="444">
        <v>6</v>
      </c>
      <c r="WGH347" s="444" t="s">
        <v>1127</v>
      </c>
      <c r="WGI347" s="444">
        <v>6</v>
      </c>
      <c r="WGJ347" s="444" t="s">
        <v>1127</v>
      </c>
      <c r="WGK347" s="444">
        <v>6</v>
      </c>
      <c r="WGL347" s="444" t="s">
        <v>1127</v>
      </c>
      <c r="WGM347" s="444">
        <v>6</v>
      </c>
      <c r="WGN347" s="444" t="s">
        <v>1127</v>
      </c>
      <c r="WGO347" s="444">
        <v>6</v>
      </c>
      <c r="WGP347" s="444" t="s">
        <v>1127</v>
      </c>
      <c r="WGQ347" s="444">
        <v>6</v>
      </c>
      <c r="WGR347" s="444" t="s">
        <v>1127</v>
      </c>
      <c r="WGS347" s="444">
        <v>6</v>
      </c>
      <c r="WGT347" s="444" t="s">
        <v>1127</v>
      </c>
      <c r="WGU347" s="444">
        <v>6</v>
      </c>
      <c r="WGV347" s="444" t="s">
        <v>1127</v>
      </c>
      <c r="WGW347" s="444">
        <v>6</v>
      </c>
      <c r="WGX347" s="444" t="s">
        <v>1127</v>
      </c>
      <c r="WGY347" s="444">
        <v>6</v>
      </c>
      <c r="WGZ347" s="444" t="s">
        <v>1127</v>
      </c>
      <c r="WHA347" s="444">
        <v>6</v>
      </c>
      <c r="WHB347" s="444" t="s">
        <v>1127</v>
      </c>
      <c r="WHC347" s="444">
        <v>6</v>
      </c>
      <c r="WHD347" s="444" t="s">
        <v>1127</v>
      </c>
      <c r="WHE347" s="444">
        <v>6</v>
      </c>
      <c r="WHF347" s="444" t="s">
        <v>1127</v>
      </c>
      <c r="WHG347" s="444">
        <v>6</v>
      </c>
      <c r="WHH347" s="444" t="s">
        <v>1127</v>
      </c>
      <c r="WHI347" s="444">
        <v>6</v>
      </c>
      <c r="WHJ347" s="444" t="s">
        <v>1127</v>
      </c>
      <c r="WHK347" s="444">
        <v>6</v>
      </c>
      <c r="WHL347" s="444" t="s">
        <v>1127</v>
      </c>
      <c r="WHM347" s="444">
        <v>6</v>
      </c>
      <c r="WHN347" s="444" t="s">
        <v>1127</v>
      </c>
      <c r="WHO347" s="444">
        <v>6</v>
      </c>
      <c r="WHP347" s="444" t="s">
        <v>1127</v>
      </c>
      <c r="WHQ347" s="444">
        <v>6</v>
      </c>
      <c r="WHR347" s="444" t="s">
        <v>1127</v>
      </c>
      <c r="WHS347" s="444">
        <v>6</v>
      </c>
      <c r="WHT347" s="444" t="s">
        <v>1127</v>
      </c>
      <c r="WHU347" s="444">
        <v>6</v>
      </c>
      <c r="WHV347" s="444" t="s">
        <v>1127</v>
      </c>
      <c r="WHW347" s="444">
        <v>6</v>
      </c>
      <c r="WHX347" s="444" t="s">
        <v>1127</v>
      </c>
      <c r="WHY347" s="444">
        <v>6</v>
      </c>
      <c r="WHZ347" s="444" t="s">
        <v>1127</v>
      </c>
      <c r="WIA347" s="444">
        <v>6</v>
      </c>
      <c r="WIB347" s="444" t="s">
        <v>1127</v>
      </c>
      <c r="WIC347" s="444">
        <v>6</v>
      </c>
      <c r="WID347" s="444" t="s">
        <v>1127</v>
      </c>
      <c r="WIE347" s="444">
        <v>6</v>
      </c>
      <c r="WIF347" s="444" t="s">
        <v>1127</v>
      </c>
      <c r="WIG347" s="444">
        <v>6</v>
      </c>
      <c r="WIH347" s="444" t="s">
        <v>1127</v>
      </c>
      <c r="WII347" s="444">
        <v>6</v>
      </c>
      <c r="WIJ347" s="444" t="s">
        <v>1127</v>
      </c>
      <c r="WIK347" s="444">
        <v>6</v>
      </c>
      <c r="WIL347" s="444" t="s">
        <v>1127</v>
      </c>
      <c r="WIM347" s="444">
        <v>6</v>
      </c>
      <c r="WIN347" s="444" t="s">
        <v>1127</v>
      </c>
      <c r="WIO347" s="444">
        <v>6</v>
      </c>
      <c r="WIP347" s="444" t="s">
        <v>1127</v>
      </c>
      <c r="WIQ347" s="444">
        <v>6</v>
      </c>
      <c r="WIR347" s="444" t="s">
        <v>1127</v>
      </c>
      <c r="WIS347" s="444">
        <v>6</v>
      </c>
      <c r="WIT347" s="444" t="s">
        <v>1127</v>
      </c>
      <c r="WIU347" s="444">
        <v>6</v>
      </c>
      <c r="WIV347" s="444" t="s">
        <v>1127</v>
      </c>
      <c r="WIW347" s="444">
        <v>6</v>
      </c>
      <c r="WIX347" s="444" t="s">
        <v>1127</v>
      </c>
      <c r="WIY347" s="444">
        <v>6</v>
      </c>
      <c r="WIZ347" s="444" t="s">
        <v>1127</v>
      </c>
      <c r="WJA347" s="444">
        <v>6</v>
      </c>
      <c r="WJB347" s="444" t="s">
        <v>1127</v>
      </c>
      <c r="WJC347" s="444">
        <v>6</v>
      </c>
      <c r="WJD347" s="444" t="s">
        <v>1127</v>
      </c>
      <c r="WJE347" s="444">
        <v>6</v>
      </c>
      <c r="WJF347" s="444" t="s">
        <v>1127</v>
      </c>
      <c r="WJG347" s="444">
        <v>6</v>
      </c>
      <c r="WJH347" s="444" t="s">
        <v>1127</v>
      </c>
      <c r="WJI347" s="444">
        <v>6</v>
      </c>
      <c r="WJJ347" s="444" t="s">
        <v>1127</v>
      </c>
      <c r="WJK347" s="444">
        <v>6</v>
      </c>
      <c r="WJL347" s="444" t="s">
        <v>1127</v>
      </c>
      <c r="WJM347" s="444">
        <v>6</v>
      </c>
      <c r="WJN347" s="444" t="s">
        <v>1127</v>
      </c>
      <c r="WJO347" s="444">
        <v>6</v>
      </c>
      <c r="WJP347" s="444" t="s">
        <v>1127</v>
      </c>
      <c r="WJQ347" s="444">
        <v>6</v>
      </c>
      <c r="WJR347" s="444" t="s">
        <v>1127</v>
      </c>
      <c r="WJS347" s="444">
        <v>6</v>
      </c>
      <c r="WJT347" s="444" t="s">
        <v>1127</v>
      </c>
      <c r="WJU347" s="444">
        <v>6</v>
      </c>
      <c r="WJV347" s="444" t="s">
        <v>1127</v>
      </c>
      <c r="WJW347" s="444">
        <v>6</v>
      </c>
      <c r="WJX347" s="444" t="s">
        <v>1127</v>
      </c>
      <c r="WJY347" s="444">
        <v>6</v>
      </c>
      <c r="WJZ347" s="444" t="s">
        <v>1127</v>
      </c>
      <c r="WKA347" s="444">
        <v>6</v>
      </c>
      <c r="WKB347" s="444" t="s">
        <v>1127</v>
      </c>
      <c r="WKC347" s="444">
        <v>6</v>
      </c>
      <c r="WKD347" s="444" t="s">
        <v>1127</v>
      </c>
      <c r="WKE347" s="444">
        <v>6</v>
      </c>
      <c r="WKF347" s="444" t="s">
        <v>1127</v>
      </c>
      <c r="WKG347" s="444">
        <v>6</v>
      </c>
      <c r="WKH347" s="444" t="s">
        <v>1127</v>
      </c>
      <c r="WKI347" s="444">
        <v>6</v>
      </c>
      <c r="WKJ347" s="444" t="s">
        <v>1127</v>
      </c>
      <c r="WKK347" s="444">
        <v>6</v>
      </c>
      <c r="WKL347" s="444" t="s">
        <v>1127</v>
      </c>
      <c r="WKM347" s="444">
        <v>6</v>
      </c>
      <c r="WKN347" s="444" t="s">
        <v>1127</v>
      </c>
      <c r="WKO347" s="444">
        <v>6</v>
      </c>
      <c r="WKP347" s="444" t="s">
        <v>1127</v>
      </c>
      <c r="WKQ347" s="444">
        <v>6</v>
      </c>
      <c r="WKR347" s="444" t="s">
        <v>1127</v>
      </c>
      <c r="WKS347" s="444">
        <v>6</v>
      </c>
      <c r="WKT347" s="444" t="s">
        <v>1127</v>
      </c>
      <c r="WKU347" s="444">
        <v>6</v>
      </c>
      <c r="WKV347" s="444" t="s">
        <v>1127</v>
      </c>
      <c r="WKW347" s="444">
        <v>6</v>
      </c>
      <c r="WKX347" s="444" t="s">
        <v>1127</v>
      </c>
      <c r="WKY347" s="444">
        <v>6</v>
      </c>
      <c r="WKZ347" s="444" t="s">
        <v>1127</v>
      </c>
      <c r="WLA347" s="444">
        <v>6</v>
      </c>
      <c r="WLB347" s="444" t="s">
        <v>1127</v>
      </c>
      <c r="WLC347" s="444">
        <v>6</v>
      </c>
      <c r="WLD347" s="444" t="s">
        <v>1127</v>
      </c>
      <c r="WLE347" s="444">
        <v>6</v>
      </c>
      <c r="WLF347" s="444" t="s">
        <v>1127</v>
      </c>
      <c r="WLG347" s="444">
        <v>6</v>
      </c>
      <c r="WLH347" s="444" t="s">
        <v>1127</v>
      </c>
      <c r="WLI347" s="444">
        <v>6</v>
      </c>
      <c r="WLJ347" s="444" t="s">
        <v>1127</v>
      </c>
      <c r="WLK347" s="444">
        <v>6</v>
      </c>
      <c r="WLL347" s="444" t="s">
        <v>1127</v>
      </c>
      <c r="WLM347" s="444">
        <v>6</v>
      </c>
      <c r="WLN347" s="444" t="s">
        <v>1127</v>
      </c>
      <c r="WLO347" s="444">
        <v>6</v>
      </c>
      <c r="WLP347" s="444" t="s">
        <v>1127</v>
      </c>
      <c r="WLQ347" s="444">
        <v>6</v>
      </c>
      <c r="WLR347" s="444" t="s">
        <v>1127</v>
      </c>
      <c r="WLS347" s="444">
        <v>6</v>
      </c>
      <c r="WLT347" s="444" t="s">
        <v>1127</v>
      </c>
      <c r="WLU347" s="444">
        <v>6</v>
      </c>
      <c r="WLV347" s="444" t="s">
        <v>1127</v>
      </c>
      <c r="WLW347" s="444">
        <v>6</v>
      </c>
      <c r="WLX347" s="444" t="s">
        <v>1127</v>
      </c>
      <c r="WLY347" s="444">
        <v>6</v>
      </c>
      <c r="WLZ347" s="444" t="s">
        <v>1127</v>
      </c>
      <c r="WMA347" s="444">
        <v>6</v>
      </c>
      <c r="WMB347" s="444" t="s">
        <v>1127</v>
      </c>
      <c r="WMC347" s="444">
        <v>6</v>
      </c>
      <c r="WMD347" s="444" t="s">
        <v>1127</v>
      </c>
      <c r="WME347" s="444">
        <v>6</v>
      </c>
      <c r="WMF347" s="444" t="s">
        <v>1127</v>
      </c>
      <c r="WMG347" s="444">
        <v>6</v>
      </c>
      <c r="WMH347" s="444" t="s">
        <v>1127</v>
      </c>
      <c r="WMI347" s="444">
        <v>6</v>
      </c>
      <c r="WMJ347" s="444" t="s">
        <v>1127</v>
      </c>
      <c r="WMK347" s="444">
        <v>6</v>
      </c>
      <c r="WML347" s="444" t="s">
        <v>1127</v>
      </c>
      <c r="WMM347" s="444">
        <v>6</v>
      </c>
      <c r="WMN347" s="444" t="s">
        <v>1127</v>
      </c>
      <c r="WMO347" s="444">
        <v>6</v>
      </c>
      <c r="WMP347" s="444" t="s">
        <v>1127</v>
      </c>
      <c r="WMQ347" s="444">
        <v>6</v>
      </c>
      <c r="WMR347" s="444" t="s">
        <v>1127</v>
      </c>
      <c r="WMS347" s="444">
        <v>6</v>
      </c>
      <c r="WMT347" s="444" t="s">
        <v>1127</v>
      </c>
      <c r="WMU347" s="444">
        <v>6</v>
      </c>
      <c r="WMV347" s="444" t="s">
        <v>1127</v>
      </c>
      <c r="WMW347" s="444">
        <v>6</v>
      </c>
      <c r="WMX347" s="444" t="s">
        <v>1127</v>
      </c>
      <c r="WMY347" s="444">
        <v>6</v>
      </c>
      <c r="WMZ347" s="444" t="s">
        <v>1127</v>
      </c>
      <c r="WNA347" s="444">
        <v>6</v>
      </c>
      <c r="WNB347" s="444" t="s">
        <v>1127</v>
      </c>
      <c r="WNC347" s="444">
        <v>6</v>
      </c>
      <c r="WND347" s="444" t="s">
        <v>1127</v>
      </c>
      <c r="WNE347" s="444">
        <v>6</v>
      </c>
      <c r="WNF347" s="444" t="s">
        <v>1127</v>
      </c>
      <c r="WNG347" s="444">
        <v>6</v>
      </c>
      <c r="WNH347" s="444" t="s">
        <v>1127</v>
      </c>
      <c r="WNI347" s="444">
        <v>6</v>
      </c>
      <c r="WNJ347" s="444" t="s">
        <v>1127</v>
      </c>
      <c r="WNK347" s="444">
        <v>6</v>
      </c>
      <c r="WNL347" s="444" t="s">
        <v>1127</v>
      </c>
      <c r="WNM347" s="444">
        <v>6</v>
      </c>
      <c r="WNN347" s="444" t="s">
        <v>1127</v>
      </c>
      <c r="WNO347" s="444">
        <v>6</v>
      </c>
      <c r="WNP347" s="444" t="s">
        <v>1127</v>
      </c>
      <c r="WNQ347" s="444">
        <v>6</v>
      </c>
      <c r="WNR347" s="444" t="s">
        <v>1127</v>
      </c>
      <c r="WNS347" s="444">
        <v>6</v>
      </c>
      <c r="WNT347" s="444" t="s">
        <v>1127</v>
      </c>
      <c r="WNU347" s="444">
        <v>6</v>
      </c>
      <c r="WNV347" s="444" t="s">
        <v>1127</v>
      </c>
      <c r="WNW347" s="444">
        <v>6</v>
      </c>
      <c r="WNX347" s="444" t="s">
        <v>1127</v>
      </c>
      <c r="WNY347" s="444">
        <v>6</v>
      </c>
      <c r="WNZ347" s="444" t="s">
        <v>1127</v>
      </c>
      <c r="WOA347" s="444">
        <v>6</v>
      </c>
      <c r="WOB347" s="444" t="s">
        <v>1127</v>
      </c>
      <c r="WOC347" s="444">
        <v>6</v>
      </c>
      <c r="WOD347" s="444" t="s">
        <v>1127</v>
      </c>
      <c r="WOE347" s="444">
        <v>6</v>
      </c>
      <c r="WOF347" s="444" t="s">
        <v>1127</v>
      </c>
      <c r="WOG347" s="444">
        <v>6</v>
      </c>
      <c r="WOH347" s="444" t="s">
        <v>1127</v>
      </c>
      <c r="WOI347" s="444">
        <v>6</v>
      </c>
      <c r="WOJ347" s="444" t="s">
        <v>1127</v>
      </c>
      <c r="WOK347" s="444">
        <v>6</v>
      </c>
      <c r="WOL347" s="444" t="s">
        <v>1127</v>
      </c>
      <c r="WOM347" s="444">
        <v>6</v>
      </c>
      <c r="WON347" s="444" t="s">
        <v>1127</v>
      </c>
      <c r="WOO347" s="444">
        <v>6</v>
      </c>
      <c r="WOP347" s="444" t="s">
        <v>1127</v>
      </c>
      <c r="WOQ347" s="444">
        <v>6</v>
      </c>
      <c r="WOR347" s="444" t="s">
        <v>1127</v>
      </c>
      <c r="WOS347" s="444">
        <v>6</v>
      </c>
      <c r="WOT347" s="444" t="s">
        <v>1127</v>
      </c>
      <c r="WOU347" s="444">
        <v>6</v>
      </c>
      <c r="WOV347" s="444" t="s">
        <v>1127</v>
      </c>
      <c r="WOW347" s="444">
        <v>6</v>
      </c>
      <c r="WOX347" s="444" t="s">
        <v>1127</v>
      </c>
      <c r="WOY347" s="444">
        <v>6</v>
      </c>
      <c r="WOZ347" s="444" t="s">
        <v>1127</v>
      </c>
      <c r="WPA347" s="444">
        <v>6</v>
      </c>
      <c r="WPB347" s="444" t="s">
        <v>1127</v>
      </c>
      <c r="WPC347" s="444">
        <v>6</v>
      </c>
      <c r="WPD347" s="444" t="s">
        <v>1127</v>
      </c>
      <c r="WPE347" s="444">
        <v>6</v>
      </c>
      <c r="WPF347" s="444" t="s">
        <v>1127</v>
      </c>
      <c r="WPG347" s="444">
        <v>6</v>
      </c>
      <c r="WPH347" s="444" t="s">
        <v>1127</v>
      </c>
      <c r="WPI347" s="444">
        <v>6</v>
      </c>
      <c r="WPJ347" s="444" t="s">
        <v>1127</v>
      </c>
      <c r="WPK347" s="444">
        <v>6</v>
      </c>
      <c r="WPL347" s="444" t="s">
        <v>1127</v>
      </c>
      <c r="WPM347" s="444">
        <v>6</v>
      </c>
      <c r="WPN347" s="444" t="s">
        <v>1127</v>
      </c>
      <c r="WPO347" s="444">
        <v>6</v>
      </c>
      <c r="WPP347" s="444" t="s">
        <v>1127</v>
      </c>
      <c r="WPQ347" s="444">
        <v>6</v>
      </c>
      <c r="WPR347" s="444" t="s">
        <v>1127</v>
      </c>
      <c r="WPS347" s="444">
        <v>6</v>
      </c>
      <c r="WPT347" s="444" t="s">
        <v>1127</v>
      </c>
      <c r="WPU347" s="444">
        <v>6</v>
      </c>
      <c r="WPV347" s="444" t="s">
        <v>1127</v>
      </c>
      <c r="WPW347" s="444">
        <v>6</v>
      </c>
      <c r="WPX347" s="444" t="s">
        <v>1127</v>
      </c>
      <c r="WPY347" s="444">
        <v>6</v>
      </c>
      <c r="WPZ347" s="444" t="s">
        <v>1127</v>
      </c>
      <c r="WQA347" s="444">
        <v>6</v>
      </c>
      <c r="WQB347" s="444" t="s">
        <v>1127</v>
      </c>
      <c r="WQC347" s="444">
        <v>6</v>
      </c>
      <c r="WQD347" s="444" t="s">
        <v>1127</v>
      </c>
      <c r="WQE347" s="444">
        <v>6</v>
      </c>
      <c r="WQF347" s="444" t="s">
        <v>1127</v>
      </c>
      <c r="WQG347" s="444">
        <v>6</v>
      </c>
      <c r="WQH347" s="444" t="s">
        <v>1127</v>
      </c>
      <c r="WQI347" s="444">
        <v>6</v>
      </c>
      <c r="WQJ347" s="444" t="s">
        <v>1127</v>
      </c>
      <c r="WQK347" s="444">
        <v>6</v>
      </c>
      <c r="WQL347" s="444" t="s">
        <v>1127</v>
      </c>
      <c r="WQM347" s="444">
        <v>6</v>
      </c>
      <c r="WQN347" s="444" t="s">
        <v>1127</v>
      </c>
      <c r="WQO347" s="444">
        <v>6</v>
      </c>
      <c r="WQP347" s="444" t="s">
        <v>1127</v>
      </c>
      <c r="WQQ347" s="444">
        <v>6</v>
      </c>
      <c r="WQR347" s="444" t="s">
        <v>1127</v>
      </c>
      <c r="WQS347" s="444">
        <v>6</v>
      </c>
      <c r="WQT347" s="444" t="s">
        <v>1127</v>
      </c>
      <c r="WQU347" s="444">
        <v>6</v>
      </c>
      <c r="WQV347" s="444" t="s">
        <v>1127</v>
      </c>
      <c r="WQW347" s="444">
        <v>6</v>
      </c>
      <c r="WQX347" s="444" t="s">
        <v>1127</v>
      </c>
      <c r="WQY347" s="444">
        <v>6</v>
      </c>
      <c r="WQZ347" s="444" t="s">
        <v>1127</v>
      </c>
      <c r="WRA347" s="444">
        <v>6</v>
      </c>
      <c r="WRB347" s="444" t="s">
        <v>1127</v>
      </c>
      <c r="WRC347" s="444">
        <v>6</v>
      </c>
      <c r="WRD347" s="444" t="s">
        <v>1127</v>
      </c>
      <c r="WRE347" s="444">
        <v>6</v>
      </c>
      <c r="WRF347" s="444" t="s">
        <v>1127</v>
      </c>
      <c r="WRG347" s="444">
        <v>6</v>
      </c>
      <c r="WRH347" s="444" t="s">
        <v>1127</v>
      </c>
      <c r="WRI347" s="444">
        <v>6</v>
      </c>
      <c r="WRJ347" s="444" t="s">
        <v>1127</v>
      </c>
      <c r="WRK347" s="444">
        <v>6</v>
      </c>
      <c r="WRL347" s="444" t="s">
        <v>1127</v>
      </c>
      <c r="WRM347" s="444">
        <v>6</v>
      </c>
      <c r="WRN347" s="444" t="s">
        <v>1127</v>
      </c>
      <c r="WRO347" s="444">
        <v>6</v>
      </c>
      <c r="WRP347" s="444" t="s">
        <v>1127</v>
      </c>
      <c r="WRQ347" s="444">
        <v>6</v>
      </c>
      <c r="WRR347" s="444" t="s">
        <v>1127</v>
      </c>
      <c r="WRS347" s="444">
        <v>6</v>
      </c>
      <c r="WRT347" s="444" t="s">
        <v>1127</v>
      </c>
      <c r="WRU347" s="444">
        <v>6</v>
      </c>
      <c r="WRV347" s="444" t="s">
        <v>1127</v>
      </c>
      <c r="WRW347" s="444">
        <v>6</v>
      </c>
      <c r="WRX347" s="444" t="s">
        <v>1127</v>
      </c>
      <c r="WRY347" s="444">
        <v>6</v>
      </c>
      <c r="WRZ347" s="444" t="s">
        <v>1127</v>
      </c>
      <c r="WSA347" s="444">
        <v>6</v>
      </c>
      <c r="WSB347" s="444" t="s">
        <v>1127</v>
      </c>
      <c r="WSC347" s="444">
        <v>6</v>
      </c>
      <c r="WSD347" s="444" t="s">
        <v>1127</v>
      </c>
      <c r="WSE347" s="444">
        <v>6</v>
      </c>
      <c r="WSF347" s="444" t="s">
        <v>1127</v>
      </c>
      <c r="WSG347" s="444">
        <v>6</v>
      </c>
      <c r="WSH347" s="444" t="s">
        <v>1127</v>
      </c>
      <c r="WSI347" s="444">
        <v>6</v>
      </c>
      <c r="WSJ347" s="444" t="s">
        <v>1127</v>
      </c>
      <c r="WSK347" s="444">
        <v>6</v>
      </c>
      <c r="WSL347" s="444" t="s">
        <v>1127</v>
      </c>
      <c r="WSM347" s="444">
        <v>6</v>
      </c>
      <c r="WSN347" s="444" t="s">
        <v>1127</v>
      </c>
      <c r="WSO347" s="444">
        <v>6</v>
      </c>
      <c r="WSP347" s="444" t="s">
        <v>1127</v>
      </c>
      <c r="WSQ347" s="444">
        <v>6</v>
      </c>
      <c r="WSR347" s="444" t="s">
        <v>1127</v>
      </c>
      <c r="WSS347" s="444">
        <v>6</v>
      </c>
      <c r="WST347" s="444" t="s">
        <v>1127</v>
      </c>
      <c r="WSU347" s="444">
        <v>6</v>
      </c>
      <c r="WSV347" s="444" t="s">
        <v>1127</v>
      </c>
      <c r="WSW347" s="444">
        <v>6</v>
      </c>
      <c r="WSX347" s="444" t="s">
        <v>1127</v>
      </c>
      <c r="WSY347" s="444">
        <v>6</v>
      </c>
      <c r="WSZ347" s="444" t="s">
        <v>1127</v>
      </c>
      <c r="WTA347" s="444">
        <v>6</v>
      </c>
      <c r="WTB347" s="444" t="s">
        <v>1127</v>
      </c>
      <c r="WTC347" s="444">
        <v>6</v>
      </c>
      <c r="WTD347" s="444" t="s">
        <v>1127</v>
      </c>
      <c r="WTE347" s="444">
        <v>6</v>
      </c>
      <c r="WTF347" s="444" t="s">
        <v>1127</v>
      </c>
      <c r="WTG347" s="444">
        <v>6</v>
      </c>
      <c r="WTH347" s="444" t="s">
        <v>1127</v>
      </c>
      <c r="WTI347" s="444">
        <v>6</v>
      </c>
      <c r="WTJ347" s="444" t="s">
        <v>1127</v>
      </c>
      <c r="WTK347" s="444">
        <v>6</v>
      </c>
      <c r="WTL347" s="444" t="s">
        <v>1127</v>
      </c>
      <c r="WTM347" s="444">
        <v>6</v>
      </c>
      <c r="WTN347" s="444" t="s">
        <v>1127</v>
      </c>
      <c r="WTO347" s="444">
        <v>6</v>
      </c>
      <c r="WTP347" s="444" t="s">
        <v>1127</v>
      </c>
      <c r="WTQ347" s="444">
        <v>6</v>
      </c>
      <c r="WTR347" s="444" t="s">
        <v>1127</v>
      </c>
      <c r="WTS347" s="444">
        <v>6</v>
      </c>
      <c r="WTT347" s="444" t="s">
        <v>1127</v>
      </c>
      <c r="WTU347" s="444">
        <v>6</v>
      </c>
      <c r="WTV347" s="444" t="s">
        <v>1127</v>
      </c>
      <c r="WTW347" s="444">
        <v>6</v>
      </c>
      <c r="WTX347" s="444" t="s">
        <v>1127</v>
      </c>
      <c r="WTY347" s="444">
        <v>6</v>
      </c>
      <c r="WTZ347" s="444" t="s">
        <v>1127</v>
      </c>
      <c r="WUA347" s="444">
        <v>6</v>
      </c>
      <c r="WUB347" s="444" t="s">
        <v>1127</v>
      </c>
      <c r="WUC347" s="444">
        <v>6</v>
      </c>
      <c r="WUD347" s="444" t="s">
        <v>1127</v>
      </c>
      <c r="WUE347" s="444">
        <v>6</v>
      </c>
      <c r="WUF347" s="444" t="s">
        <v>1127</v>
      </c>
      <c r="WUG347" s="444">
        <v>6</v>
      </c>
      <c r="WUH347" s="444" t="s">
        <v>1127</v>
      </c>
      <c r="WUI347" s="444">
        <v>6</v>
      </c>
      <c r="WUJ347" s="444" t="s">
        <v>1127</v>
      </c>
      <c r="WUK347" s="444">
        <v>6</v>
      </c>
      <c r="WUL347" s="444" t="s">
        <v>1127</v>
      </c>
      <c r="WUM347" s="444">
        <v>6</v>
      </c>
      <c r="WUN347" s="444" t="s">
        <v>1127</v>
      </c>
      <c r="WUO347" s="444">
        <v>6</v>
      </c>
      <c r="WUP347" s="444" t="s">
        <v>1127</v>
      </c>
      <c r="WUQ347" s="444">
        <v>6</v>
      </c>
      <c r="WUR347" s="444" t="s">
        <v>1127</v>
      </c>
      <c r="WUS347" s="444">
        <v>6</v>
      </c>
      <c r="WUT347" s="444" t="s">
        <v>1127</v>
      </c>
      <c r="WUU347" s="444">
        <v>6</v>
      </c>
      <c r="WUV347" s="444" t="s">
        <v>1127</v>
      </c>
      <c r="WUW347" s="444">
        <v>6</v>
      </c>
      <c r="WUX347" s="444" t="s">
        <v>1127</v>
      </c>
      <c r="WUY347" s="444">
        <v>6</v>
      </c>
      <c r="WUZ347" s="444" t="s">
        <v>1127</v>
      </c>
      <c r="WVA347" s="444">
        <v>6</v>
      </c>
      <c r="WVB347" s="444" t="s">
        <v>1127</v>
      </c>
      <c r="WVC347" s="444">
        <v>6</v>
      </c>
      <c r="WVD347" s="444" t="s">
        <v>1127</v>
      </c>
      <c r="WVE347" s="444">
        <v>6</v>
      </c>
      <c r="WVF347" s="444" t="s">
        <v>1127</v>
      </c>
      <c r="WVG347" s="444">
        <v>6</v>
      </c>
      <c r="WVH347" s="444" t="s">
        <v>1127</v>
      </c>
      <c r="WVI347" s="444">
        <v>6</v>
      </c>
      <c r="WVJ347" s="444" t="s">
        <v>1127</v>
      </c>
      <c r="WVK347" s="444">
        <v>6</v>
      </c>
      <c r="WVL347" s="444" t="s">
        <v>1127</v>
      </c>
      <c r="WVM347" s="444">
        <v>6</v>
      </c>
      <c r="WVN347" s="444" t="s">
        <v>1127</v>
      </c>
      <c r="WVO347" s="444">
        <v>6</v>
      </c>
      <c r="WVP347" s="444" t="s">
        <v>1127</v>
      </c>
      <c r="WVQ347" s="444">
        <v>6</v>
      </c>
      <c r="WVR347" s="444" t="s">
        <v>1127</v>
      </c>
      <c r="WVS347" s="444">
        <v>6</v>
      </c>
      <c r="WVT347" s="444" t="s">
        <v>1127</v>
      </c>
      <c r="WVU347" s="444">
        <v>6</v>
      </c>
      <c r="WVV347" s="444" t="s">
        <v>1127</v>
      </c>
      <c r="WVW347" s="444">
        <v>6</v>
      </c>
      <c r="WVX347" s="444" t="s">
        <v>1127</v>
      </c>
      <c r="WVY347" s="444">
        <v>6</v>
      </c>
      <c r="WVZ347" s="444" t="s">
        <v>1127</v>
      </c>
      <c r="WWA347" s="444">
        <v>6</v>
      </c>
      <c r="WWB347" s="444" t="s">
        <v>1127</v>
      </c>
      <c r="WWC347" s="444">
        <v>6</v>
      </c>
      <c r="WWD347" s="444" t="s">
        <v>1127</v>
      </c>
      <c r="WWE347" s="444">
        <v>6</v>
      </c>
      <c r="WWF347" s="444" t="s">
        <v>1127</v>
      </c>
      <c r="WWG347" s="444">
        <v>6</v>
      </c>
      <c r="WWH347" s="444" t="s">
        <v>1127</v>
      </c>
      <c r="WWI347" s="444">
        <v>6</v>
      </c>
      <c r="WWJ347" s="444" t="s">
        <v>1127</v>
      </c>
      <c r="WWK347" s="444">
        <v>6</v>
      </c>
      <c r="WWL347" s="444" t="s">
        <v>1127</v>
      </c>
      <c r="WWM347" s="444">
        <v>6</v>
      </c>
      <c r="WWN347" s="444" t="s">
        <v>1127</v>
      </c>
      <c r="WWO347" s="444">
        <v>6</v>
      </c>
      <c r="WWP347" s="444" t="s">
        <v>1127</v>
      </c>
      <c r="WWQ347" s="444">
        <v>6</v>
      </c>
      <c r="WWR347" s="444" t="s">
        <v>1127</v>
      </c>
      <c r="WWS347" s="444">
        <v>6</v>
      </c>
      <c r="WWT347" s="444" t="s">
        <v>1127</v>
      </c>
      <c r="WWU347" s="444">
        <v>6</v>
      </c>
      <c r="WWV347" s="444" t="s">
        <v>1127</v>
      </c>
      <c r="WWW347" s="444">
        <v>6</v>
      </c>
      <c r="WWX347" s="444" t="s">
        <v>1127</v>
      </c>
      <c r="WWY347" s="444">
        <v>6</v>
      </c>
      <c r="WWZ347" s="444" t="s">
        <v>1127</v>
      </c>
      <c r="WXA347" s="444">
        <v>6</v>
      </c>
      <c r="WXB347" s="444" t="s">
        <v>1127</v>
      </c>
      <c r="WXC347" s="444">
        <v>6</v>
      </c>
      <c r="WXD347" s="444" t="s">
        <v>1127</v>
      </c>
      <c r="WXE347" s="444">
        <v>6</v>
      </c>
      <c r="WXF347" s="444" t="s">
        <v>1127</v>
      </c>
      <c r="WXG347" s="444">
        <v>6</v>
      </c>
      <c r="WXH347" s="444" t="s">
        <v>1127</v>
      </c>
      <c r="WXI347" s="444">
        <v>6</v>
      </c>
      <c r="WXJ347" s="444" t="s">
        <v>1127</v>
      </c>
      <c r="WXK347" s="444">
        <v>6</v>
      </c>
      <c r="WXL347" s="444" t="s">
        <v>1127</v>
      </c>
      <c r="WXM347" s="444">
        <v>6</v>
      </c>
      <c r="WXN347" s="444" t="s">
        <v>1127</v>
      </c>
      <c r="WXO347" s="444">
        <v>6</v>
      </c>
      <c r="WXP347" s="444" t="s">
        <v>1127</v>
      </c>
      <c r="WXQ347" s="444">
        <v>6</v>
      </c>
      <c r="WXR347" s="444" t="s">
        <v>1127</v>
      </c>
      <c r="WXS347" s="444">
        <v>6</v>
      </c>
      <c r="WXT347" s="444" t="s">
        <v>1127</v>
      </c>
      <c r="WXU347" s="444">
        <v>6</v>
      </c>
      <c r="WXV347" s="444" t="s">
        <v>1127</v>
      </c>
      <c r="WXW347" s="444">
        <v>6</v>
      </c>
      <c r="WXX347" s="444" t="s">
        <v>1127</v>
      </c>
      <c r="WXY347" s="444">
        <v>6</v>
      </c>
      <c r="WXZ347" s="444" t="s">
        <v>1127</v>
      </c>
      <c r="WYA347" s="444">
        <v>6</v>
      </c>
      <c r="WYB347" s="444" t="s">
        <v>1127</v>
      </c>
      <c r="WYC347" s="444">
        <v>6</v>
      </c>
      <c r="WYD347" s="444" t="s">
        <v>1127</v>
      </c>
      <c r="WYE347" s="444">
        <v>6</v>
      </c>
      <c r="WYF347" s="444" t="s">
        <v>1127</v>
      </c>
      <c r="WYG347" s="444">
        <v>6</v>
      </c>
      <c r="WYH347" s="444" t="s">
        <v>1127</v>
      </c>
      <c r="WYI347" s="444">
        <v>6</v>
      </c>
      <c r="WYJ347" s="444" t="s">
        <v>1127</v>
      </c>
      <c r="WYK347" s="444">
        <v>6</v>
      </c>
      <c r="WYL347" s="444" t="s">
        <v>1127</v>
      </c>
      <c r="WYM347" s="444">
        <v>6</v>
      </c>
      <c r="WYN347" s="444" t="s">
        <v>1127</v>
      </c>
      <c r="WYO347" s="444">
        <v>6</v>
      </c>
      <c r="WYP347" s="444" t="s">
        <v>1127</v>
      </c>
      <c r="WYQ347" s="444">
        <v>6</v>
      </c>
      <c r="WYR347" s="444" t="s">
        <v>1127</v>
      </c>
      <c r="WYS347" s="444">
        <v>6</v>
      </c>
      <c r="WYT347" s="444" t="s">
        <v>1127</v>
      </c>
      <c r="WYU347" s="444">
        <v>6</v>
      </c>
      <c r="WYV347" s="444" t="s">
        <v>1127</v>
      </c>
      <c r="WYW347" s="444">
        <v>6</v>
      </c>
      <c r="WYX347" s="444" t="s">
        <v>1127</v>
      </c>
      <c r="WYY347" s="444">
        <v>6</v>
      </c>
      <c r="WYZ347" s="444" t="s">
        <v>1127</v>
      </c>
      <c r="WZA347" s="444">
        <v>6</v>
      </c>
      <c r="WZB347" s="444" t="s">
        <v>1127</v>
      </c>
      <c r="WZC347" s="444">
        <v>6</v>
      </c>
      <c r="WZD347" s="444" t="s">
        <v>1127</v>
      </c>
      <c r="WZE347" s="444">
        <v>6</v>
      </c>
      <c r="WZF347" s="444" t="s">
        <v>1127</v>
      </c>
      <c r="WZG347" s="444">
        <v>6</v>
      </c>
      <c r="WZH347" s="444" t="s">
        <v>1127</v>
      </c>
      <c r="WZI347" s="444">
        <v>6</v>
      </c>
      <c r="WZJ347" s="444" t="s">
        <v>1127</v>
      </c>
      <c r="WZK347" s="444">
        <v>6</v>
      </c>
      <c r="WZL347" s="444" t="s">
        <v>1127</v>
      </c>
      <c r="WZM347" s="444">
        <v>6</v>
      </c>
      <c r="WZN347" s="444" t="s">
        <v>1127</v>
      </c>
      <c r="WZO347" s="444">
        <v>6</v>
      </c>
      <c r="WZP347" s="444" t="s">
        <v>1127</v>
      </c>
      <c r="WZQ347" s="444">
        <v>6</v>
      </c>
      <c r="WZR347" s="444" t="s">
        <v>1127</v>
      </c>
      <c r="WZS347" s="444">
        <v>6</v>
      </c>
      <c r="WZT347" s="444" t="s">
        <v>1127</v>
      </c>
      <c r="WZU347" s="444">
        <v>6</v>
      </c>
      <c r="WZV347" s="444" t="s">
        <v>1127</v>
      </c>
      <c r="WZW347" s="444">
        <v>6</v>
      </c>
      <c r="WZX347" s="444" t="s">
        <v>1127</v>
      </c>
      <c r="WZY347" s="444">
        <v>6</v>
      </c>
      <c r="WZZ347" s="444" t="s">
        <v>1127</v>
      </c>
      <c r="XAA347" s="444">
        <v>6</v>
      </c>
      <c r="XAB347" s="444" t="s">
        <v>1127</v>
      </c>
      <c r="XAC347" s="444">
        <v>6</v>
      </c>
      <c r="XAD347" s="444" t="s">
        <v>1127</v>
      </c>
      <c r="XAE347" s="444">
        <v>6</v>
      </c>
      <c r="XAF347" s="444" t="s">
        <v>1127</v>
      </c>
      <c r="XAG347" s="444">
        <v>6</v>
      </c>
      <c r="XAH347" s="444" t="s">
        <v>1127</v>
      </c>
      <c r="XAI347" s="444">
        <v>6</v>
      </c>
      <c r="XAJ347" s="444" t="s">
        <v>1127</v>
      </c>
      <c r="XAK347" s="444">
        <v>6</v>
      </c>
      <c r="XAL347" s="444" t="s">
        <v>1127</v>
      </c>
      <c r="XAM347" s="444">
        <v>6</v>
      </c>
      <c r="XAN347" s="444" t="s">
        <v>1127</v>
      </c>
      <c r="XAO347" s="444">
        <v>6</v>
      </c>
      <c r="XAP347" s="444" t="s">
        <v>1127</v>
      </c>
      <c r="XAQ347" s="444">
        <v>6</v>
      </c>
      <c r="XAR347" s="444" t="s">
        <v>1127</v>
      </c>
      <c r="XAS347" s="444">
        <v>6</v>
      </c>
      <c r="XAT347" s="444" t="s">
        <v>1127</v>
      </c>
      <c r="XAU347" s="444">
        <v>6</v>
      </c>
      <c r="XAV347" s="444" t="s">
        <v>1127</v>
      </c>
      <c r="XAW347" s="444">
        <v>6</v>
      </c>
      <c r="XAX347" s="444" t="s">
        <v>1127</v>
      </c>
      <c r="XAY347" s="444">
        <v>6</v>
      </c>
      <c r="XAZ347" s="444" t="s">
        <v>1127</v>
      </c>
      <c r="XBA347" s="444">
        <v>6</v>
      </c>
      <c r="XBB347" s="444" t="s">
        <v>1127</v>
      </c>
      <c r="XBC347" s="444">
        <v>6</v>
      </c>
      <c r="XBD347" s="444" t="s">
        <v>1127</v>
      </c>
      <c r="XBE347" s="444">
        <v>6</v>
      </c>
      <c r="XBF347" s="444" t="s">
        <v>1127</v>
      </c>
      <c r="XBG347" s="444">
        <v>6</v>
      </c>
      <c r="XBH347" s="444" t="s">
        <v>1127</v>
      </c>
      <c r="XBI347" s="444">
        <v>6</v>
      </c>
      <c r="XBJ347" s="444" t="s">
        <v>1127</v>
      </c>
      <c r="XBK347" s="444">
        <v>6</v>
      </c>
      <c r="XBL347" s="444" t="s">
        <v>1127</v>
      </c>
      <c r="XBM347" s="444">
        <v>6</v>
      </c>
      <c r="XBN347" s="444" t="s">
        <v>1127</v>
      </c>
      <c r="XBO347" s="444">
        <v>6</v>
      </c>
      <c r="XBP347" s="444" t="s">
        <v>1127</v>
      </c>
      <c r="XBQ347" s="444">
        <v>6</v>
      </c>
      <c r="XBR347" s="444" t="s">
        <v>1127</v>
      </c>
      <c r="XBS347" s="444">
        <v>6</v>
      </c>
      <c r="XBT347" s="444" t="s">
        <v>1127</v>
      </c>
      <c r="XBU347" s="444">
        <v>6</v>
      </c>
      <c r="XBV347" s="444" t="s">
        <v>1127</v>
      </c>
      <c r="XBW347" s="444">
        <v>6</v>
      </c>
      <c r="XBX347" s="444" t="s">
        <v>1127</v>
      </c>
      <c r="XBY347" s="444">
        <v>6</v>
      </c>
      <c r="XBZ347" s="444" t="s">
        <v>1127</v>
      </c>
      <c r="XCA347" s="444">
        <v>6</v>
      </c>
      <c r="XCB347" s="444" t="s">
        <v>1127</v>
      </c>
      <c r="XCC347" s="444">
        <v>6</v>
      </c>
      <c r="XCD347" s="444" t="s">
        <v>1127</v>
      </c>
      <c r="XCE347" s="444">
        <v>6</v>
      </c>
      <c r="XCF347" s="444" t="s">
        <v>1127</v>
      </c>
      <c r="XCG347" s="444">
        <v>6</v>
      </c>
      <c r="XCH347" s="444" t="s">
        <v>1127</v>
      </c>
      <c r="XCI347" s="444">
        <v>6</v>
      </c>
      <c r="XCJ347" s="444" t="s">
        <v>1127</v>
      </c>
      <c r="XCK347" s="444">
        <v>6</v>
      </c>
      <c r="XCL347" s="444" t="s">
        <v>1127</v>
      </c>
      <c r="XCM347" s="444">
        <v>6</v>
      </c>
      <c r="XCN347" s="444" t="s">
        <v>1127</v>
      </c>
      <c r="XCO347" s="444">
        <v>6</v>
      </c>
      <c r="XCP347" s="444" t="s">
        <v>1127</v>
      </c>
      <c r="XCQ347" s="444">
        <v>6</v>
      </c>
      <c r="XCR347" s="444" t="s">
        <v>1127</v>
      </c>
      <c r="XCS347" s="444">
        <v>6</v>
      </c>
      <c r="XCT347" s="444" t="s">
        <v>1127</v>
      </c>
      <c r="XCU347" s="444">
        <v>6</v>
      </c>
      <c r="XCV347" s="444" t="s">
        <v>1127</v>
      </c>
      <c r="XCW347" s="444">
        <v>6</v>
      </c>
      <c r="XCX347" s="444" t="s">
        <v>1127</v>
      </c>
      <c r="XCY347" s="444">
        <v>6</v>
      </c>
      <c r="XCZ347" s="444" t="s">
        <v>1127</v>
      </c>
      <c r="XDA347" s="444">
        <v>6</v>
      </c>
      <c r="XDB347" s="444" t="s">
        <v>1127</v>
      </c>
      <c r="XDC347" s="444">
        <v>6</v>
      </c>
      <c r="XDD347" s="444" t="s">
        <v>1127</v>
      </c>
      <c r="XDE347" s="444">
        <v>6</v>
      </c>
      <c r="XDF347" s="444" t="s">
        <v>1127</v>
      </c>
      <c r="XDG347" s="444">
        <v>6</v>
      </c>
      <c r="XDH347" s="444" t="s">
        <v>1127</v>
      </c>
      <c r="XDI347" s="444">
        <v>6</v>
      </c>
      <c r="XDJ347" s="444" t="s">
        <v>1127</v>
      </c>
      <c r="XDK347" s="444">
        <v>6</v>
      </c>
      <c r="XDL347" s="444" t="s">
        <v>1127</v>
      </c>
      <c r="XDM347" s="444">
        <v>6</v>
      </c>
      <c r="XDN347" s="444" t="s">
        <v>1127</v>
      </c>
      <c r="XDO347" s="444">
        <v>6</v>
      </c>
      <c r="XDP347" s="444" t="s">
        <v>1127</v>
      </c>
      <c r="XDQ347" s="444">
        <v>6</v>
      </c>
      <c r="XDR347" s="444" t="s">
        <v>1127</v>
      </c>
      <c r="XDS347" s="444">
        <v>6</v>
      </c>
      <c r="XDT347" s="444" t="s">
        <v>1127</v>
      </c>
      <c r="XDU347" s="444">
        <v>6</v>
      </c>
      <c r="XDV347" s="444" t="s">
        <v>1127</v>
      </c>
      <c r="XDW347" s="444">
        <v>6</v>
      </c>
      <c r="XDX347" s="444" t="s">
        <v>1127</v>
      </c>
      <c r="XDY347" s="444">
        <v>6</v>
      </c>
      <c r="XDZ347" s="444" t="s">
        <v>1127</v>
      </c>
      <c r="XEA347" s="444">
        <v>6</v>
      </c>
      <c r="XEB347" s="444" t="s">
        <v>1127</v>
      </c>
      <c r="XEC347" s="444">
        <v>6</v>
      </c>
      <c r="XED347" s="444" t="s">
        <v>1127</v>
      </c>
      <c r="XEE347" s="444">
        <v>6</v>
      </c>
      <c r="XEF347" s="444" t="s">
        <v>1127</v>
      </c>
      <c r="XEG347" s="444">
        <v>6</v>
      </c>
      <c r="XEH347" s="444" t="s">
        <v>1127</v>
      </c>
      <c r="XEI347" s="444">
        <v>6</v>
      </c>
      <c r="XEJ347" s="444" t="s">
        <v>1127</v>
      </c>
      <c r="XEK347" s="444">
        <v>6</v>
      </c>
      <c r="XEL347" s="444" t="s">
        <v>1127</v>
      </c>
      <c r="XEM347" s="444">
        <v>6</v>
      </c>
      <c r="XEN347" s="444" t="s">
        <v>1127</v>
      </c>
      <c r="XEO347" s="444">
        <v>6</v>
      </c>
      <c r="XEP347" s="444" t="s">
        <v>1127</v>
      </c>
      <c r="XEQ347" s="444">
        <v>6</v>
      </c>
      <c r="XER347" s="444" t="s">
        <v>1127</v>
      </c>
      <c r="XES347" s="444">
        <v>6</v>
      </c>
      <c r="XET347" s="444" t="s">
        <v>1127</v>
      </c>
      <c r="XEU347" s="444">
        <v>6</v>
      </c>
      <c r="XEV347" s="444" t="s">
        <v>1127</v>
      </c>
      <c r="XEW347" s="444">
        <v>6</v>
      </c>
      <c r="XEX347" s="444" t="s">
        <v>1127</v>
      </c>
    </row>
    <row r="348" spans="1:16378" s="444" customFormat="1">
      <c r="A348" s="92">
        <v>10</v>
      </c>
      <c r="B348" s="143" t="s">
        <v>762</v>
      </c>
      <c r="C348" s="92">
        <v>1</v>
      </c>
      <c r="D348" s="92">
        <v>1</v>
      </c>
      <c r="E348" s="92">
        <v>1</v>
      </c>
      <c r="F348" s="92">
        <v>1</v>
      </c>
      <c r="G348" s="126">
        <v>3.15</v>
      </c>
      <c r="H348" s="126">
        <v>3.15</v>
      </c>
      <c r="I348" s="144">
        <v>0</v>
      </c>
      <c r="J348" s="144">
        <v>0</v>
      </c>
      <c r="K348" s="144">
        <v>0</v>
      </c>
      <c r="L348" s="144">
        <v>0</v>
      </c>
      <c r="M348" s="144">
        <v>0</v>
      </c>
      <c r="N348" s="144">
        <v>0</v>
      </c>
      <c r="O348" s="144">
        <v>0</v>
      </c>
      <c r="P348" s="144">
        <v>0</v>
      </c>
      <c r="Q348" s="206">
        <v>0</v>
      </c>
      <c r="R348" s="156">
        <f t="shared" ref="R348:R367" si="237">C348*G348*I348*Q348</f>
        <v>0</v>
      </c>
      <c r="S348" s="157">
        <f t="shared" ref="S348:S367" si="238">D348*G348*K348*Q348</f>
        <v>0</v>
      </c>
      <c r="T348" s="157">
        <f t="shared" ref="T348:T367" si="239">E348*G348*M348*Q348</f>
        <v>0</v>
      </c>
      <c r="U348" s="157">
        <f t="shared" ref="U348:U367" si="240">F348*G348*O348*Q348</f>
        <v>0</v>
      </c>
      <c r="V348" s="156">
        <f t="shared" ref="V348:V367" si="241">C348*H348*I348*Q348</f>
        <v>0</v>
      </c>
      <c r="W348" s="157">
        <f t="shared" ref="W348:W367" si="242">D348*H348*K348*Q348</f>
        <v>0</v>
      </c>
      <c r="X348" s="157">
        <f t="shared" ref="X348:X367" si="243">E348*H348*M348*Q348</f>
        <v>0</v>
      </c>
      <c r="Y348" s="157">
        <f t="shared" ref="Y348:Y367" si="244">F348*H348*O348*Q348</f>
        <v>0</v>
      </c>
      <c r="Z348" s="158" t="e">
        <f t="shared" ref="Z348:Z367" si="245">V348/R348</f>
        <v>#DIV/0!</v>
      </c>
      <c r="AA348" s="158" t="e">
        <f t="shared" ref="AA348:AA367" si="246">W348/S348</f>
        <v>#DIV/0!</v>
      </c>
      <c r="AB348" s="158" t="e">
        <f t="shared" ref="AB348:AB367" si="247">X348/T348</f>
        <v>#DIV/0!</v>
      </c>
      <c r="AC348" s="158" t="e">
        <f t="shared" ref="AC348:AC367" si="248">Y348/U348</f>
        <v>#DIV/0!</v>
      </c>
    </row>
    <row r="349" spans="1:16378" s="444" customFormat="1">
      <c r="A349" s="92">
        <v>11</v>
      </c>
      <c r="B349" s="143" t="s">
        <v>763</v>
      </c>
      <c r="C349" s="130">
        <v>3</v>
      </c>
      <c r="D349" s="130">
        <v>3</v>
      </c>
      <c r="E349" s="130">
        <v>3</v>
      </c>
      <c r="F349" s="130">
        <v>3</v>
      </c>
      <c r="G349" s="148">
        <v>0.35</v>
      </c>
      <c r="H349" s="148">
        <v>0.35</v>
      </c>
      <c r="I349" s="148">
        <v>0</v>
      </c>
      <c r="J349" s="148">
        <v>0</v>
      </c>
      <c r="K349" s="148">
        <v>0</v>
      </c>
      <c r="L349" s="148">
        <v>0</v>
      </c>
      <c r="M349" s="148">
        <v>0</v>
      </c>
      <c r="N349" s="148">
        <v>0</v>
      </c>
      <c r="O349" s="148">
        <v>0</v>
      </c>
      <c r="P349" s="148">
        <v>0</v>
      </c>
      <c r="Q349" s="136">
        <v>0</v>
      </c>
      <c r="R349" s="156">
        <f t="shared" si="237"/>
        <v>0</v>
      </c>
      <c r="S349" s="157">
        <f t="shared" si="238"/>
        <v>0</v>
      </c>
      <c r="T349" s="157">
        <f t="shared" si="239"/>
        <v>0</v>
      </c>
      <c r="U349" s="157">
        <f t="shared" si="240"/>
        <v>0</v>
      </c>
      <c r="V349" s="156">
        <f t="shared" si="241"/>
        <v>0</v>
      </c>
      <c r="W349" s="157">
        <f t="shared" si="242"/>
        <v>0</v>
      </c>
      <c r="X349" s="157">
        <f t="shared" si="243"/>
        <v>0</v>
      </c>
      <c r="Y349" s="157">
        <f t="shared" si="244"/>
        <v>0</v>
      </c>
      <c r="Z349" s="159" t="e">
        <f t="shared" si="245"/>
        <v>#DIV/0!</v>
      </c>
      <c r="AA349" s="159" t="e">
        <f t="shared" si="246"/>
        <v>#DIV/0!</v>
      </c>
      <c r="AB349" s="159" t="e">
        <f t="shared" si="247"/>
        <v>#DIV/0!</v>
      </c>
      <c r="AC349" s="159" t="e">
        <f t="shared" si="248"/>
        <v>#DIV/0!</v>
      </c>
    </row>
    <row r="350" spans="1:16378" s="444" customFormat="1">
      <c r="A350" s="92">
        <v>12</v>
      </c>
      <c r="B350" s="143" t="s">
        <v>764</v>
      </c>
      <c r="C350" s="92">
        <v>1</v>
      </c>
      <c r="D350" s="92">
        <v>1</v>
      </c>
      <c r="E350" s="92">
        <v>1</v>
      </c>
      <c r="F350" s="92">
        <v>1</v>
      </c>
      <c r="G350" s="126">
        <v>0.32</v>
      </c>
      <c r="H350" s="126">
        <v>0.32</v>
      </c>
      <c r="I350" s="144">
        <v>0</v>
      </c>
      <c r="J350" s="144">
        <v>0</v>
      </c>
      <c r="K350" s="144">
        <v>0</v>
      </c>
      <c r="L350" s="144">
        <v>0</v>
      </c>
      <c r="M350" s="144">
        <v>0</v>
      </c>
      <c r="N350" s="144">
        <v>0</v>
      </c>
      <c r="O350" s="144">
        <v>0</v>
      </c>
      <c r="P350" s="144">
        <v>0</v>
      </c>
      <c r="Q350" s="206">
        <v>0</v>
      </c>
      <c r="R350" s="156">
        <f t="shared" si="237"/>
        <v>0</v>
      </c>
      <c r="S350" s="157">
        <f t="shared" si="238"/>
        <v>0</v>
      </c>
      <c r="T350" s="157">
        <f t="shared" si="239"/>
        <v>0</v>
      </c>
      <c r="U350" s="157">
        <f t="shared" si="240"/>
        <v>0</v>
      </c>
      <c r="V350" s="156">
        <f t="shared" si="241"/>
        <v>0</v>
      </c>
      <c r="W350" s="157">
        <f t="shared" si="242"/>
        <v>0</v>
      </c>
      <c r="X350" s="157">
        <f t="shared" si="243"/>
        <v>0</v>
      </c>
      <c r="Y350" s="157">
        <f t="shared" si="244"/>
        <v>0</v>
      </c>
      <c r="Z350" s="158" t="e">
        <f t="shared" si="245"/>
        <v>#DIV/0!</v>
      </c>
      <c r="AA350" s="158" t="e">
        <f t="shared" si="246"/>
        <v>#DIV/0!</v>
      </c>
      <c r="AB350" s="158" t="e">
        <f t="shared" si="247"/>
        <v>#DIV/0!</v>
      </c>
      <c r="AC350" s="158" t="e">
        <f t="shared" si="248"/>
        <v>#DIV/0!</v>
      </c>
    </row>
    <row r="351" spans="1:16378" s="444" customFormat="1">
      <c r="A351" s="92">
        <v>13</v>
      </c>
      <c r="B351" s="143" t="s">
        <v>765</v>
      </c>
      <c r="C351" s="92">
        <v>1</v>
      </c>
      <c r="D351" s="92">
        <v>1</v>
      </c>
      <c r="E351" s="92">
        <v>1</v>
      </c>
      <c r="F351" s="92">
        <v>1</v>
      </c>
      <c r="G351" s="126">
        <v>4</v>
      </c>
      <c r="H351" s="126">
        <v>4</v>
      </c>
      <c r="I351" s="144">
        <v>0</v>
      </c>
      <c r="J351" s="144">
        <v>0</v>
      </c>
      <c r="K351" s="144">
        <v>0</v>
      </c>
      <c r="L351" s="144">
        <v>0</v>
      </c>
      <c r="M351" s="144">
        <v>0</v>
      </c>
      <c r="N351" s="144">
        <v>0</v>
      </c>
      <c r="O351" s="144">
        <v>0</v>
      </c>
      <c r="P351" s="144">
        <v>0</v>
      </c>
      <c r="Q351" s="206">
        <v>0</v>
      </c>
      <c r="R351" s="156">
        <f t="shared" si="237"/>
        <v>0</v>
      </c>
      <c r="S351" s="157">
        <f t="shared" si="238"/>
        <v>0</v>
      </c>
      <c r="T351" s="157">
        <f t="shared" si="239"/>
        <v>0</v>
      </c>
      <c r="U351" s="157">
        <f t="shared" si="240"/>
        <v>0</v>
      </c>
      <c r="V351" s="156">
        <f t="shared" si="241"/>
        <v>0</v>
      </c>
      <c r="W351" s="157">
        <f t="shared" si="242"/>
        <v>0</v>
      </c>
      <c r="X351" s="157">
        <f t="shared" si="243"/>
        <v>0</v>
      </c>
      <c r="Y351" s="157">
        <f t="shared" si="244"/>
        <v>0</v>
      </c>
      <c r="Z351" s="159" t="e">
        <f t="shared" si="245"/>
        <v>#DIV/0!</v>
      </c>
      <c r="AA351" s="159" t="e">
        <f t="shared" si="246"/>
        <v>#DIV/0!</v>
      </c>
      <c r="AB351" s="159" t="e">
        <f t="shared" si="247"/>
        <v>#DIV/0!</v>
      </c>
      <c r="AC351" s="159" t="e">
        <f t="shared" si="248"/>
        <v>#DIV/0!</v>
      </c>
    </row>
    <row r="352" spans="1:16378" s="444" customFormat="1">
      <c r="A352" s="92">
        <v>14</v>
      </c>
      <c r="B352" s="143" t="s">
        <v>766</v>
      </c>
      <c r="C352" s="92">
        <v>5</v>
      </c>
      <c r="D352" s="92">
        <v>5</v>
      </c>
      <c r="E352" s="92">
        <v>5</v>
      </c>
      <c r="F352" s="92">
        <v>5</v>
      </c>
      <c r="G352" s="126">
        <v>2.15</v>
      </c>
      <c r="H352" s="126">
        <v>2.15</v>
      </c>
      <c r="I352" s="144">
        <v>0</v>
      </c>
      <c r="J352" s="144">
        <v>0</v>
      </c>
      <c r="K352" s="144">
        <v>0</v>
      </c>
      <c r="L352" s="144">
        <v>0</v>
      </c>
      <c r="M352" s="144">
        <v>0</v>
      </c>
      <c r="N352" s="144">
        <v>0</v>
      </c>
      <c r="O352" s="144">
        <v>0</v>
      </c>
      <c r="P352" s="144">
        <v>0</v>
      </c>
      <c r="Q352" s="206">
        <v>0</v>
      </c>
      <c r="R352" s="156">
        <f t="shared" si="237"/>
        <v>0</v>
      </c>
      <c r="S352" s="157">
        <f t="shared" si="238"/>
        <v>0</v>
      </c>
      <c r="T352" s="157">
        <f t="shared" si="239"/>
        <v>0</v>
      </c>
      <c r="U352" s="157">
        <f t="shared" si="240"/>
        <v>0</v>
      </c>
      <c r="V352" s="156">
        <f t="shared" si="241"/>
        <v>0</v>
      </c>
      <c r="W352" s="157">
        <f t="shared" si="242"/>
        <v>0</v>
      </c>
      <c r="X352" s="157">
        <f t="shared" si="243"/>
        <v>0</v>
      </c>
      <c r="Y352" s="157">
        <f t="shared" si="244"/>
        <v>0</v>
      </c>
      <c r="Z352" s="159" t="e">
        <f t="shared" si="245"/>
        <v>#DIV/0!</v>
      </c>
      <c r="AA352" s="159" t="e">
        <f t="shared" si="246"/>
        <v>#DIV/0!</v>
      </c>
      <c r="AB352" s="159" t="e">
        <f t="shared" si="247"/>
        <v>#DIV/0!</v>
      </c>
      <c r="AC352" s="159" t="e">
        <f t="shared" si="248"/>
        <v>#DIV/0!</v>
      </c>
    </row>
    <row r="353" spans="1:29" s="444" customFormat="1">
      <c r="A353" s="92">
        <v>15</v>
      </c>
      <c r="B353" s="143" t="s">
        <v>767</v>
      </c>
      <c r="C353" s="92">
        <v>1</v>
      </c>
      <c r="D353" s="92">
        <v>1</v>
      </c>
      <c r="E353" s="92">
        <v>1</v>
      </c>
      <c r="F353" s="92">
        <v>1</v>
      </c>
      <c r="G353" s="126">
        <v>7.18</v>
      </c>
      <c r="H353" s="126">
        <v>7.18</v>
      </c>
      <c r="I353" s="144">
        <v>0</v>
      </c>
      <c r="J353" s="144">
        <v>0</v>
      </c>
      <c r="K353" s="144">
        <v>0</v>
      </c>
      <c r="L353" s="144">
        <v>0</v>
      </c>
      <c r="M353" s="144">
        <v>0</v>
      </c>
      <c r="N353" s="144">
        <v>0</v>
      </c>
      <c r="O353" s="144">
        <v>0</v>
      </c>
      <c r="P353" s="144">
        <v>0</v>
      </c>
      <c r="Q353" s="206">
        <v>0</v>
      </c>
      <c r="R353" s="156">
        <f t="shared" si="237"/>
        <v>0</v>
      </c>
      <c r="S353" s="157">
        <f t="shared" si="238"/>
        <v>0</v>
      </c>
      <c r="T353" s="157">
        <f t="shared" si="239"/>
        <v>0</v>
      </c>
      <c r="U353" s="157">
        <f t="shared" si="240"/>
        <v>0</v>
      </c>
      <c r="V353" s="156">
        <f t="shared" si="241"/>
        <v>0</v>
      </c>
      <c r="W353" s="157">
        <f t="shared" si="242"/>
        <v>0</v>
      </c>
      <c r="X353" s="157">
        <f t="shared" si="243"/>
        <v>0</v>
      </c>
      <c r="Y353" s="157">
        <f t="shared" si="244"/>
        <v>0</v>
      </c>
      <c r="Z353" s="159" t="e">
        <f t="shared" si="245"/>
        <v>#DIV/0!</v>
      </c>
      <c r="AA353" s="159" t="e">
        <f t="shared" si="246"/>
        <v>#DIV/0!</v>
      </c>
      <c r="AB353" s="159" t="e">
        <f t="shared" si="247"/>
        <v>#DIV/0!</v>
      </c>
      <c r="AC353" s="159" t="e">
        <f t="shared" si="248"/>
        <v>#DIV/0!</v>
      </c>
    </row>
    <row r="354" spans="1:29" s="444" customFormat="1">
      <c r="A354" s="92">
        <v>16</v>
      </c>
      <c r="B354" s="143" t="s">
        <v>768</v>
      </c>
      <c r="C354" s="92">
        <v>1</v>
      </c>
      <c r="D354" s="92">
        <v>1</v>
      </c>
      <c r="E354" s="92">
        <v>1</v>
      </c>
      <c r="F354" s="92">
        <v>1</v>
      </c>
      <c r="G354" s="126">
        <v>5</v>
      </c>
      <c r="H354" s="126">
        <v>5</v>
      </c>
      <c r="I354" s="144">
        <v>0</v>
      </c>
      <c r="J354" s="144">
        <v>0</v>
      </c>
      <c r="K354" s="144">
        <v>0</v>
      </c>
      <c r="L354" s="144">
        <v>0</v>
      </c>
      <c r="M354" s="144">
        <v>0</v>
      </c>
      <c r="N354" s="144">
        <v>0</v>
      </c>
      <c r="O354" s="144">
        <v>0</v>
      </c>
      <c r="P354" s="144">
        <v>0</v>
      </c>
      <c r="Q354" s="206">
        <v>0</v>
      </c>
      <c r="R354" s="156">
        <f t="shared" si="237"/>
        <v>0</v>
      </c>
      <c r="S354" s="157">
        <f t="shared" si="238"/>
        <v>0</v>
      </c>
      <c r="T354" s="157">
        <f t="shared" si="239"/>
        <v>0</v>
      </c>
      <c r="U354" s="157">
        <f t="shared" si="240"/>
        <v>0</v>
      </c>
      <c r="V354" s="156">
        <f t="shared" si="241"/>
        <v>0</v>
      </c>
      <c r="W354" s="157">
        <f t="shared" si="242"/>
        <v>0</v>
      </c>
      <c r="X354" s="157">
        <f t="shared" si="243"/>
        <v>0</v>
      </c>
      <c r="Y354" s="157">
        <f t="shared" si="244"/>
        <v>0</v>
      </c>
      <c r="Z354" s="159" t="e">
        <f t="shared" si="245"/>
        <v>#DIV/0!</v>
      </c>
      <c r="AA354" s="159" t="e">
        <f t="shared" si="246"/>
        <v>#DIV/0!</v>
      </c>
      <c r="AB354" s="159" t="e">
        <f t="shared" si="247"/>
        <v>#DIV/0!</v>
      </c>
      <c r="AC354" s="159" t="e">
        <f t="shared" si="248"/>
        <v>#DIV/0!</v>
      </c>
    </row>
    <row r="355" spans="1:29" s="444" customFormat="1">
      <c r="A355" s="92">
        <v>17</v>
      </c>
      <c r="B355" s="143" t="s">
        <v>769</v>
      </c>
      <c r="C355" s="92">
        <v>1</v>
      </c>
      <c r="D355" s="92">
        <v>1</v>
      </c>
      <c r="E355" s="92">
        <v>1</v>
      </c>
      <c r="F355" s="92">
        <v>1</v>
      </c>
      <c r="G355" s="126">
        <v>6</v>
      </c>
      <c r="H355" s="126">
        <v>6</v>
      </c>
      <c r="I355" s="144">
        <v>0</v>
      </c>
      <c r="J355" s="144">
        <v>0</v>
      </c>
      <c r="K355" s="144">
        <v>0</v>
      </c>
      <c r="L355" s="144">
        <v>0</v>
      </c>
      <c r="M355" s="144">
        <v>0</v>
      </c>
      <c r="N355" s="144">
        <v>0</v>
      </c>
      <c r="O355" s="144">
        <v>0</v>
      </c>
      <c r="P355" s="144">
        <v>0</v>
      </c>
      <c r="Q355" s="206">
        <v>0</v>
      </c>
      <c r="R355" s="156">
        <f t="shared" si="237"/>
        <v>0</v>
      </c>
      <c r="S355" s="157">
        <f t="shared" si="238"/>
        <v>0</v>
      </c>
      <c r="T355" s="157">
        <f t="shared" si="239"/>
        <v>0</v>
      </c>
      <c r="U355" s="157">
        <f t="shared" si="240"/>
        <v>0</v>
      </c>
      <c r="V355" s="156">
        <f t="shared" si="241"/>
        <v>0</v>
      </c>
      <c r="W355" s="157">
        <f t="shared" si="242"/>
        <v>0</v>
      </c>
      <c r="X355" s="157">
        <f t="shared" si="243"/>
        <v>0</v>
      </c>
      <c r="Y355" s="157">
        <f t="shared" si="244"/>
        <v>0</v>
      </c>
      <c r="Z355" s="159" t="e">
        <f t="shared" si="245"/>
        <v>#DIV/0!</v>
      </c>
      <c r="AA355" s="159" t="e">
        <f t="shared" si="246"/>
        <v>#DIV/0!</v>
      </c>
      <c r="AB355" s="159" t="e">
        <f t="shared" si="247"/>
        <v>#DIV/0!</v>
      </c>
      <c r="AC355" s="159" t="e">
        <f t="shared" si="248"/>
        <v>#DIV/0!</v>
      </c>
    </row>
    <row r="356" spans="1:29" s="444" customFormat="1">
      <c r="A356" s="92">
        <v>18</v>
      </c>
      <c r="B356" s="143" t="s">
        <v>770</v>
      </c>
      <c r="C356" s="92">
        <v>1</v>
      </c>
      <c r="D356" s="92">
        <v>1</v>
      </c>
      <c r="E356" s="92">
        <v>1</v>
      </c>
      <c r="F356" s="92">
        <v>1</v>
      </c>
      <c r="G356" s="126">
        <v>6</v>
      </c>
      <c r="H356" s="126">
        <v>6</v>
      </c>
      <c r="I356" s="144">
        <v>0</v>
      </c>
      <c r="J356" s="144">
        <v>0</v>
      </c>
      <c r="K356" s="144">
        <v>0</v>
      </c>
      <c r="L356" s="144">
        <v>0</v>
      </c>
      <c r="M356" s="144">
        <v>0</v>
      </c>
      <c r="N356" s="144">
        <v>0</v>
      </c>
      <c r="O356" s="144">
        <v>0</v>
      </c>
      <c r="P356" s="144">
        <v>0</v>
      </c>
      <c r="Q356" s="206">
        <v>0</v>
      </c>
      <c r="R356" s="156">
        <f t="shared" si="237"/>
        <v>0</v>
      </c>
      <c r="S356" s="157">
        <f t="shared" si="238"/>
        <v>0</v>
      </c>
      <c r="T356" s="157">
        <f t="shared" si="239"/>
        <v>0</v>
      </c>
      <c r="U356" s="157">
        <f t="shared" si="240"/>
        <v>0</v>
      </c>
      <c r="V356" s="156">
        <f t="shared" si="241"/>
        <v>0</v>
      </c>
      <c r="W356" s="157">
        <f t="shared" si="242"/>
        <v>0</v>
      </c>
      <c r="X356" s="157">
        <f t="shared" si="243"/>
        <v>0</v>
      </c>
      <c r="Y356" s="157">
        <f t="shared" si="244"/>
        <v>0</v>
      </c>
      <c r="Z356" s="159" t="e">
        <f t="shared" si="245"/>
        <v>#DIV/0!</v>
      </c>
      <c r="AA356" s="159" t="e">
        <f t="shared" si="246"/>
        <v>#DIV/0!</v>
      </c>
      <c r="AB356" s="159" t="e">
        <f t="shared" si="247"/>
        <v>#DIV/0!</v>
      </c>
      <c r="AC356" s="159" t="e">
        <f t="shared" si="248"/>
        <v>#DIV/0!</v>
      </c>
    </row>
    <row r="357" spans="1:29" s="444" customFormat="1">
      <c r="A357" s="92">
        <v>19</v>
      </c>
      <c r="B357" s="143" t="s">
        <v>771</v>
      </c>
      <c r="C357" s="92">
        <v>2</v>
      </c>
      <c r="D357" s="92">
        <v>2</v>
      </c>
      <c r="E357" s="92">
        <v>2</v>
      </c>
      <c r="F357" s="92">
        <v>2</v>
      </c>
      <c r="G357" s="126">
        <v>6</v>
      </c>
      <c r="H357" s="126">
        <v>6</v>
      </c>
      <c r="I357" s="144">
        <v>0</v>
      </c>
      <c r="J357" s="144">
        <v>0</v>
      </c>
      <c r="K357" s="144">
        <v>0</v>
      </c>
      <c r="L357" s="144">
        <v>0</v>
      </c>
      <c r="M357" s="144">
        <v>0</v>
      </c>
      <c r="N357" s="144">
        <v>0</v>
      </c>
      <c r="O357" s="144">
        <v>0</v>
      </c>
      <c r="P357" s="144">
        <v>0</v>
      </c>
      <c r="Q357" s="206">
        <v>0</v>
      </c>
      <c r="R357" s="156">
        <f t="shared" si="237"/>
        <v>0</v>
      </c>
      <c r="S357" s="157">
        <f t="shared" si="238"/>
        <v>0</v>
      </c>
      <c r="T357" s="157">
        <f t="shared" si="239"/>
        <v>0</v>
      </c>
      <c r="U357" s="157">
        <f t="shared" si="240"/>
        <v>0</v>
      </c>
      <c r="V357" s="156">
        <f t="shared" si="241"/>
        <v>0</v>
      </c>
      <c r="W357" s="157">
        <f t="shared" si="242"/>
        <v>0</v>
      </c>
      <c r="X357" s="157">
        <f t="shared" si="243"/>
        <v>0</v>
      </c>
      <c r="Y357" s="157">
        <f t="shared" si="244"/>
        <v>0</v>
      </c>
      <c r="Z357" s="159" t="e">
        <f t="shared" si="245"/>
        <v>#DIV/0!</v>
      </c>
      <c r="AA357" s="159" t="e">
        <f t="shared" si="246"/>
        <v>#DIV/0!</v>
      </c>
      <c r="AB357" s="159" t="e">
        <f t="shared" si="247"/>
        <v>#DIV/0!</v>
      </c>
      <c r="AC357" s="159" t="e">
        <f t="shared" si="248"/>
        <v>#DIV/0!</v>
      </c>
    </row>
    <row r="358" spans="1:29" s="444" customFormat="1">
      <c r="A358" s="92">
        <v>20</v>
      </c>
      <c r="B358" s="143" t="s">
        <v>772</v>
      </c>
      <c r="C358" s="92">
        <v>1</v>
      </c>
      <c r="D358" s="92">
        <v>1</v>
      </c>
      <c r="E358" s="92">
        <v>1</v>
      </c>
      <c r="F358" s="92">
        <v>1</v>
      </c>
      <c r="G358" s="126">
        <v>1.3</v>
      </c>
      <c r="H358" s="126">
        <v>1.3</v>
      </c>
      <c r="I358" s="144">
        <v>0</v>
      </c>
      <c r="J358" s="144">
        <v>0</v>
      </c>
      <c r="K358" s="144">
        <v>0</v>
      </c>
      <c r="L358" s="144">
        <v>0</v>
      </c>
      <c r="M358" s="144">
        <v>0</v>
      </c>
      <c r="N358" s="144">
        <v>0</v>
      </c>
      <c r="O358" s="144">
        <v>0</v>
      </c>
      <c r="P358" s="144">
        <v>0</v>
      </c>
      <c r="Q358" s="206">
        <v>0</v>
      </c>
      <c r="R358" s="156">
        <f t="shared" si="237"/>
        <v>0</v>
      </c>
      <c r="S358" s="157">
        <f t="shared" si="238"/>
        <v>0</v>
      </c>
      <c r="T358" s="157">
        <f t="shared" si="239"/>
        <v>0</v>
      </c>
      <c r="U358" s="157">
        <f t="shared" si="240"/>
        <v>0</v>
      </c>
      <c r="V358" s="156">
        <f t="shared" si="241"/>
        <v>0</v>
      </c>
      <c r="W358" s="157">
        <f t="shared" si="242"/>
        <v>0</v>
      </c>
      <c r="X358" s="157">
        <f t="shared" si="243"/>
        <v>0</v>
      </c>
      <c r="Y358" s="157">
        <f t="shared" si="244"/>
        <v>0</v>
      </c>
      <c r="Z358" s="159" t="e">
        <f t="shared" si="245"/>
        <v>#DIV/0!</v>
      </c>
      <c r="AA358" s="159" t="e">
        <f t="shared" si="246"/>
        <v>#DIV/0!</v>
      </c>
      <c r="AB358" s="159" t="e">
        <f t="shared" si="247"/>
        <v>#DIV/0!</v>
      </c>
      <c r="AC358" s="159" t="e">
        <f t="shared" si="248"/>
        <v>#DIV/0!</v>
      </c>
    </row>
    <row r="359" spans="1:29" s="444" customFormat="1">
      <c r="A359" s="92">
        <v>21</v>
      </c>
      <c r="B359" s="143" t="s">
        <v>762</v>
      </c>
      <c r="C359" s="92">
        <v>1</v>
      </c>
      <c r="D359" s="92">
        <v>1</v>
      </c>
      <c r="E359" s="92">
        <v>1</v>
      </c>
      <c r="F359" s="92">
        <v>1</v>
      </c>
      <c r="G359" s="126">
        <v>3.15</v>
      </c>
      <c r="H359" s="126">
        <v>3.15</v>
      </c>
      <c r="I359" s="144">
        <v>0</v>
      </c>
      <c r="J359" s="144">
        <v>0</v>
      </c>
      <c r="K359" s="144">
        <v>0</v>
      </c>
      <c r="L359" s="144">
        <v>0</v>
      </c>
      <c r="M359" s="144">
        <v>0</v>
      </c>
      <c r="N359" s="144">
        <v>0</v>
      </c>
      <c r="O359" s="144">
        <v>0</v>
      </c>
      <c r="P359" s="144">
        <v>0</v>
      </c>
      <c r="Q359" s="206">
        <v>0</v>
      </c>
      <c r="R359" s="156">
        <f t="shared" si="237"/>
        <v>0</v>
      </c>
      <c r="S359" s="157">
        <f t="shared" si="238"/>
        <v>0</v>
      </c>
      <c r="T359" s="157">
        <f t="shared" si="239"/>
        <v>0</v>
      </c>
      <c r="U359" s="157">
        <f t="shared" si="240"/>
        <v>0</v>
      </c>
      <c r="V359" s="156">
        <f t="shared" si="241"/>
        <v>0</v>
      </c>
      <c r="W359" s="157">
        <f t="shared" si="242"/>
        <v>0</v>
      </c>
      <c r="X359" s="157">
        <f t="shared" si="243"/>
        <v>0</v>
      </c>
      <c r="Y359" s="157">
        <f t="shared" si="244"/>
        <v>0</v>
      </c>
      <c r="Z359" s="159" t="e">
        <f t="shared" si="245"/>
        <v>#DIV/0!</v>
      </c>
      <c r="AA359" s="159" t="e">
        <f t="shared" si="246"/>
        <v>#DIV/0!</v>
      </c>
      <c r="AB359" s="159" t="e">
        <f t="shared" si="247"/>
        <v>#DIV/0!</v>
      </c>
      <c r="AC359" s="159" t="e">
        <f t="shared" si="248"/>
        <v>#DIV/0!</v>
      </c>
    </row>
    <row r="360" spans="1:29" s="444" customFormat="1">
      <c r="A360" s="92">
        <v>22</v>
      </c>
      <c r="B360" s="143" t="s">
        <v>773</v>
      </c>
      <c r="C360" s="130">
        <v>1</v>
      </c>
      <c r="D360" s="130">
        <v>1</v>
      </c>
      <c r="E360" s="130">
        <v>1</v>
      </c>
      <c r="F360" s="130">
        <v>1</v>
      </c>
      <c r="G360" s="148">
        <v>1.8</v>
      </c>
      <c r="H360" s="148">
        <v>1.8</v>
      </c>
      <c r="I360" s="144">
        <v>24</v>
      </c>
      <c r="J360" s="144" t="s">
        <v>996</v>
      </c>
      <c r="K360" s="144">
        <v>24</v>
      </c>
      <c r="L360" s="144" t="s">
        <v>996</v>
      </c>
      <c r="M360" s="144">
        <v>24</v>
      </c>
      <c r="N360" s="144" t="s">
        <v>996</v>
      </c>
      <c r="O360" s="144">
        <v>24</v>
      </c>
      <c r="P360" s="144" t="s">
        <v>996</v>
      </c>
      <c r="Q360" s="206">
        <v>30</v>
      </c>
      <c r="R360" s="156">
        <f t="shared" si="237"/>
        <v>1296</v>
      </c>
      <c r="S360" s="157">
        <f t="shared" si="238"/>
        <v>1296</v>
      </c>
      <c r="T360" s="157">
        <f t="shared" si="239"/>
        <v>1296</v>
      </c>
      <c r="U360" s="157">
        <f t="shared" si="240"/>
        <v>1296</v>
      </c>
      <c r="V360" s="156">
        <f t="shared" si="241"/>
        <v>1296</v>
      </c>
      <c r="W360" s="157">
        <f t="shared" si="242"/>
        <v>1296</v>
      </c>
      <c r="X360" s="157">
        <f t="shared" si="243"/>
        <v>1296</v>
      </c>
      <c r="Y360" s="157">
        <f t="shared" si="244"/>
        <v>1296</v>
      </c>
      <c r="Z360" s="159">
        <f t="shared" si="245"/>
        <v>1</v>
      </c>
      <c r="AA360" s="159">
        <f t="shared" si="246"/>
        <v>1</v>
      </c>
      <c r="AB360" s="159">
        <f t="shared" si="247"/>
        <v>1</v>
      </c>
      <c r="AC360" s="159">
        <f t="shared" si="248"/>
        <v>1</v>
      </c>
    </row>
    <row r="361" spans="1:29" s="444" customFormat="1">
      <c r="A361" s="276"/>
      <c r="B361" s="433" t="s">
        <v>774</v>
      </c>
      <c r="C361" s="434"/>
      <c r="D361" s="435"/>
      <c r="E361" s="435"/>
      <c r="F361" s="435"/>
      <c r="G361" s="436"/>
      <c r="H361" s="436"/>
      <c r="I361" s="437"/>
      <c r="J361" s="438"/>
      <c r="K361" s="439"/>
      <c r="L361" s="439"/>
      <c r="M361" s="439"/>
      <c r="N361" s="438"/>
      <c r="O361" s="439"/>
      <c r="P361" s="438"/>
      <c r="Q361" s="206"/>
      <c r="R361" s="156">
        <f t="shared" si="237"/>
        <v>0</v>
      </c>
      <c r="S361" s="157">
        <f t="shared" si="238"/>
        <v>0</v>
      </c>
      <c r="T361" s="157">
        <f t="shared" si="239"/>
        <v>0</v>
      </c>
      <c r="U361" s="157">
        <f t="shared" si="240"/>
        <v>0</v>
      </c>
      <c r="V361" s="156">
        <f t="shared" si="241"/>
        <v>0</v>
      </c>
      <c r="W361" s="157">
        <f t="shared" si="242"/>
        <v>0</v>
      </c>
      <c r="X361" s="157">
        <f t="shared" si="243"/>
        <v>0</v>
      </c>
      <c r="Y361" s="157">
        <f t="shared" si="244"/>
        <v>0</v>
      </c>
      <c r="Z361" s="159" t="e">
        <f t="shared" si="245"/>
        <v>#DIV/0!</v>
      </c>
      <c r="AA361" s="159" t="e">
        <f t="shared" si="246"/>
        <v>#DIV/0!</v>
      </c>
      <c r="AB361" s="159" t="e">
        <f t="shared" si="247"/>
        <v>#DIV/0!</v>
      </c>
      <c r="AC361" s="159" t="e">
        <f t="shared" si="248"/>
        <v>#DIV/0!</v>
      </c>
    </row>
    <row r="362" spans="1:29" s="444" customFormat="1">
      <c r="A362" s="92">
        <v>1</v>
      </c>
      <c r="B362" s="143" t="s">
        <v>775</v>
      </c>
      <c r="C362" s="92">
        <v>1</v>
      </c>
      <c r="D362" s="92">
        <v>1</v>
      </c>
      <c r="E362" s="92">
        <v>1</v>
      </c>
      <c r="F362" s="92">
        <v>1</v>
      </c>
      <c r="G362" s="126">
        <v>0.32</v>
      </c>
      <c r="H362" s="126">
        <v>0.32</v>
      </c>
      <c r="I362" s="144">
        <v>0</v>
      </c>
      <c r="J362" s="144">
        <v>0</v>
      </c>
      <c r="K362" s="144">
        <v>0</v>
      </c>
      <c r="L362" s="144">
        <v>0</v>
      </c>
      <c r="M362" s="144">
        <v>0</v>
      </c>
      <c r="N362" s="144">
        <v>0</v>
      </c>
      <c r="O362" s="144">
        <v>0</v>
      </c>
      <c r="P362" s="144">
        <v>0</v>
      </c>
      <c r="Q362" s="206">
        <v>0</v>
      </c>
      <c r="R362" s="156">
        <f t="shared" si="237"/>
        <v>0</v>
      </c>
      <c r="S362" s="157">
        <f t="shared" si="238"/>
        <v>0</v>
      </c>
      <c r="T362" s="157">
        <f t="shared" si="239"/>
        <v>0</v>
      </c>
      <c r="U362" s="157">
        <f t="shared" si="240"/>
        <v>0</v>
      </c>
      <c r="V362" s="156">
        <f t="shared" si="241"/>
        <v>0</v>
      </c>
      <c r="W362" s="157">
        <f t="shared" si="242"/>
        <v>0</v>
      </c>
      <c r="X362" s="157">
        <f t="shared" si="243"/>
        <v>0</v>
      </c>
      <c r="Y362" s="157">
        <f t="shared" si="244"/>
        <v>0</v>
      </c>
      <c r="Z362" s="159" t="e">
        <f t="shared" si="245"/>
        <v>#DIV/0!</v>
      </c>
      <c r="AA362" s="159" t="e">
        <f t="shared" si="246"/>
        <v>#DIV/0!</v>
      </c>
      <c r="AB362" s="159" t="e">
        <f t="shared" si="247"/>
        <v>#DIV/0!</v>
      </c>
      <c r="AC362" s="159" t="e">
        <f t="shared" si="248"/>
        <v>#DIV/0!</v>
      </c>
    </row>
    <row r="363" spans="1:29" s="444" customFormat="1">
      <c r="A363" s="92">
        <v>2</v>
      </c>
      <c r="B363" s="143" t="s">
        <v>776</v>
      </c>
      <c r="C363" s="92">
        <v>1</v>
      </c>
      <c r="D363" s="92">
        <v>1</v>
      </c>
      <c r="E363" s="92">
        <v>1</v>
      </c>
      <c r="F363" s="92">
        <v>1</v>
      </c>
      <c r="G363" s="126">
        <v>3.1</v>
      </c>
      <c r="H363" s="126">
        <v>3.1</v>
      </c>
      <c r="I363" s="144">
        <v>0</v>
      </c>
      <c r="J363" s="144">
        <v>0</v>
      </c>
      <c r="K363" s="144">
        <v>0</v>
      </c>
      <c r="L363" s="144">
        <v>0</v>
      </c>
      <c r="M363" s="144">
        <v>0</v>
      </c>
      <c r="N363" s="144">
        <v>0</v>
      </c>
      <c r="O363" s="144">
        <v>0</v>
      </c>
      <c r="P363" s="144">
        <v>0</v>
      </c>
      <c r="Q363" s="206">
        <v>0</v>
      </c>
      <c r="R363" s="156">
        <f t="shared" si="237"/>
        <v>0</v>
      </c>
      <c r="S363" s="157">
        <f t="shared" si="238"/>
        <v>0</v>
      </c>
      <c r="T363" s="157">
        <f t="shared" si="239"/>
        <v>0</v>
      </c>
      <c r="U363" s="157">
        <f t="shared" si="240"/>
        <v>0</v>
      </c>
      <c r="V363" s="156">
        <f t="shared" si="241"/>
        <v>0</v>
      </c>
      <c r="W363" s="157">
        <f t="shared" si="242"/>
        <v>0</v>
      </c>
      <c r="X363" s="157">
        <f t="shared" si="243"/>
        <v>0</v>
      </c>
      <c r="Y363" s="157">
        <f t="shared" si="244"/>
        <v>0</v>
      </c>
      <c r="Z363" s="159" t="e">
        <f t="shared" si="245"/>
        <v>#DIV/0!</v>
      </c>
      <c r="AA363" s="159" t="e">
        <f t="shared" si="246"/>
        <v>#DIV/0!</v>
      </c>
      <c r="AB363" s="159" t="e">
        <f t="shared" si="247"/>
        <v>#DIV/0!</v>
      </c>
      <c r="AC363" s="159" t="e">
        <f t="shared" si="248"/>
        <v>#DIV/0!</v>
      </c>
    </row>
    <row r="364" spans="1:29" s="444" customFormat="1">
      <c r="A364" s="92">
        <v>3</v>
      </c>
      <c r="B364" s="143" t="s">
        <v>777</v>
      </c>
      <c r="C364" s="92">
        <v>1</v>
      </c>
      <c r="D364" s="92">
        <v>1</v>
      </c>
      <c r="E364" s="92">
        <v>1</v>
      </c>
      <c r="F364" s="92">
        <v>1</v>
      </c>
      <c r="G364" s="126">
        <v>0.15</v>
      </c>
      <c r="H364" s="126">
        <v>0.15</v>
      </c>
      <c r="I364" s="144">
        <v>0</v>
      </c>
      <c r="J364" s="144">
        <v>0</v>
      </c>
      <c r="K364" s="144">
        <v>0</v>
      </c>
      <c r="L364" s="144">
        <v>0</v>
      </c>
      <c r="M364" s="144">
        <v>0</v>
      </c>
      <c r="N364" s="144">
        <v>0</v>
      </c>
      <c r="O364" s="144">
        <v>0</v>
      </c>
      <c r="P364" s="144">
        <v>0</v>
      </c>
      <c r="Q364" s="206">
        <v>0</v>
      </c>
      <c r="R364" s="156">
        <f t="shared" si="237"/>
        <v>0</v>
      </c>
      <c r="S364" s="157">
        <f t="shared" si="238"/>
        <v>0</v>
      </c>
      <c r="T364" s="157">
        <f t="shared" si="239"/>
        <v>0</v>
      </c>
      <c r="U364" s="157">
        <f t="shared" si="240"/>
        <v>0</v>
      </c>
      <c r="V364" s="156">
        <f t="shared" si="241"/>
        <v>0</v>
      </c>
      <c r="W364" s="157">
        <f t="shared" si="242"/>
        <v>0</v>
      </c>
      <c r="X364" s="157">
        <f t="shared" si="243"/>
        <v>0</v>
      </c>
      <c r="Y364" s="157">
        <f t="shared" si="244"/>
        <v>0</v>
      </c>
      <c r="Z364" s="159" t="e">
        <f t="shared" si="245"/>
        <v>#DIV/0!</v>
      </c>
      <c r="AA364" s="159" t="e">
        <f t="shared" si="246"/>
        <v>#DIV/0!</v>
      </c>
      <c r="AB364" s="159" t="e">
        <f t="shared" si="247"/>
        <v>#DIV/0!</v>
      </c>
      <c r="AC364" s="159" t="e">
        <f t="shared" si="248"/>
        <v>#DIV/0!</v>
      </c>
    </row>
    <row r="365" spans="1:29" s="444" customFormat="1">
      <c r="A365" s="92">
        <v>4</v>
      </c>
      <c r="B365" s="143" t="s">
        <v>778</v>
      </c>
      <c r="C365" s="92">
        <v>1</v>
      </c>
      <c r="D365" s="92">
        <v>1</v>
      </c>
      <c r="E365" s="92">
        <v>1</v>
      </c>
      <c r="F365" s="92">
        <v>1</v>
      </c>
      <c r="G365" s="126">
        <v>8</v>
      </c>
      <c r="H365" s="126">
        <v>8</v>
      </c>
      <c r="I365" s="144">
        <v>0</v>
      </c>
      <c r="J365" s="144">
        <v>0</v>
      </c>
      <c r="K365" s="144">
        <v>0</v>
      </c>
      <c r="L365" s="144">
        <v>0</v>
      </c>
      <c r="M365" s="144">
        <v>0</v>
      </c>
      <c r="N365" s="144">
        <v>0</v>
      </c>
      <c r="O365" s="144">
        <v>0</v>
      </c>
      <c r="P365" s="144">
        <v>0</v>
      </c>
      <c r="Q365" s="206">
        <v>0</v>
      </c>
      <c r="R365" s="156">
        <f t="shared" si="237"/>
        <v>0</v>
      </c>
      <c r="S365" s="157">
        <f t="shared" si="238"/>
        <v>0</v>
      </c>
      <c r="T365" s="157">
        <f t="shared" si="239"/>
        <v>0</v>
      </c>
      <c r="U365" s="157">
        <f t="shared" si="240"/>
        <v>0</v>
      </c>
      <c r="V365" s="156">
        <f t="shared" si="241"/>
        <v>0</v>
      </c>
      <c r="W365" s="157">
        <f t="shared" si="242"/>
        <v>0</v>
      </c>
      <c r="X365" s="157">
        <f t="shared" si="243"/>
        <v>0</v>
      </c>
      <c r="Y365" s="157">
        <f t="shared" si="244"/>
        <v>0</v>
      </c>
      <c r="Z365" s="159" t="e">
        <f t="shared" si="245"/>
        <v>#DIV/0!</v>
      </c>
      <c r="AA365" s="159" t="e">
        <f t="shared" si="246"/>
        <v>#DIV/0!</v>
      </c>
      <c r="AB365" s="159" t="e">
        <f t="shared" si="247"/>
        <v>#DIV/0!</v>
      </c>
      <c r="AC365" s="159" t="e">
        <f t="shared" si="248"/>
        <v>#DIV/0!</v>
      </c>
    </row>
    <row r="366" spans="1:29" s="444" customFormat="1">
      <c r="A366" s="92">
        <v>5</v>
      </c>
      <c r="B366" s="143" t="s">
        <v>779</v>
      </c>
      <c r="C366" s="92">
        <v>1</v>
      </c>
      <c r="D366" s="92">
        <v>1</v>
      </c>
      <c r="E366" s="92">
        <v>1</v>
      </c>
      <c r="F366" s="92">
        <v>1</v>
      </c>
      <c r="G366" s="126">
        <v>3</v>
      </c>
      <c r="H366" s="126">
        <v>3</v>
      </c>
      <c r="I366" s="144">
        <v>0</v>
      </c>
      <c r="J366" s="144">
        <v>0</v>
      </c>
      <c r="K366" s="144">
        <v>0</v>
      </c>
      <c r="L366" s="144">
        <v>0</v>
      </c>
      <c r="M366" s="144">
        <v>0</v>
      </c>
      <c r="N366" s="144">
        <v>0</v>
      </c>
      <c r="O366" s="144">
        <v>0</v>
      </c>
      <c r="P366" s="144">
        <v>0</v>
      </c>
      <c r="Q366" s="206">
        <v>0</v>
      </c>
      <c r="R366" s="156">
        <f t="shared" si="237"/>
        <v>0</v>
      </c>
      <c r="S366" s="157">
        <f t="shared" si="238"/>
        <v>0</v>
      </c>
      <c r="T366" s="157">
        <f t="shared" si="239"/>
        <v>0</v>
      </c>
      <c r="U366" s="157">
        <f t="shared" si="240"/>
        <v>0</v>
      </c>
      <c r="V366" s="156">
        <f t="shared" si="241"/>
        <v>0</v>
      </c>
      <c r="W366" s="157">
        <f t="shared" si="242"/>
        <v>0</v>
      </c>
      <c r="X366" s="157">
        <f t="shared" si="243"/>
        <v>0</v>
      </c>
      <c r="Y366" s="157">
        <f t="shared" si="244"/>
        <v>0</v>
      </c>
      <c r="Z366" s="159" t="e">
        <f t="shared" si="245"/>
        <v>#DIV/0!</v>
      </c>
      <c r="AA366" s="159" t="e">
        <f t="shared" si="246"/>
        <v>#DIV/0!</v>
      </c>
      <c r="AB366" s="159" t="e">
        <f t="shared" si="247"/>
        <v>#DIV/0!</v>
      </c>
      <c r="AC366" s="159" t="e">
        <f t="shared" si="248"/>
        <v>#DIV/0!</v>
      </c>
    </row>
    <row r="367" spans="1:29" s="444" customFormat="1">
      <c r="A367" s="92">
        <v>6</v>
      </c>
      <c r="B367" s="143" t="s">
        <v>773</v>
      </c>
      <c r="C367" s="92">
        <v>1</v>
      </c>
      <c r="D367" s="92">
        <v>1</v>
      </c>
      <c r="E367" s="92">
        <v>1</v>
      </c>
      <c r="F367" s="92">
        <v>1</v>
      </c>
      <c r="G367" s="126">
        <v>1.8</v>
      </c>
      <c r="H367" s="126">
        <v>1.8</v>
      </c>
      <c r="I367" s="144">
        <v>24</v>
      </c>
      <c r="J367" s="144" t="s">
        <v>996</v>
      </c>
      <c r="K367" s="144">
        <v>24</v>
      </c>
      <c r="L367" s="144" t="s">
        <v>996</v>
      </c>
      <c r="M367" s="144">
        <v>24</v>
      </c>
      <c r="N367" s="144" t="s">
        <v>996</v>
      </c>
      <c r="O367" s="144">
        <v>24</v>
      </c>
      <c r="P367" s="144" t="s">
        <v>996</v>
      </c>
      <c r="Q367" s="206">
        <v>30</v>
      </c>
      <c r="R367" s="156">
        <f t="shared" si="237"/>
        <v>1296</v>
      </c>
      <c r="S367" s="157">
        <f t="shared" si="238"/>
        <v>1296</v>
      </c>
      <c r="T367" s="157">
        <f t="shared" si="239"/>
        <v>1296</v>
      </c>
      <c r="U367" s="157">
        <f t="shared" si="240"/>
        <v>1296</v>
      </c>
      <c r="V367" s="156">
        <f t="shared" si="241"/>
        <v>1296</v>
      </c>
      <c r="W367" s="157">
        <f t="shared" si="242"/>
        <v>1296</v>
      </c>
      <c r="X367" s="157">
        <f t="shared" si="243"/>
        <v>1296</v>
      </c>
      <c r="Y367" s="157">
        <f t="shared" si="244"/>
        <v>1296</v>
      </c>
      <c r="Z367" s="159">
        <f t="shared" si="245"/>
        <v>1</v>
      </c>
      <c r="AA367" s="159">
        <f t="shared" si="246"/>
        <v>1</v>
      </c>
      <c r="AB367" s="159">
        <f t="shared" si="247"/>
        <v>1</v>
      </c>
      <c r="AC367" s="159">
        <f t="shared" si="248"/>
        <v>1</v>
      </c>
    </row>
    <row r="368" spans="1:29" s="444" customFormat="1">
      <c r="A368" s="276"/>
      <c r="B368" s="433" t="s">
        <v>780</v>
      </c>
      <c r="C368" s="434"/>
      <c r="D368" s="435"/>
      <c r="E368" s="435"/>
      <c r="F368" s="435"/>
      <c r="G368" s="436"/>
      <c r="H368" s="436"/>
      <c r="I368" s="437"/>
      <c r="J368" s="438"/>
      <c r="K368" s="439"/>
      <c r="L368" s="439"/>
      <c r="M368" s="439"/>
      <c r="N368" s="438"/>
      <c r="O368" s="439"/>
      <c r="P368" s="438"/>
      <c r="Q368" s="20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</row>
    <row r="369" spans="1:29" s="444" customFormat="1">
      <c r="A369" s="92">
        <v>1</v>
      </c>
      <c r="B369" s="143" t="s">
        <v>781</v>
      </c>
      <c r="C369" s="92">
        <v>5</v>
      </c>
      <c r="D369" s="92">
        <v>5</v>
      </c>
      <c r="E369" s="92">
        <v>5</v>
      </c>
      <c r="F369" s="92">
        <v>5</v>
      </c>
      <c r="G369" s="126">
        <v>0.21</v>
      </c>
      <c r="H369" s="126">
        <v>0.21</v>
      </c>
      <c r="I369" s="148"/>
      <c r="J369" s="148"/>
      <c r="K369" s="148">
        <v>24</v>
      </c>
      <c r="L369" s="148" t="s">
        <v>996</v>
      </c>
      <c r="M369" s="148">
        <v>24</v>
      </c>
      <c r="N369" s="148" t="s">
        <v>996</v>
      </c>
      <c r="O369" s="148">
        <v>24</v>
      </c>
      <c r="P369" s="148" t="s">
        <v>996</v>
      </c>
      <c r="Q369" s="136">
        <v>30</v>
      </c>
      <c r="R369" s="156">
        <f t="shared" ref="R369:R378" si="249">C369*G369*I369*Q369</f>
        <v>0</v>
      </c>
      <c r="S369" s="157">
        <f t="shared" ref="S369:S378" si="250">D369*G369*K369*Q369</f>
        <v>756.00000000000011</v>
      </c>
      <c r="T369" s="157">
        <f t="shared" ref="T369:T378" si="251">E369*G369*M369*Q369</f>
        <v>756.00000000000011</v>
      </c>
      <c r="U369" s="157">
        <f t="shared" ref="U369:U378" si="252">F369*G369*O369*Q369</f>
        <v>756.00000000000011</v>
      </c>
      <c r="V369" s="156">
        <f t="shared" ref="V369:V378" si="253">C369*H369*I369*Q369</f>
        <v>0</v>
      </c>
      <c r="W369" s="157">
        <f t="shared" ref="W369:W378" si="254">D369*H369*K369*Q369</f>
        <v>756.00000000000011</v>
      </c>
      <c r="X369" s="157">
        <f t="shared" ref="X369:X378" si="255">E369*H369*M369*Q369</f>
        <v>756.00000000000011</v>
      </c>
      <c r="Y369" s="157">
        <f t="shared" ref="Y369:Y378" si="256">F369*H369*O369*Q369</f>
        <v>756.00000000000011</v>
      </c>
      <c r="Z369" s="158" t="e">
        <f t="shared" ref="Z369:Z378" si="257">V369/R369</f>
        <v>#DIV/0!</v>
      </c>
      <c r="AA369" s="158">
        <f t="shared" ref="AA369:AA378" si="258">W369/S369</f>
        <v>1</v>
      </c>
      <c r="AB369" s="158">
        <f t="shared" ref="AB369:AB378" si="259">X369/T369</f>
        <v>1</v>
      </c>
      <c r="AC369" s="158">
        <f t="shared" ref="AC369:AC378" si="260">Y369/U369</f>
        <v>1</v>
      </c>
    </row>
    <row r="370" spans="1:29" s="444" customFormat="1">
      <c r="A370" s="92">
        <v>2</v>
      </c>
      <c r="B370" s="143" t="s">
        <v>469</v>
      </c>
      <c r="C370" s="92">
        <v>3</v>
      </c>
      <c r="D370" s="92">
        <v>3</v>
      </c>
      <c r="E370" s="92">
        <v>3</v>
      </c>
      <c r="F370" s="92">
        <v>3</v>
      </c>
      <c r="G370" s="126">
        <v>0.3</v>
      </c>
      <c r="H370" s="126">
        <v>0.3</v>
      </c>
      <c r="I370" s="144"/>
      <c r="J370" s="144"/>
      <c r="K370" s="144">
        <v>24</v>
      </c>
      <c r="L370" s="144" t="s">
        <v>996</v>
      </c>
      <c r="M370" s="144">
        <v>24</v>
      </c>
      <c r="N370" s="144" t="s">
        <v>996</v>
      </c>
      <c r="O370" s="144">
        <v>24</v>
      </c>
      <c r="P370" s="144" t="s">
        <v>996</v>
      </c>
      <c r="Q370" s="136">
        <v>30</v>
      </c>
      <c r="R370" s="156">
        <f t="shared" si="249"/>
        <v>0</v>
      </c>
      <c r="S370" s="157">
        <f t="shared" si="250"/>
        <v>647.99999999999989</v>
      </c>
      <c r="T370" s="157">
        <f t="shared" si="251"/>
        <v>647.99999999999989</v>
      </c>
      <c r="U370" s="157">
        <f t="shared" si="252"/>
        <v>647.99999999999989</v>
      </c>
      <c r="V370" s="156">
        <f t="shared" si="253"/>
        <v>0</v>
      </c>
      <c r="W370" s="157">
        <f t="shared" si="254"/>
        <v>647.99999999999989</v>
      </c>
      <c r="X370" s="157">
        <f t="shared" si="255"/>
        <v>647.99999999999989</v>
      </c>
      <c r="Y370" s="157">
        <f t="shared" si="256"/>
        <v>647.99999999999989</v>
      </c>
      <c r="Z370" s="158" t="e">
        <f t="shared" si="257"/>
        <v>#DIV/0!</v>
      </c>
      <c r="AA370" s="158">
        <f t="shared" si="258"/>
        <v>1</v>
      </c>
      <c r="AB370" s="158">
        <f t="shared" si="259"/>
        <v>1</v>
      </c>
      <c r="AC370" s="158">
        <f t="shared" si="260"/>
        <v>1</v>
      </c>
    </row>
    <row r="371" spans="1:29" s="444" customFormat="1">
      <c r="A371" s="92">
        <v>3</v>
      </c>
      <c r="B371" s="143" t="s">
        <v>782</v>
      </c>
      <c r="C371" s="92">
        <v>1</v>
      </c>
      <c r="D371" s="92">
        <v>1</v>
      </c>
      <c r="E371" s="92">
        <v>1</v>
      </c>
      <c r="F371" s="92">
        <v>1</v>
      </c>
      <c r="G371" s="126">
        <v>0.26</v>
      </c>
      <c r="H371" s="126">
        <v>0.26</v>
      </c>
      <c r="I371" s="144"/>
      <c r="J371" s="144"/>
      <c r="K371" s="144">
        <v>7.5</v>
      </c>
      <c r="L371" s="144" t="s">
        <v>1129</v>
      </c>
      <c r="M371" s="144">
        <v>7.5</v>
      </c>
      <c r="N371" s="144" t="s">
        <v>1129</v>
      </c>
      <c r="O371" s="144">
        <v>7.5</v>
      </c>
      <c r="P371" s="144" t="s">
        <v>1129</v>
      </c>
      <c r="Q371" s="206">
        <v>30</v>
      </c>
      <c r="R371" s="156">
        <f t="shared" si="249"/>
        <v>0</v>
      </c>
      <c r="S371" s="157">
        <f t="shared" si="250"/>
        <v>58.500000000000007</v>
      </c>
      <c r="T371" s="157">
        <f t="shared" si="251"/>
        <v>58.500000000000007</v>
      </c>
      <c r="U371" s="157">
        <f t="shared" si="252"/>
        <v>58.500000000000007</v>
      </c>
      <c r="V371" s="156">
        <f t="shared" si="253"/>
        <v>0</v>
      </c>
      <c r="W371" s="157">
        <f t="shared" si="254"/>
        <v>58.500000000000007</v>
      </c>
      <c r="X371" s="157">
        <f t="shared" si="255"/>
        <v>58.500000000000007</v>
      </c>
      <c r="Y371" s="157">
        <f t="shared" si="256"/>
        <v>58.500000000000007</v>
      </c>
      <c r="Z371" s="158" t="e">
        <f t="shared" si="257"/>
        <v>#DIV/0!</v>
      </c>
      <c r="AA371" s="158">
        <f t="shared" si="258"/>
        <v>1</v>
      </c>
      <c r="AB371" s="158">
        <f t="shared" si="259"/>
        <v>1</v>
      </c>
      <c r="AC371" s="158">
        <f t="shared" si="260"/>
        <v>1</v>
      </c>
    </row>
    <row r="372" spans="1:29" s="444" customFormat="1">
      <c r="A372" s="92">
        <v>4</v>
      </c>
      <c r="B372" s="143" t="s">
        <v>783</v>
      </c>
      <c r="C372" s="92">
        <v>1</v>
      </c>
      <c r="D372" s="92">
        <v>1</v>
      </c>
      <c r="E372" s="92">
        <v>1</v>
      </c>
      <c r="F372" s="92">
        <v>1</v>
      </c>
      <c r="G372" s="126">
        <v>0.21</v>
      </c>
      <c r="H372" s="126">
        <v>0.21</v>
      </c>
      <c r="I372" s="148"/>
      <c r="J372" s="148"/>
      <c r="K372" s="148">
        <v>24</v>
      </c>
      <c r="L372" s="148" t="s">
        <v>996</v>
      </c>
      <c r="M372" s="148">
        <v>24</v>
      </c>
      <c r="N372" s="148" t="s">
        <v>996</v>
      </c>
      <c r="O372" s="148">
        <v>24</v>
      </c>
      <c r="P372" s="148" t="s">
        <v>996</v>
      </c>
      <c r="Q372" s="206">
        <v>30</v>
      </c>
      <c r="R372" s="156">
        <f t="shared" si="249"/>
        <v>0</v>
      </c>
      <c r="S372" s="157">
        <f t="shared" si="250"/>
        <v>151.19999999999999</v>
      </c>
      <c r="T372" s="157">
        <f t="shared" si="251"/>
        <v>151.19999999999999</v>
      </c>
      <c r="U372" s="157">
        <f t="shared" si="252"/>
        <v>151.19999999999999</v>
      </c>
      <c r="V372" s="156">
        <f t="shared" si="253"/>
        <v>0</v>
      </c>
      <c r="W372" s="157">
        <f t="shared" si="254"/>
        <v>151.19999999999999</v>
      </c>
      <c r="X372" s="157">
        <f t="shared" si="255"/>
        <v>151.19999999999999</v>
      </c>
      <c r="Y372" s="157">
        <f t="shared" si="256"/>
        <v>151.19999999999999</v>
      </c>
      <c r="Z372" s="158" t="e">
        <f t="shared" si="257"/>
        <v>#DIV/0!</v>
      </c>
      <c r="AA372" s="158">
        <f t="shared" si="258"/>
        <v>1</v>
      </c>
      <c r="AB372" s="158">
        <f t="shared" si="259"/>
        <v>1</v>
      </c>
      <c r="AC372" s="158">
        <f t="shared" si="260"/>
        <v>1</v>
      </c>
    </row>
    <row r="373" spans="1:29" s="444" customFormat="1">
      <c r="A373" s="92">
        <v>5</v>
      </c>
      <c r="B373" s="143" t="s">
        <v>784</v>
      </c>
      <c r="C373" s="92">
        <v>2</v>
      </c>
      <c r="D373" s="92">
        <v>2</v>
      </c>
      <c r="E373" s="92">
        <v>2</v>
      </c>
      <c r="F373" s="92">
        <v>2</v>
      </c>
      <c r="G373" s="126">
        <v>15</v>
      </c>
      <c r="H373" s="126">
        <v>15</v>
      </c>
      <c r="I373" s="148"/>
      <c r="J373" s="148"/>
      <c r="K373" s="148">
        <v>7</v>
      </c>
      <c r="L373" s="148" t="s">
        <v>1130</v>
      </c>
      <c r="M373" s="148">
        <v>7</v>
      </c>
      <c r="N373" s="148" t="s">
        <v>1130</v>
      </c>
      <c r="O373" s="148">
        <v>7</v>
      </c>
      <c r="P373" s="148" t="s">
        <v>1130</v>
      </c>
      <c r="Q373" s="206">
        <v>30</v>
      </c>
      <c r="R373" s="156">
        <f t="shared" si="249"/>
        <v>0</v>
      </c>
      <c r="S373" s="157">
        <f t="shared" si="250"/>
        <v>6300</v>
      </c>
      <c r="T373" s="157">
        <f t="shared" si="251"/>
        <v>6300</v>
      </c>
      <c r="U373" s="157">
        <f t="shared" si="252"/>
        <v>6300</v>
      </c>
      <c r="V373" s="156">
        <f t="shared" si="253"/>
        <v>0</v>
      </c>
      <c r="W373" s="157">
        <f t="shared" si="254"/>
        <v>6300</v>
      </c>
      <c r="X373" s="157">
        <f t="shared" si="255"/>
        <v>6300</v>
      </c>
      <c r="Y373" s="157">
        <f t="shared" si="256"/>
        <v>6300</v>
      </c>
      <c r="Z373" s="158" t="e">
        <f t="shared" si="257"/>
        <v>#DIV/0!</v>
      </c>
      <c r="AA373" s="158">
        <f t="shared" si="258"/>
        <v>1</v>
      </c>
      <c r="AB373" s="158">
        <f t="shared" si="259"/>
        <v>1</v>
      </c>
      <c r="AC373" s="158">
        <f t="shared" si="260"/>
        <v>1</v>
      </c>
    </row>
    <row r="374" spans="1:29" s="444" customFormat="1" ht="15.6" customHeight="1">
      <c r="A374" s="92">
        <v>6</v>
      </c>
      <c r="B374" s="143" t="s">
        <v>396</v>
      </c>
      <c r="C374" s="92">
        <v>2</v>
      </c>
      <c r="D374" s="92">
        <v>2</v>
      </c>
      <c r="E374" s="92">
        <v>2</v>
      </c>
      <c r="F374" s="92">
        <v>2</v>
      </c>
      <c r="G374" s="126">
        <v>10</v>
      </c>
      <c r="H374" s="126">
        <v>10</v>
      </c>
      <c r="I374" s="148"/>
      <c r="J374" s="148"/>
      <c r="K374" s="148">
        <v>8</v>
      </c>
      <c r="L374" s="148" t="s">
        <v>1120</v>
      </c>
      <c r="M374" s="148">
        <v>8</v>
      </c>
      <c r="N374" s="148" t="s">
        <v>1120</v>
      </c>
      <c r="O374" s="148">
        <v>8</v>
      </c>
      <c r="P374" s="148" t="s">
        <v>1120</v>
      </c>
      <c r="Q374" s="206">
        <v>30</v>
      </c>
      <c r="R374" s="156">
        <f t="shared" si="249"/>
        <v>0</v>
      </c>
      <c r="S374" s="157">
        <f t="shared" si="250"/>
        <v>4800</v>
      </c>
      <c r="T374" s="157">
        <f t="shared" si="251"/>
        <v>4800</v>
      </c>
      <c r="U374" s="157">
        <f t="shared" si="252"/>
        <v>4800</v>
      </c>
      <c r="V374" s="156">
        <f t="shared" si="253"/>
        <v>0</v>
      </c>
      <c r="W374" s="157">
        <f t="shared" si="254"/>
        <v>4800</v>
      </c>
      <c r="X374" s="157">
        <f t="shared" si="255"/>
        <v>4800</v>
      </c>
      <c r="Y374" s="157">
        <f t="shared" si="256"/>
        <v>4800</v>
      </c>
      <c r="Z374" s="158" t="e">
        <f t="shared" si="257"/>
        <v>#DIV/0!</v>
      </c>
      <c r="AA374" s="158">
        <f t="shared" si="258"/>
        <v>1</v>
      </c>
      <c r="AB374" s="158">
        <f t="shared" si="259"/>
        <v>1</v>
      </c>
      <c r="AC374" s="158">
        <f t="shared" si="260"/>
        <v>1</v>
      </c>
    </row>
    <row r="375" spans="1:29" s="444" customFormat="1">
      <c r="A375" s="92">
        <v>7</v>
      </c>
      <c r="B375" s="143" t="s">
        <v>785</v>
      </c>
      <c r="C375" s="92">
        <v>1</v>
      </c>
      <c r="D375" s="92">
        <v>1</v>
      </c>
      <c r="E375" s="92">
        <v>1</v>
      </c>
      <c r="F375" s="92">
        <v>1</v>
      </c>
      <c r="G375" s="126">
        <v>1.8</v>
      </c>
      <c r="H375" s="126">
        <v>1.8</v>
      </c>
      <c r="I375" s="148"/>
      <c r="J375" s="148"/>
      <c r="K375" s="148">
        <v>24</v>
      </c>
      <c r="L375" s="148" t="s">
        <v>996</v>
      </c>
      <c r="M375" s="148">
        <v>24</v>
      </c>
      <c r="N375" s="148" t="s">
        <v>996</v>
      </c>
      <c r="O375" s="148">
        <v>24</v>
      </c>
      <c r="P375" s="148" t="s">
        <v>996</v>
      </c>
      <c r="Q375" s="206">
        <v>30</v>
      </c>
      <c r="R375" s="156">
        <f t="shared" si="249"/>
        <v>0</v>
      </c>
      <c r="S375" s="157">
        <f t="shared" si="250"/>
        <v>1296</v>
      </c>
      <c r="T375" s="157">
        <f t="shared" si="251"/>
        <v>1296</v>
      </c>
      <c r="U375" s="157">
        <f t="shared" si="252"/>
        <v>1296</v>
      </c>
      <c r="V375" s="156">
        <f t="shared" si="253"/>
        <v>0</v>
      </c>
      <c r="W375" s="157">
        <f t="shared" si="254"/>
        <v>1296</v>
      </c>
      <c r="X375" s="157">
        <f t="shared" si="255"/>
        <v>1296</v>
      </c>
      <c r="Y375" s="157">
        <f t="shared" si="256"/>
        <v>1296</v>
      </c>
      <c r="Z375" s="158" t="e">
        <f t="shared" si="257"/>
        <v>#DIV/0!</v>
      </c>
      <c r="AA375" s="158">
        <f t="shared" si="258"/>
        <v>1</v>
      </c>
      <c r="AB375" s="158">
        <f t="shared" si="259"/>
        <v>1</v>
      </c>
      <c r="AC375" s="158">
        <f t="shared" si="260"/>
        <v>1</v>
      </c>
    </row>
    <row r="376" spans="1:29" s="444" customFormat="1">
      <c r="A376" s="92">
        <v>8</v>
      </c>
      <c r="B376" s="143" t="s">
        <v>786</v>
      </c>
      <c r="C376" s="92">
        <v>3</v>
      </c>
      <c r="D376" s="92">
        <v>3</v>
      </c>
      <c r="E376" s="92">
        <v>3</v>
      </c>
      <c r="F376" s="92">
        <v>3</v>
      </c>
      <c r="G376" s="126">
        <v>0.35</v>
      </c>
      <c r="H376" s="126">
        <v>0.35</v>
      </c>
      <c r="I376" s="148"/>
      <c r="J376" s="148"/>
      <c r="K376" s="148">
        <v>8</v>
      </c>
      <c r="L376" s="148" t="s">
        <v>1120</v>
      </c>
      <c r="M376" s="148">
        <v>8</v>
      </c>
      <c r="N376" s="148" t="s">
        <v>1120</v>
      </c>
      <c r="O376" s="148">
        <v>8</v>
      </c>
      <c r="P376" s="148" t="s">
        <v>1120</v>
      </c>
      <c r="Q376" s="206">
        <v>30</v>
      </c>
      <c r="R376" s="156">
        <f t="shared" si="249"/>
        <v>0</v>
      </c>
      <c r="S376" s="157">
        <f t="shared" si="250"/>
        <v>251.99999999999994</v>
      </c>
      <c r="T376" s="157">
        <f t="shared" si="251"/>
        <v>251.99999999999994</v>
      </c>
      <c r="U376" s="157">
        <f t="shared" si="252"/>
        <v>251.99999999999994</v>
      </c>
      <c r="V376" s="156">
        <f t="shared" si="253"/>
        <v>0</v>
      </c>
      <c r="W376" s="157">
        <f t="shared" si="254"/>
        <v>251.99999999999994</v>
      </c>
      <c r="X376" s="157">
        <f t="shared" si="255"/>
        <v>251.99999999999994</v>
      </c>
      <c r="Y376" s="157">
        <f t="shared" si="256"/>
        <v>251.99999999999994</v>
      </c>
      <c r="Z376" s="158" t="e">
        <f t="shared" si="257"/>
        <v>#DIV/0!</v>
      </c>
      <c r="AA376" s="158">
        <f t="shared" si="258"/>
        <v>1</v>
      </c>
      <c r="AB376" s="158">
        <f t="shared" si="259"/>
        <v>1</v>
      </c>
      <c r="AC376" s="158">
        <f t="shared" si="260"/>
        <v>1</v>
      </c>
    </row>
    <row r="377" spans="1:29" s="444" customFormat="1">
      <c r="A377" s="92">
        <v>9</v>
      </c>
      <c r="B377" s="143" t="s">
        <v>787</v>
      </c>
      <c r="C377" s="92">
        <v>3</v>
      </c>
      <c r="D377" s="92">
        <v>3</v>
      </c>
      <c r="E377" s="92">
        <v>3</v>
      </c>
      <c r="F377" s="92">
        <v>3</v>
      </c>
      <c r="G377" s="126">
        <v>6</v>
      </c>
      <c r="H377" s="126">
        <v>6</v>
      </c>
      <c r="I377" s="148"/>
      <c r="J377" s="148"/>
      <c r="K377" s="148">
        <v>8</v>
      </c>
      <c r="L377" s="148" t="s">
        <v>1120</v>
      </c>
      <c r="M377" s="148">
        <v>8</v>
      </c>
      <c r="N377" s="148" t="s">
        <v>1120</v>
      </c>
      <c r="O377" s="148">
        <v>8</v>
      </c>
      <c r="P377" s="148" t="s">
        <v>1120</v>
      </c>
      <c r="Q377" s="206">
        <v>30</v>
      </c>
      <c r="R377" s="156">
        <f t="shared" si="249"/>
        <v>0</v>
      </c>
      <c r="S377" s="157">
        <f t="shared" si="250"/>
        <v>4320</v>
      </c>
      <c r="T377" s="157">
        <f t="shared" si="251"/>
        <v>4320</v>
      </c>
      <c r="U377" s="157">
        <f t="shared" si="252"/>
        <v>4320</v>
      </c>
      <c r="V377" s="156">
        <f t="shared" si="253"/>
        <v>0</v>
      </c>
      <c r="W377" s="157">
        <f t="shared" si="254"/>
        <v>4320</v>
      </c>
      <c r="X377" s="157">
        <f t="shared" si="255"/>
        <v>4320</v>
      </c>
      <c r="Y377" s="157">
        <f t="shared" si="256"/>
        <v>4320</v>
      </c>
      <c r="Z377" s="158" t="e">
        <f t="shared" si="257"/>
        <v>#DIV/0!</v>
      </c>
      <c r="AA377" s="158">
        <f t="shared" si="258"/>
        <v>1</v>
      </c>
      <c r="AB377" s="158">
        <f t="shared" si="259"/>
        <v>1</v>
      </c>
      <c r="AC377" s="158">
        <f t="shared" si="260"/>
        <v>1</v>
      </c>
    </row>
    <row r="378" spans="1:29" s="444" customFormat="1" ht="15.6" customHeight="1">
      <c r="A378" s="92">
        <v>10</v>
      </c>
      <c r="B378" s="143" t="s">
        <v>788</v>
      </c>
      <c r="C378" s="92">
        <v>2</v>
      </c>
      <c r="D378" s="92">
        <v>2</v>
      </c>
      <c r="E378" s="92">
        <v>2</v>
      </c>
      <c r="F378" s="92">
        <v>2</v>
      </c>
      <c r="G378" s="126">
        <v>1.3</v>
      </c>
      <c r="H378" s="126">
        <v>1.3</v>
      </c>
      <c r="I378" s="148"/>
      <c r="J378" s="148"/>
      <c r="K378" s="148">
        <v>8</v>
      </c>
      <c r="L378" s="148" t="s">
        <v>1120</v>
      </c>
      <c r="M378" s="148">
        <v>8</v>
      </c>
      <c r="N378" s="148" t="s">
        <v>1120</v>
      </c>
      <c r="O378" s="148">
        <v>8</v>
      </c>
      <c r="P378" s="148" t="s">
        <v>1120</v>
      </c>
      <c r="Q378" s="206">
        <v>30</v>
      </c>
      <c r="R378" s="156">
        <f t="shared" si="249"/>
        <v>0</v>
      </c>
      <c r="S378" s="157">
        <f t="shared" si="250"/>
        <v>624</v>
      </c>
      <c r="T378" s="157">
        <f t="shared" si="251"/>
        <v>624</v>
      </c>
      <c r="U378" s="157">
        <f t="shared" si="252"/>
        <v>624</v>
      </c>
      <c r="V378" s="156">
        <f t="shared" si="253"/>
        <v>0</v>
      </c>
      <c r="W378" s="157">
        <f t="shared" si="254"/>
        <v>624</v>
      </c>
      <c r="X378" s="157">
        <f t="shared" si="255"/>
        <v>624</v>
      </c>
      <c r="Y378" s="157">
        <f t="shared" si="256"/>
        <v>624</v>
      </c>
      <c r="Z378" s="158" t="e">
        <f t="shared" si="257"/>
        <v>#DIV/0!</v>
      </c>
      <c r="AA378" s="158">
        <f t="shared" si="258"/>
        <v>1</v>
      </c>
      <c r="AB378" s="158">
        <f t="shared" si="259"/>
        <v>1</v>
      </c>
      <c r="AC378" s="158">
        <f t="shared" si="260"/>
        <v>1</v>
      </c>
    </row>
    <row r="379" spans="1:29" s="444" customFormat="1">
      <c r="A379" s="276"/>
      <c r="B379" s="433" t="s">
        <v>1131</v>
      </c>
      <c r="C379" s="434"/>
      <c r="D379" s="435"/>
      <c r="E379" s="435"/>
      <c r="F379" s="435"/>
      <c r="G379" s="436"/>
      <c r="H379" s="436"/>
      <c r="I379" s="437"/>
      <c r="J379" s="438"/>
      <c r="K379" s="439"/>
      <c r="L379" s="439"/>
      <c r="M379" s="439"/>
      <c r="N379" s="438"/>
      <c r="O379" s="439"/>
      <c r="P379" s="438"/>
      <c r="Q379" s="20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</row>
    <row r="380" spans="1:29" s="444" customFormat="1">
      <c r="A380" s="92">
        <v>1</v>
      </c>
      <c r="B380" s="143" t="s">
        <v>789</v>
      </c>
      <c r="C380" s="92">
        <v>1</v>
      </c>
      <c r="D380" s="92">
        <v>1</v>
      </c>
      <c r="E380" s="92">
        <v>1</v>
      </c>
      <c r="F380" s="92">
        <v>1</v>
      </c>
      <c r="G380" s="126">
        <v>15</v>
      </c>
      <c r="H380" s="126">
        <v>15</v>
      </c>
      <c r="I380" s="148">
        <v>0</v>
      </c>
      <c r="J380" s="148">
        <v>0</v>
      </c>
      <c r="K380" s="148">
        <v>7.5</v>
      </c>
      <c r="L380" s="148" t="s">
        <v>1129</v>
      </c>
      <c r="M380" s="148">
        <v>7.5</v>
      </c>
      <c r="N380" s="148" t="s">
        <v>1129</v>
      </c>
      <c r="O380" s="148">
        <v>7.5</v>
      </c>
      <c r="P380" s="148" t="s">
        <v>1129</v>
      </c>
      <c r="Q380" s="206">
        <v>30</v>
      </c>
      <c r="R380" s="156">
        <f t="shared" ref="R380:R390" si="261">C380*G380*I380*Q380</f>
        <v>0</v>
      </c>
      <c r="S380" s="157">
        <f t="shared" ref="S380:S390" si="262">D380*G380*K380*Q380</f>
        <v>3375</v>
      </c>
      <c r="T380" s="157">
        <f t="shared" ref="T380:T390" si="263">E380*G380*M380*Q380</f>
        <v>3375</v>
      </c>
      <c r="U380" s="157">
        <f t="shared" ref="U380:U390" si="264">F380*G380*O380*Q380</f>
        <v>3375</v>
      </c>
      <c r="V380" s="156">
        <f t="shared" ref="V380:V390" si="265">C380*H380*I380*Q380</f>
        <v>0</v>
      </c>
      <c r="W380" s="157">
        <f t="shared" ref="W380:W390" si="266">D380*H380*K380*Q380</f>
        <v>3375</v>
      </c>
      <c r="X380" s="157">
        <f t="shared" ref="X380:X390" si="267">E380*H380*M380*Q380</f>
        <v>3375</v>
      </c>
      <c r="Y380" s="157">
        <f t="shared" ref="Y380:Y390" si="268">F380*H380*O380*Q380</f>
        <v>3375</v>
      </c>
      <c r="Z380" s="158" t="e">
        <f t="shared" ref="Z380:Z390" si="269">V380/R380</f>
        <v>#DIV/0!</v>
      </c>
      <c r="AA380" s="158">
        <f t="shared" ref="AA380:AA390" si="270">W380/S380</f>
        <v>1</v>
      </c>
      <c r="AB380" s="158">
        <f t="shared" ref="AB380:AB390" si="271">X380/T380</f>
        <v>1</v>
      </c>
      <c r="AC380" s="158">
        <f t="shared" ref="AC380:AC390" si="272">Y380/U380</f>
        <v>1</v>
      </c>
    </row>
    <row r="381" spans="1:29" s="444" customFormat="1">
      <c r="A381" s="92">
        <v>2</v>
      </c>
      <c r="B381" s="143" t="s">
        <v>790</v>
      </c>
      <c r="C381" s="92">
        <v>1</v>
      </c>
      <c r="D381" s="92">
        <v>1</v>
      </c>
      <c r="E381" s="92">
        <v>1</v>
      </c>
      <c r="F381" s="92">
        <v>1</v>
      </c>
      <c r="G381" s="126">
        <v>1.3</v>
      </c>
      <c r="H381" s="126">
        <v>1.3</v>
      </c>
      <c r="I381" s="148">
        <v>0</v>
      </c>
      <c r="J381" s="148">
        <v>0</v>
      </c>
      <c r="K381" s="148">
        <v>7.5</v>
      </c>
      <c r="L381" s="148" t="s">
        <v>1129</v>
      </c>
      <c r="M381" s="148">
        <v>7.5</v>
      </c>
      <c r="N381" s="148" t="s">
        <v>1129</v>
      </c>
      <c r="O381" s="148">
        <v>7.5</v>
      </c>
      <c r="P381" s="148" t="s">
        <v>1129</v>
      </c>
      <c r="Q381" s="206">
        <v>30</v>
      </c>
      <c r="R381" s="156">
        <f t="shared" si="261"/>
        <v>0</v>
      </c>
      <c r="S381" s="157">
        <f t="shared" si="262"/>
        <v>292.5</v>
      </c>
      <c r="T381" s="157">
        <f t="shared" si="263"/>
        <v>292.5</v>
      </c>
      <c r="U381" s="157">
        <f t="shared" si="264"/>
        <v>292.5</v>
      </c>
      <c r="V381" s="156">
        <f t="shared" si="265"/>
        <v>0</v>
      </c>
      <c r="W381" s="157">
        <f t="shared" si="266"/>
        <v>292.5</v>
      </c>
      <c r="X381" s="157">
        <f t="shared" si="267"/>
        <v>292.5</v>
      </c>
      <c r="Y381" s="157">
        <f t="shared" si="268"/>
        <v>292.5</v>
      </c>
      <c r="Z381" s="158" t="e">
        <f t="shared" si="269"/>
        <v>#DIV/0!</v>
      </c>
      <c r="AA381" s="158">
        <f t="shared" si="270"/>
        <v>1</v>
      </c>
      <c r="AB381" s="158">
        <f t="shared" si="271"/>
        <v>1</v>
      </c>
      <c r="AC381" s="158">
        <f t="shared" si="272"/>
        <v>1</v>
      </c>
    </row>
    <row r="382" spans="1:29" s="444" customFormat="1">
      <c r="A382" s="92">
        <v>3</v>
      </c>
      <c r="B382" s="143" t="s">
        <v>791</v>
      </c>
      <c r="C382" s="92">
        <v>1</v>
      </c>
      <c r="D382" s="92">
        <v>1</v>
      </c>
      <c r="E382" s="92">
        <v>1</v>
      </c>
      <c r="F382" s="92">
        <v>1</v>
      </c>
      <c r="G382" s="126">
        <v>6</v>
      </c>
      <c r="H382" s="126">
        <v>6</v>
      </c>
      <c r="I382" s="148">
        <v>0</v>
      </c>
      <c r="J382" s="148">
        <v>0</v>
      </c>
      <c r="K382" s="148">
        <v>7.5</v>
      </c>
      <c r="L382" s="148" t="s">
        <v>1129</v>
      </c>
      <c r="M382" s="148">
        <v>7.5</v>
      </c>
      <c r="N382" s="148" t="s">
        <v>1129</v>
      </c>
      <c r="O382" s="148">
        <v>7.5</v>
      </c>
      <c r="P382" s="148" t="s">
        <v>1129</v>
      </c>
      <c r="Q382" s="206">
        <v>30</v>
      </c>
      <c r="R382" s="156">
        <f t="shared" si="261"/>
        <v>0</v>
      </c>
      <c r="S382" s="157">
        <f t="shared" si="262"/>
        <v>1350</v>
      </c>
      <c r="T382" s="157">
        <f t="shared" si="263"/>
        <v>1350</v>
      </c>
      <c r="U382" s="157">
        <f t="shared" si="264"/>
        <v>1350</v>
      </c>
      <c r="V382" s="156">
        <f t="shared" si="265"/>
        <v>0</v>
      </c>
      <c r="W382" s="157">
        <f t="shared" si="266"/>
        <v>1350</v>
      </c>
      <c r="X382" s="157">
        <f t="shared" si="267"/>
        <v>1350</v>
      </c>
      <c r="Y382" s="157">
        <f t="shared" si="268"/>
        <v>1350</v>
      </c>
      <c r="Z382" s="158" t="e">
        <f t="shared" si="269"/>
        <v>#DIV/0!</v>
      </c>
      <c r="AA382" s="158">
        <f t="shared" si="270"/>
        <v>1</v>
      </c>
      <c r="AB382" s="158">
        <f t="shared" si="271"/>
        <v>1</v>
      </c>
      <c r="AC382" s="158">
        <f t="shared" si="272"/>
        <v>1</v>
      </c>
    </row>
    <row r="383" spans="1:29" s="444" customFormat="1">
      <c r="A383" s="92">
        <v>4</v>
      </c>
      <c r="B383" s="143" t="s">
        <v>792</v>
      </c>
      <c r="C383" s="92">
        <v>1</v>
      </c>
      <c r="D383" s="92">
        <v>1</v>
      </c>
      <c r="E383" s="92">
        <v>1</v>
      </c>
      <c r="F383" s="92">
        <v>1</v>
      </c>
      <c r="G383" s="126">
        <v>4</v>
      </c>
      <c r="H383" s="126">
        <v>4</v>
      </c>
      <c r="I383" s="148">
        <v>0</v>
      </c>
      <c r="J383" s="148">
        <v>0</v>
      </c>
      <c r="K383" s="148">
        <v>7.5</v>
      </c>
      <c r="L383" s="148" t="s">
        <v>1129</v>
      </c>
      <c r="M383" s="148">
        <v>7.5</v>
      </c>
      <c r="N383" s="148" t="s">
        <v>1129</v>
      </c>
      <c r="O383" s="148">
        <v>7.5</v>
      </c>
      <c r="P383" s="148" t="s">
        <v>1129</v>
      </c>
      <c r="Q383" s="206">
        <v>30</v>
      </c>
      <c r="R383" s="156">
        <f t="shared" si="261"/>
        <v>0</v>
      </c>
      <c r="S383" s="157">
        <f t="shared" si="262"/>
        <v>900</v>
      </c>
      <c r="T383" s="157">
        <f t="shared" si="263"/>
        <v>900</v>
      </c>
      <c r="U383" s="157">
        <f t="shared" si="264"/>
        <v>900</v>
      </c>
      <c r="V383" s="156">
        <f t="shared" si="265"/>
        <v>0</v>
      </c>
      <c r="W383" s="157">
        <f t="shared" si="266"/>
        <v>900</v>
      </c>
      <c r="X383" s="157">
        <f t="shared" si="267"/>
        <v>900</v>
      </c>
      <c r="Y383" s="157">
        <f t="shared" si="268"/>
        <v>900</v>
      </c>
      <c r="Z383" s="158" t="e">
        <f t="shared" si="269"/>
        <v>#DIV/0!</v>
      </c>
      <c r="AA383" s="158">
        <f t="shared" si="270"/>
        <v>1</v>
      </c>
      <c r="AB383" s="158">
        <f t="shared" si="271"/>
        <v>1</v>
      </c>
      <c r="AC383" s="158">
        <f t="shared" si="272"/>
        <v>1</v>
      </c>
    </row>
    <row r="384" spans="1:29" s="444" customFormat="1">
      <c r="A384" s="92">
        <v>5</v>
      </c>
      <c r="B384" s="143" t="s">
        <v>793</v>
      </c>
      <c r="C384" s="92">
        <v>1</v>
      </c>
      <c r="D384" s="92">
        <v>1</v>
      </c>
      <c r="E384" s="92">
        <v>1</v>
      </c>
      <c r="F384" s="92">
        <v>1</v>
      </c>
      <c r="G384" s="126">
        <v>0.35</v>
      </c>
      <c r="H384" s="126">
        <v>0.35</v>
      </c>
      <c r="I384" s="148">
        <v>0</v>
      </c>
      <c r="J384" s="148">
        <v>0</v>
      </c>
      <c r="K384" s="148">
        <v>7.5</v>
      </c>
      <c r="L384" s="148" t="s">
        <v>1129</v>
      </c>
      <c r="M384" s="148">
        <v>7.5</v>
      </c>
      <c r="N384" s="148" t="s">
        <v>1129</v>
      </c>
      <c r="O384" s="148">
        <v>7.5</v>
      </c>
      <c r="P384" s="148" t="s">
        <v>1129</v>
      </c>
      <c r="Q384" s="206">
        <v>30</v>
      </c>
      <c r="R384" s="156">
        <f t="shared" si="261"/>
        <v>0</v>
      </c>
      <c r="S384" s="157">
        <f t="shared" si="262"/>
        <v>78.75</v>
      </c>
      <c r="T384" s="157">
        <f t="shared" si="263"/>
        <v>78.75</v>
      </c>
      <c r="U384" s="157">
        <f t="shared" si="264"/>
        <v>78.75</v>
      </c>
      <c r="V384" s="156">
        <f t="shared" si="265"/>
        <v>0</v>
      </c>
      <c r="W384" s="157">
        <f t="shared" si="266"/>
        <v>78.75</v>
      </c>
      <c r="X384" s="157">
        <f t="shared" si="267"/>
        <v>78.75</v>
      </c>
      <c r="Y384" s="157">
        <f t="shared" si="268"/>
        <v>78.75</v>
      </c>
      <c r="Z384" s="158" t="e">
        <f t="shared" si="269"/>
        <v>#DIV/0!</v>
      </c>
      <c r="AA384" s="158">
        <f t="shared" si="270"/>
        <v>1</v>
      </c>
      <c r="AB384" s="158">
        <f t="shared" si="271"/>
        <v>1</v>
      </c>
      <c r="AC384" s="158">
        <f t="shared" si="272"/>
        <v>1</v>
      </c>
    </row>
    <row r="385" spans="1:29" s="444" customFormat="1" ht="18" customHeight="1">
      <c r="A385" s="92">
        <v>6</v>
      </c>
      <c r="B385" s="143" t="s">
        <v>794</v>
      </c>
      <c r="C385" s="92">
        <v>1</v>
      </c>
      <c r="D385" s="92">
        <v>1</v>
      </c>
      <c r="E385" s="92">
        <v>1</v>
      </c>
      <c r="F385" s="92">
        <v>1</v>
      </c>
      <c r="G385" s="126">
        <v>1.6</v>
      </c>
      <c r="H385" s="126">
        <v>1.6</v>
      </c>
      <c r="I385" s="148">
        <v>0</v>
      </c>
      <c r="J385" s="148">
        <v>0</v>
      </c>
      <c r="K385" s="148">
        <v>7.5</v>
      </c>
      <c r="L385" s="148" t="s">
        <v>1129</v>
      </c>
      <c r="M385" s="148">
        <v>7.5</v>
      </c>
      <c r="N385" s="148" t="s">
        <v>1129</v>
      </c>
      <c r="O385" s="148">
        <v>7.5</v>
      </c>
      <c r="P385" s="148" t="s">
        <v>1129</v>
      </c>
      <c r="Q385" s="206">
        <v>30</v>
      </c>
      <c r="R385" s="156">
        <f t="shared" si="261"/>
        <v>0</v>
      </c>
      <c r="S385" s="157">
        <f t="shared" si="262"/>
        <v>360</v>
      </c>
      <c r="T385" s="157">
        <f t="shared" si="263"/>
        <v>360</v>
      </c>
      <c r="U385" s="157">
        <f t="shared" si="264"/>
        <v>360</v>
      </c>
      <c r="V385" s="156">
        <f t="shared" si="265"/>
        <v>0</v>
      </c>
      <c r="W385" s="157">
        <f t="shared" si="266"/>
        <v>360</v>
      </c>
      <c r="X385" s="157">
        <f t="shared" si="267"/>
        <v>360</v>
      </c>
      <c r="Y385" s="157">
        <f t="shared" si="268"/>
        <v>360</v>
      </c>
      <c r="Z385" s="158" t="e">
        <f t="shared" si="269"/>
        <v>#DIV/0!</v>
      </c>
      <c r="AA385" s="158">
        <f t="shared" si="270"/>
        <v>1</v>
      </c>
      <c r="AB385" s="158">
        <f t="shared" si="271"/>
        <v>1</v>
      </c>
      <c r="AC385" s="158">
        <f t="shared" si="272"/>
        <v>1</v>
      </c>
    </row>
    <row r="386" spans="1:29" s="444" customFormat="1" ht="18.600000000000001" customHeight="1">
      <c r="A386" s="92">
        <v>7</v>
      </c>
      <c r="B386" s="143" t="s">
        <v>795</v>
      </c>
      <c r="C386" s="92">
        <v>2</v>
      </c>
      <c r="D386" s="92">
        <v>2</v>
      </c>
      <c r="E386" s="92">
        <v>2</v>
      </c>
      <c r="F386" s="92">
        <v>2</v>
      </c>
      <c r="G386" s="126">
        <v>1</v>
      </c>
      <c r="H386" s="126">
        <v>1</v>
      </c>
      <c r="I386" s="148">
        <v>0</v>
      </c>
      <c r="J386" s="148">
        <v>0</v>
      </c>
      <c r="K386" s="148">
        <v>7.5</v>
      </c>
      <c r="L386" s="148" t="s">
        <v>1129</v>
      </c>
      <c r="M386" s="148">
        <v>7.5</v>
      </c>
      <c r="N386" s="148" t="s">
        <v>1129</v>
      </c>
      <c r="O386" s="148">
        <v>7.5</v>
      </c>
      <c r="P386" s="148" t="s">
        <v>1129</v>
      </c>
      <c r="Q386" s="206">
        <v>30</v>
      </c>
      <c r="R386" s="156">
        <f t="shared" si="261"/>
        <v>0</v>
      </c>
      <c r="S386" s="157">
        <f t="shared" si="262"/>
        <v>450</v>
      </c>
      <c r="T386" s="157">
        <f t="shared" si="263"/>
        <v>450</v>
      </c>
      <c r="U386" s="157">
        <f t="shared" si="264"/>
        <v>450</v>
      </c>
      <c r="V386" s="156">
        <f t="shared" si="265"/>
        <v>0</v>
      </c>
      <c r="W386" s="157">
        <f t="shared" si="266"/>
        <v>450</v>
      </c>
      <c r="X386" s="157">
        <f t="shared" si="267"/>
        <v>450</v>
      </c>
      <c r="Y386" s="157">
        <f t="shared" si="268"/>
        <v>450</v>
      </c>
      <c r="Z386" s="158" t="e">
        <f t="shared" si="269"/>
        <v>#DIV/0!</v>
      </c>
      <c r="AA386" s="158">
        <f t="shared" si="270"/>
        <v>1</v>
      </c>
      <c r="AB386" s="158">
        <f t="shared" si="271"/>
        <v>1</v>
      </c>
      <c r="AC386" s="158">
        <f t="shared" si="272"/>
        <v>1</v>
      </c>
    </row>
    <row r="387" spans="1:29" s="444" customFormat="1">
      <c r="A387" s="92">
        <v>8</v>
      </c>
      <c r="B387" s="143" t="s">
        <v>796</v>
      </c>
      <c r="C387" s="92">
        <v>1</v>
      </c>
      <c r="D387" s="92">
        <v>1</v>
      </c>
      <c r="E387" s="92">
        <v>1</v>
      </c>
      <c r="F387" s="92">
        <v>1</v>
      </c>
      <c r="G387" s="126">
        <v>0.21</v>
      </c>
      <c r="H387" s="126">
        <v>0.21</v>
      </c>
      <c r="I387" s="148">
        <v>0</v>
      </c>
      <c r="J387" s="148">
        <v>0</v>
      </c>
      <c r="K387" s="148">
        <v>7.5</v>
      </c>
      <c r="L387" s="148" t="s">
        <v>1129</v>
      </c>
      <c r="M387" s="148">
        <v>7.5</v>
      </c>
      <c r="N387" s="148" t="s">
        <v>1129</v>
      </c>
      <c r="O387" s="148">
        <v>7.5</v>
      </c>
      <c r="P387" s="148" t="s">
        <v>1129</v>
      </c>
      <c r="Q387" s="206">
        <v>30</v>
      </c>
      <c r="R387" s="156">
        <f t="shared" si="261"/>
        <v>0</v>
      </c>
      <c r="S387" s="157">
        <f t="shared" si="262"/>
        <v>47.25</v>
      </c>
      <c r="T387" s="157">
        <f t="shared" si="263"/>
        <v>47.25</v>
      </c>
      <c r="U387" s="157">
        <f t="shared" si="264"/>
        <v>47.25</v>
      </c>
      <c r="V387" s="156">
        <f t="shared" si="265"/>
        <v>0</v>
      </c>
      <c r="W387" s="157">
        <f t="shared" si="266"/>
        <v>47.25</v>
      </c>
      <c r="X387" s="157">
        <f t="shared" si="267"/>
        <v>47.25</v>
      </c>
      <c r="Y387" s="157">
        <f t="shared" si="268"/>
        <v>47.25</v>
      </c>
      <c r="Z387" s="158" t="e">
        <f t="shared" si="269"/>
        <v>#DIV/0!</v>
      </c>
      <c r="AA387" s="158">
        <f t="shared" si="270"/>
        <v>1</v>
      </c>
      <c r="AB387" s="158">
        <f t="shared" si="271"/>
        <v>1</v>
      </c>
      <c r="AC387" s="158">
        <f t="shared" si="272"/>
        <v>1</v>
      </c>
    </row>
    <row r="388" spans="1:29" s="444" customFormat="1">
      <c r="A388" s="92">
        <v>9</v>
      </c>
      <c r="B388" s="143" t="s">
        <v>797</v>
      </c>
      <c r="C388" s="92">
        <v>2</v>
      </c>
      <c r="D388" s="92">
        <v>2</v>
      </c>
      <c r="E388" s="92">
        <v>2</v>
      </c>
      <c r="F388" s="92">
        <v>2</v>
      </c>
      <c r="G388" s="126">
        <v>0.4</v>
      </c>
      <c r="H388" s="126">
        <v>0.4</v>
      </c>
      <c r="I388" s="144">
        <v>0</v>
      </c>
      <c r="J388" s="144">
        <v>0</v>
      </c>
      <c r="K388" s="144">
        <v>24</v>
      </c>
      <c r="L388" s="144" t="s">
        <v>996</v>
      </c>
      <c r="M388" s="144">
        <v>24</v>
      </c>
      <c r="N388" s="144" t="s">
        <v>996</v>
      </c>
      <c r="O388" s="144">
        <v>24</v>
      </c>
      <c r="P388" s="144" t="s">
        <v>996</v>
      </c>
      <c r="Q388" s="206">
        <v>30</v>
      </c>
      <c r="R388" s="156">
        <f t="shared" si="261"/>
        <v>0</v>
      </c>
      <c r="S388" s="157">
        <f t="shared" si="262"/>
        <v>576.00000000000011</v>
      </c>
      <c r="T388" s="157">
        <f t="shared" si="263"/>
        <v>576.00000000000011</v>
      </c>
      <c r="U388" s="157">
        <f t="shared" si="264"/>
        <v>576.00000000000011</v>
      </c>
      <c r="V388" s="156">
        <f t="shared" si="265"/>
        <v>0</v>
      </c>
      <c r="W388" s="157">
        <f t="shared" si="266"/>
        <v>576.00000000000011</v>
      </c>
      <c r="X388" s="157">
        <f t="shared" si="267"/>
        <v>576.00000000000011</v>
      </c>
      <c r="Y388" s="157">
        <f t="shared" si="268"/>
        <v>576.00000000000011</v>
      </c>
      <c r="Z388" s="158" t="e">
        <f t="shared" si="269"/>
        <v>#DIV/0!</v>
      </c>
      <c r="AA388" s="158">
        <f t="shared" si="270"/>
        <v>1</v>
      </c>
      <c r="AB388" s="158">
        <f t="shared" si="271"/>
        <v>1</v>
      </c>
      <c r="AC388" s="158">
        <f t="shared" si="272"/>
        <v>1</v>
      </c>
    </row>
    <row r="389" spans="1:29" s="444" customFormat="1">
      <c r="A389" s="92">
        <v>10</v>
      </c>
      <c r="B389" s="143" t="s">
        <v>798</v>
      </c>
      <c r="C389" s="92">
        <v>1</v>
      </c>
      <c r="D389" s="92">
        <v>1</v>
      </c>
      <c r="E389" s="92">
        <v>1</v>
      </c>
      <c r="F389" s="92">
        <v>1</v>
      </c>
      <c r="G389" s="126">
        <v>1.05</v>
      </c>
      <c r="H389" s="126">
        <v>1.05</v>
      </c>
      <c r="I389" s="144">
        <v>0</v>
      </c>
      <c r="J389" s="144">
        <v>0</v>
      </c>
      <c r="K389" s="144">
        <v>24</v>
      </c>
      <c r="L389" s="144" t="s">
        <v>996</v>
      </c>
      <c r="M389" s="144">
        <v>24</v>
      </c>
      <c r="N389" s="144" t="s">
        <v>996</v>
      </c>
      <c r="O389" s="144">
        <v>24</v>
      </c>
      <c r="P389" s="144" t="s">
        <v>996</v>
      </c>
      <c r="Q389" s="206">
        <v>30</v>
      </c>
      <c r="R389" s="156">
        <f t="shared" si="261"/>
        <v>0</v>
      </c>
      <c r="S389" s="157">
        <f t="shared" si="262"/>
        <v>756.00000000000011</v>
      </c>
      <c r="T389" s="157">
        <f t="shared" si="263"/>
        <v>756.00000000000011</v>
      </c>
      <c r="U389" s="157">
        <f t="shared" si="264"/>
        <v>756.00000000000011</v>
      </c>
      <c r="V389" s="156">
        <f t="shared" si="265"/>
        <v>0</v>
      </c>
      <c r="W389" s="157">
        <f t="shared" si="266"/>
        <v>756.00000000000011</v>
      </c>
      <c r="X389" s="157">
        <f t="shared" si="267"/>
        <v>756.00000000000011</v>
      </c>
      <c r="Y389" s="157">
        <f t="shared" si="268"/>
        <v>756.00000000000011</v>
      </c>
      <c r="Z389" s="158" t="e">
        <f t="shared" si="269"/>
        <v>#DIV/0!</v>
      </c>
      <c r="AA389" s="158">
        <f t="shared" si="270"/>
        <v>1</v>
      </c>
      <c r="AB389" s="158">
        <f t="shared" si="271"/>
        <v>1</v>
      </c>
      <c r="AC389" s="158">
        <f t="shared" si="272"/>
        <v>1</v>
      </c>
    </row>
    <row r="390" spans="1:29" s="444" customFormat="1">
      <c r="A390" s="92">
        <v>11</v>
      </c>
      <c r="B390" s="143" t="s">
        <v>799</v>
      </c>
      <c r="C390" s="130">
        <v>1</v>
      </c>
      <c r="D390" s="130">
        <v>1</v>
      </c>
      <c r="E390" s="130">
        <v>1</v>
      </c>
      <c r="F390" s="130">
        <v>1</v>
      </c>
      <c r="G390" s="148">
        <v>0.4</v>
      </c>
      <c r="H390" s="148">
        <v>0.4</v>
      </c>
      <c r="I390" s="144">
        <v>0</v>
      </c>
      <c r="J390" s="144">
        <v>0</v>
      </c>
      <c r="K390" s="144">
        <v>24</v>
      </c>
      <c r="L390" s="144" t="s">
        <v>996</v>
      </c>
      <c r="M390" s="144">
        <v>24</v>
      </c>
      <c r="N390" s="144" t="s">
        <v>996</v>
      </c>
      <c r="O390" s="144">
        <v>24</v>
      </c>
      <c r="P390" s="144" t="s">
        <v>996</v>
      </c>
      <c r="Q390" s="206">
        <v>30</v>
      </c>
      <c r="R390" s="156">
        <f t="shared" si="261"/>
        <v>0</v>
      </c>
      <c r="S390" s="157">
        <f t="shared" si="262"/>
        <v>288.00000000000006</v>
      </c>
      <c r="T390" s="157">
        <f t="shared" si="263"/>
        <v>288.00000000000006</v>
      </c>
      <c r="U390" s="157">
        <f t="shared" si="264"/>
        <v>288.00000000000006</v>
      </c>
      <c r="V390" s="156">
        <f t="shared" si="265"/>
        <v>0</v>
      </c>
      <c r="W390" s="157">
        <f t="shared" si="266"/>
        <v>288.00000000000006</v>
      </c>
      <c r="X390" s="157">
        <f t="shared" si="267"/>
        <v>288.00000000000006</v>
      </c>
      <c r="Y390" s="157">
        <f t="shared" si="268"/>
        <v>288.00000000000006</v>
      </c>
      <c r="Z390" s="159" t="e">
        <f t="shared" si="269"/>
        <v>#DIV/0!</v>
      </c>
      <c r="AA390" s="159">
        <f t="shared" si="270"/>
        <v>1</v>
      </c>
      <c r="AB390" s="159">
        <f t="shared" si="271"/>
        <v>1</v>
      </c>
      <c r="AC390" s="159">
        <f t="shared" si="272"/>
        <v>1</v>
      </c>
    </row>
    <row r="391" spans="1:29" s="444" customFormat="1">
      <c r="A391" s="276"/>
      <c r="B391" s="433" t="s">
        <v>1132</v>
      </c>
      <c r="C391" s="434"/>
      <c r="D391" s="435"/>
      <c r="E391" s="435"/>
      <c r="F391" s="435"/>
      <c r="G391" s="436"/>
      <c r="H391" s="436"/>
      <c r="I391" s="437"/>
      <c r="J391" s="438"/>
      <c r="K391" s="439"/>
      <c r="L391" s="439"/>
      <c r="M391" s="439"/>
      <c r="N391" s="438"/>
      <c r="O391" s="439"/>
      <c r="P391" s="438"/>
      <c r="Q391" s="20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</row>
    <row r="392" spans="1:29" s="444" customFormat="1">
      <c r="A392" s="92">
        <v>1</v>
      </c>
      <c r="B392" s="143" t="s">
        <v>800</v>
      </c>
      <c r="C392" s="92">
        <v>1</v>
      </c>
      <c r="D392" s="92">
        <v>1</v>
      </c>
      <c r="E392" s="92">
        <v>1</v>
      </c>
      <c r="F392" s="92">
        <v>1</v>
      </c>
      <c r="G392" s="126">
        <v>1.05</v>
      </c>
      <c r="H392" s="126">
        <v>1.05</v>
      </c>
      <c r="I392" s="144"/>
      <c r="J392" s="144"/>
      <c r="K392" s="144">
        <v>24</v>
      </c>
      <c r="L392" s="144" t="s">
        <v>996</v>
      </c>
      <c r="M392" s="144">
        <v>24</v>
      </c>
      <c r="N392" s="144" t="s">
        <v>996</v>
      </c>
      <c r="O392" s="144">
        <v>24</v>
      </c>
      <c r="P392" s="144" t="s">
        <v>996</v>
      </c>
      <c r="Q392" s="206">
        <v>30</v>
      </c>
      <c r="R392" s="156">
        <f t="shared" ref="R392:R401" si="273">C392*G392*I392*Q392</f>
        <v>0</v>
      </c>
      <c r="S392" s="157">
        <f t="shared" ref="S392:S401" si="274">D392*G392*K392*Q392</f>
        <v>756.00000000000011</v>
      </c>
      <c r="T392" s="157">
        <f t="shared" ref="T392:T401" si="275">E392*G392*M392*Q392</f>
        <v>756.00000000000011</v>
      </c>
      <c r="U392" s="157">
        <f t="shared" ref="U392:U401" si="276">F392*G392*O392*Q392</f>
        <v>756.00000000000011</v>
      </c>
      <c r="V392" s="156">
        <f t="shared" ref="V392:V401" si="277">C392*H392*I392*Q392</f>
        <v>0</v>
      </c>
      <c r="W392" s="157">
        <f t="shared" ref="W392:W401" si="278">D392*H392*K392*Q392</f>
        <v>756.00000000000011</v>
      </c>
      <c r="X392" s="157">
        <f t="shared" ref="X392:X401" si="279">E392*H392*M392*Q392</f>
        <v>756.00000000000011</v>
      </c>
      <c r="Y392" s="157">
        <f t="shared" ref="Y392:Y401" si="280">F392*H392*O392*Q392</f>
        <v>756.00000000000011</v>
      </c>
      <c r="Z392" s="158" t="e">
        <f t="shared" ref="Z392:Z401" si="281">V392/R392</f>
        <v>#DIV/0!</v>
      </c>
      <c r="AA392" s="158">
        <f t="shared" ref="AA392:AA401" si="282">W392/S392</f>
        <v>1</v>
      </c>
      <c r="AB392" s="158">
        <f t="shared" ref="AB392:AB401" si="283">X392/T392</f>
        <v>1</v>
      </c>
      <c r="AC392" s="158">
        <f t="shared" ref="AC392:AC401" si="284">Y392/U392</f>
        <v>1</v>
      </c>
    </row>
    <row r="393" spans="1:29" s="444" customFormat="1">
      <c r="A393" s="92">
        <v>2</v>
      </c>
      <c r="B393" s="143" t="s">
        <v>801</v>
      </c>
      <c r="C393" s="92">
        <v>1</v>
      </c>
      <c r="D393" s="92">
        <v>1</v>
      </c>
      <c r="E393" s="92">
        <v>1</v>
      </c>
      <c r="F393" s="92">
        <v>1</v>
      </c>
      <c r="G393" s="126">
        <v>0.21</v>
      </c>
      <c r="H393" s="126">
        <v>0.21</v>
      </c>
      <c r="I393" s="144"/>
      <c r="J393" s="144"/>
      <c r="K393" s="144">
        <v>24</v>
      </c>
      <c r="L393" s="144" t="s">
        <v>996</v>
      </c>
      <c r="M393" s="144">
        <v>24</v>
      </c>
      <c r="N393" s="144" t="s">
        <v>996</v>
      </c>
      <c r="O393" s="144">
        <v>24</v>
      </c>
      <c r="P393" s="144" t="s">
        <v>996</v>
      </c>
      <c r="Q393" s="206">
        <v>30</v>
      </c>
      <c r="R393" s="156">
        <f t="shared" si="273"/>
        <v>0</v>
      </c>
      <c r="S393" s="157">
        <f t="shared" si="274"/>
        <v>151.19999999999999</v>
      </c>
      <c r="T393" s="157">
        <f t="shared" si="275"/>
        <v>151.19999999999999</v>
      </c>
      <c r="U393" s="157">
        <f t="shared" si="276"/>
        <v>151.19999999999999</v>
      </c>
      <c r="V393" s="156">
        <f t="shared" si="277"/>
        <v>0</v>
      </c>
      <c r="W393" s="157">
        <f t="shared" si="278"/>
        <v>151.19999999999999</v>
      </c>
      <c r="X393" s="157">
        <f t="shared" si="279"/>
        <v>151.19999999999999</v>
      </c>
      <c r="Y393" s="157">
        <f t="shared" si="280"/>
        <v>151.19999999999999</v>
      </c>
      <c r="Z393" s="158" t="e">
        <f t="shared" si="281"/>
        <v>#DIV/0!</v>
      </c>
      <c r="AA393" s="158">
        <f t="shared" si="282"/>
        <v>1</v>
      </c>
      <c r="AB393" s="158">
        <f t="shared" si="283"/>
        <v>1</v>
      </c>
      <c r="AC393" s="158">
        <f t="shared" si="284"/>
        <v>1</v>
      </c>
    </row>
    <row r="394" spans="1:29" s="444" customFormat="1">
      <c r="A394" s="92">
        <v>3</v>
      </c>
      <c r="B394" s="143" t="s">
        <v>802</v>
      </c>
      <c r="C394" s="92">
        <v>1</v>
      </c>
      <c r="D394" s="92">
        <v>1</v>
      </c>
      <c r="E394" s="92">
        <v>1</v>
      </c>
      <c r="F394" s="92">
        <v>1</v>
      </c>
      <c r="G394" s="126">
        <v>15</v>
      </c>
      <c r="H394" s="126">
        <v>15</v>
      </c>
      <c r="I394" s="148"/>
      <c r="J394" s="148"/>
      <c r="K394" s="148">
        <v>7.5</v>
      </c>
      <c r="L394" s="148" t="s">
        <v>1129</v>
      </c>
      <c r="M394" s="148">
        <v>7.5</v>
      </c>
      <c r="N394" s="148" t="s">
        <v>1129</v>
      </c>
      <c r="O394" s="148">
        <v>7.5</v>
      </c>
      <c r="P394" s="148" t="s">
        <v>1129</v>
      </c>
      <c r="Q394" s="206">
        <v>30</v>
      </c>
      <c r="R394" s="156">
        <f t="shared" si="273"/>
        <v>0</v>
      </c>
      <c r="S394" s="157">
        <f t="shared" si="274"/>
        <v>3375</v>
      </c>
      <c r="T394" s="157">
        <f t="shared" si="275"/>
        <v>3375</v>
      </c>
      <c r="U394" s="157">
        <f t="shared" si="276"/>
        <v>3375</v>
      </c>
      <c r="V394" s="156">
        <f t="shared" si="277"/>
        <v>0</v>
      </c>
      <c r="W394" s="157">
        <f t="shared" si="278"/>
        <v>3375</v>
      </c>
      <c r="X394" s="157">
        <f t="shared" si="279"/>
        <v>3375</v>
      </c>
      <c r="Y394" s="157">
        <f t="shared" si="280"/>
        <v>3375</v>
      </c>
      <c r="Z394" s="158" t="e">
        <f t="shared" si="281"/>
        <v>#DIV/0!</v>
      </c>
      <c r="AA394" s="158">
        <f t="shared" si="282"/>
        <v>1</v>
      </c>
      <c r="AB394" s="158">
        <f t="shared" si="283"/>
        <v>1</v>
      </c>
      <c r="AC394" s="158">
        <f t="shared" si="284"/>
        <v>1</v>
      </c>
    </row>
    <row r="395" spans="1:29" s="444" customFormat="1">
      <c r="A395" s="92">
        <v>4</v>
      </c>
      <c r="B395" s="143" t="s">
        <v>803</v>
      </c>
      <c r="C395" s="92">
        <v>1</v>
      </c>
      <c r="D395" s="92">
        <v>1</v>
      </c>
      <c r="E395" s="92">
        <v>1</v>
      </c>
      <c r="F395" s="92">
        <v>1</v>
      </c>
      <c r="G395" s="126">
        <v>6</v>
      </c>
      <c r="H395" s="126">
        <v>6</v>
      </c>
      <c r="I395" s="148"/>
      <c r="J395" s="148"/>
      <c r="K395" s="148">
        <v>7.5</v>
      </c>
      <c r="L395" s="148" t="s">
        <v>1129</v>
      </c>
      <c r="M395" s="148">
        <v>7.5</v>
      </c>
      <c r="N395" s="148" t="s">
        <v>1129</v>
      </c>
      <c r="O395" s="148">
        <v>7.5</v>
      </c>
      <c r="P395" s="148" t="s">
        <v>1129</v>
      </c>
      <c r="Q395" s="206">
        <v>30</v>
      </c>
      <c r="R395" s="156">
        <f t="shared" si="273"/>
        <v>0</v>
      </c>
      <c r="S395" s="157">
        <f t="shared" si="274"/>
        <v>1350</v>
      </c>
      <c r="T395" s="157">
        <f t="shared" si="275"/>
        <v>1350</v>
      </c>
      <c r="U395" s="157">
        <f t="shared" si="276"/>
        <v>1350</v>
      </c>
      <c r="V395" s="156">
        <f t="shared" si="277"/>
        <v>0</v>
      </c>
      <c r="W395" s="157">
        <f t="shared" si="278"/>
        <v>1350</v>
      </c>
      <c r="X395" s="157">
        <f t="shared" si="279"/>
        <v>1350</v>
      </c>
      <c r="Y395" s="157">
        <f t="shared" si="280"/>
        <v>1350</v>
      </c>
      <c r="Z395" s="158" t="e">
        <f t="shared" si="281"/>
        <v>#DIV/0!</v>
      </c>
      <c r="AA395" s="158">
        <f t="shared" si="282"/>
        <v>1</v>
      </c>
      <c r="AB395" s="158">
        <f t="shared" si="283"/>
        <v>1</v>
      </c>
      <c r="AC395" s="158">
        <f t="shared" si="284"/>
        <v>1</v>
      </c>
    </row>
    <row r="396" spans="1:29" s="444" customFormat="1">
      <c r="A396" s="92">
        <v>5</v>
      </c>
      <c r="B396" s="143" t="s">
        <v>804</v>
      </c>
      <c r="C396" s="92">
        <v>1</v>
      </c>
      <c r="D396" s="92">
        <v>1</v>
      </c>
      <c r="E396" s="92">
        <v>1</v>
      </c>
      <c r="F396" s="92">
        <v>1</v>
      </c>
      <c r="G396" s="126">
        <v>3</v>
      </c>
      <c r="H396" s="126">
        <v>3</v>
      </c>
      <c r="I396" s="144"/>
      <c r="J396" s="144"/>
      <c r="K396" s="144">
        <v>24</v>
      </c>
      <c r="L396" s="144" t="s">
        <v>996</v>
      </c>
      <c r="M396" s="144">
        <v>24</v>
      </c>
      <c r="N396" s="144" t="s">
        <v>996</v>
      </c>
      <c r="O396" s="144">
        <v>24</v>
      </c>
      <c r="P396" s="144" t="s">
        <v>996</v>
      </c>
      <c r="Q396" s="206">
        <v>30</v>
      </c>
      <c r="R396" s="156">
        <f t="shared" si="273"/>
        <v>0</v>
      </c>
      <c r="S396" s="157">
        <f t="shared" si="274"/>
        <v>2160</v>
      </c>
      <c r="T396" s="157">
        <f t="shared" si="275"/>
        <v>2160</v>
      </c>
      <c r="U396" s="157">
        <f t="shared" si="276"/>
        <v>2160</v>
      </c>
      <c r="V396" s="156">
        <f t="shared" si="277"/>
        <v>0</v>
      </c>
      <c r="W396" s="157">
        <f t="shared" si="278"/>
        <v>2160</v>
      </c>
      <c r="X396" s="157">
        <f t="shared" si="279"/>
        <v>2160</v>
      </c>
      <c r="Y396" s="157">
        <f t="shared" si="280"/>
        <v>2160</v>
      </c>
      <c r="Z396" s="158" t="e">
        <f t="shared" si="281"/>
        <v>#DIV/0!</v>
      </c>
      <c r="AA396" s="158">
        <f t="shared" si="282"/>
        <v>1</v>
      </c>
      <c r="AB396" s="158">
        <f t="shared" si="283"/>
        <v>1</v>
      </c>
      <c r="AC396" s="158">
        <f t="shared" si="284"/>
        <v>1</v>
      </c>
    </row>
    <row r="397" spans="1:29" s="444" customFormat="1" ht="18" customHeight="1">
      <c r="A397" s="92">
        <v>6</v>
      </c>
      <c r="B397" s="143" t="s">
        <v>805</v>
      </c>
      <c r="C397" s="92">
        <v>1</v>
      </c>
      <c r="D397" s="92">
        <v>1</v>
      </c>
      <c r="E397" s="92">
        <v>1</v>
      </c>
      <c r="F397" s="92">
        <v>1</v>
      </c>
      <c r="G397" s="126">
        <v>1.6</v>
      </c>
      <c r="H397" s="126">
        <v>1.6</v>
      </c>
      <c r="I397" s="148"/>
      <c r="J397" s="148"/>
      <c r="K397" s="148">
        <v>7.5</v>
      </c>
      <c r="L397" s="148" t="s">
        <v>1129</v>
      </c>
      <c r="M397" s="148">
        <v>7.5</v>
      </c>
      <c r="N397" s="148" t="s">
        <v>1129</v>
      </c>
      <c r="O397" s="148">
        <v>7.5</v>
      </c>
      <c r="P397" s="148" t="s">
        <v>1129</v>
      </c>
      <c r="Q397" s="206">
        <v>30</v>
      </c>
      <c r="R397" s="156">
        <f t="shared" si="273"/>
        <v>0</v>
      </c>
      <c r="S397" s="157">
        <f t="shared" si="274"/>
        <v>360</v>
      </c>
      <c r="T397" s="157">
        <f t="shared" si="275"/>
        <v>360</v>
      </c>
      <c r="U397" s="157">
        <f t="shared" si="276"/>
        <v>360</v>
      </c>
      <c r="V397" s="156">
        <f t="shared" si="277"/>
        <v>0</v>
      </c>
      <c r="W397" s="157">
        <f t="shared" si="278"/>
        <v>360</v>
      </c>
      <c r="X397" s="157">
        <f t="shared" si="279"/>
        <v>360</v>
      </c>
      <c r="Y397" s="157">
        <f t="shared" si="280"/>
        <v>360</v>
      </c>
      <c r="Z397" s="158" t="e">
        <f t="shared" si="281"/>
        <v>#DIV/0!</v>
      </c>
      <c r="AA397" s="158">
        <f t="shared" si="282"/>
        <v>1</v>
      </c>
      <c r="AB397" s="158">
        <f t="shared" si="283"/>
        <v>1</v>
      </c>
      <c r="AC397" s="158">
        <f t="shared" si="284"/>
        <v>1</v>
      </c>
    </row>
    <row r="398" spans="1:29" s="444" customFormat="1" ht="18.600000000000001" customHeight="1">
      <c r="A398" s="92">
        <v>7</v>
      </c>
      <c r="B398" s="143" t="s">
        <v>806</v>
      </c>
      <c r="C398" s="92">
        <v>1</v>
      </c>
      <c r="D398" s="92">
        <v>1</v>
      </c>
      <c r="E398" s="92">
        <v>1</v>
      </c>
      <c r="F398" s="92">
        <v>1</v>
      </c>
      <c r="G398" s="126">
        <v>0.4</v>
      </c>
      <c r="H398" s="126">
        <v>0.4</v>
      </c>
      <c r="I398" s="148"/>
      <c r="J398" s="148"/>
      <c r="K398" s="148">
        <v>7.5</v>
      </c>
      <c r="L398" s="148" t="s">
        <v>1129</v>
      </c>
      <c r="M398" s="148">
        <v>7.5</v>
      </c>
      <c r="N398" s="148" t="s">
        <v>1129</v>
      </c>
      <c r="O398" s="148">
        <v>7.5</v>
      </c>
      <c r="P398" s="148" t="s">
        <v>1129</v>
      </c>
      <c r="Q398" s="206">
        <v>30</v>
      </c>
      <c r="R398" s="156">
        <f t="shared" si="273"/>
        <v>0</v>
      </c>
      <c r="S398" s="157">
        <f t="shared" si="274"/>
        <v>90</v>
      </c>
      <c r="T398" s="157">
        <f t="shared" si="275"/>
        <v>90</v>
      </c>
      <c r="U398" s="157">
        <f t="shared" si="276"/>
        <v>90</v>
      </c>
      <c r="V398" s="156">
        <f t="shared" si="277"/>
        <v>0</v>
      </c>
      <c r="W398" s="157">
        <f t="shared" si="278"/>
        <v>90</v>
      </c>
      <c r="X398" s="157">
        <f t="shared" si="279"/>
        <v>90</v>
      </c>
      <c r="Y398" s="157">
        <f t="shared" si="280"/>
        <v>90</v>
      </c>
      <c r="Z398" s="158" t="e">
        <f t="shared" si="281"/>
        <v>#DIV/0!</v>
      </c>
      <c r="AA398" s="158">
        <f t="shared" si="282"/>
        <v>1</v>
      </c>
      <c r="AB398" s="158">
        <f t="shared" si="283"/>
        <v>1</v>
      </c>
      <c r="AC398" s="158">
        <f t="shared" si="284"/>
        <v>1</v>
      </c>
    </row>
    <row r="399" spans="1:29" s="444" customFormat="1">
      <c r="A399" s="92">
        <v>8</v>
      </c>
      <c r="B399" s="143" t="s">
        <v>807</v>
      </c>
      <c r="C399" s="92">
        <v>1</v>
      </c>
      <c r="D399" s="92">
        <v>1</v>
      </c>
      <c r="E399" s="92">
        <v>1</v>
      </c>
      <c r="F399" s="92">
        <v>1</v>
      </c>
      <c r="G399" s="126">
        <v>0.12</v>
      </c>
      <c r="H399" s="126">
        <v>0.12</v>
      </c>
      <c r="I399" s="144"/>
      <c r="J399" s="148"/>
      <c r="K399" s="148">
        <v>7.5</v>
      </c>
      <c r="L399" s="148" t="s">
        <v>1129</v>
      </c>
      <c r="M399" s="148">
        <v>7.5</v>
      </c>
      <c r="N399" s="148" t="s">
        <v>1129</v>
      </c>
      <c r="O399" s="148">
        <v>7.5</v>
      </c>
      <c r="P399" s="148" t="s">
        <v>1129</v>
      </c>
      <c r="Q399" s="206">
        <v>30</v>
      </c>
      <c r="R399" s="156">
        <f t="shared" si="273"/>
        <v>0</v>
      </c>
      <c r="S399" s="157">
        <f t="shared" si="274"/>
        <v>26.999999999999996</v>
      </c>
      <c r="T399" s="157">
        <f t="shared" si="275"/>
        <v>26.999999999999996</v>
      </c>
      <c r="U399" s="157">
        <f t="shared" si="276"/>
        <v>26.999999999999996</v>
      </c>
      <c r="V399" s="156">
        <f t="shared" si="277"/>
        <v>0</v>
      </c>
      <c r="W399" s="157">
        <f t="shared" si="278"/>
        <v>26.999999999999996</v>
      </c>
      <c r="X399" s="157">
        <f t="shared" si="279"/>
        <v>26.999999999999996</v>
      </c>
      <c r="Y399" s="157">
        <f t="shared" si="280"/>
        <v>26.999999999999996</v>
      </c>
      <c r="Z399" s="158" t="e">
        <f t="shared" si="281"/>
        <v>#DIV/0!</v>
      </c>
      <c r="AA399" s="158">
        <f t="shared" si="282"/>
        <v>1</v>
      </c>
      <c r="AB399" s="158">
        <f t="shared" si="283"/>
        <v>1</v>
      </c>
      <c r="AC399" s="158">
        <f t="shared" si="284"/>
        <v>1</v>
      </c>
    </row>
    <row r="400" spans="1:29" s="444" customFormat="1">
      <c r="A400" s="92">
        <v>9</v>
      </c>
      <c r="B400" s="143" t="s">
        <v>808</v>
      </c>
      <c r="C400" s="92">
        <v>1</v>
      </c>
      <c r="D400" s="92">
        <v>1</v>
      </c>
      <c r="E400" s="92">
        <v>1</v>
      </c>
      <c r="F400" s="92">
        <v>1</v>
      </c>
      <c r="G400" s="126">
        <v>0.12</v>
      </c>
      <c r="H400" s="126">
        <v>0.12</v>
      </c>
      <c r="I400" s="144"/>
      <c r="J400" s="148"/>
      <c r="K400" s="148">
        <v>7.5</v>
      </c>
      <c r="L400" s="148" t="s">
        <v>1129</v>
      </c>
      <c r="M400" s="148">
        <v>7.5</v>
      </c>
      <c r="N400" s="148" t="s">
        <v>1129</v>
      </c>
      <c r="O400" s="148">
        <v>7.5</v>
      </c>
      <c r="P400" s="148" t="s">
        <v>1129</v>
      </c>
      <c r="Q400" s="206">
        <v>30</v>
      </c>
      <c r="R400" s="156">
        <f t="shared" si="273"/>
        <v>0</v>
      </c>
      <c r="S400" s="157">
        <f t="shared" si="274"/>
        <v>26.999999999999996</v>
      </c>
      <c r="T400" s="157">
        <f t="shared" si="275"/>
        <v>26.999999999999996</v>
      </c>
      <c r="U400" s="157">
        <f t="shared" si="276"/>
        <v>26.999999999999996</v>
      </c>
      <c r="V400" s="156">
        <f t="shared" si="277"/>
        <v>0</v>
      </c>
      <c r="W400" s="157">
        <f t="shared" si="278"/>
        <v>26.999999999999996</v>
      </c>
      <c r="X400" s="157">
        <f t="shared" si="279"/>
        <v>26.999999999999996</v>
      </c>
      <c r="Y400" s="157">
        <f t="shared" si="280"/>
        <v>26.999999999999996</v>
      </c>
      <c r="Z400" s="158" t="e">
        <f t="shared" si="281"/>
        <v>#DIV/0!</v>
      </c>
      <c r="AA400" s="158">
        <f t="shared" si="282"/>
        <v>1</v>
      </c>
      <c r="AB400" s="158">
        <f t="shared" si="283"/>
        <v>1</v>
      </c>
      <c r="AC400" s="158">
        <f t="shared" si="284"/>
        <v>1</v>
      </c>
    </row>
    <row r="401" spans="1:37" s="444" customFormat="1">
      <c r="A401" s="92">
        <v>10</v>
      </c>
      <c r="B401" s="143" t="s">
        <v>809</v>
      </c>
      <c r="C401" s="130">
        <v>1</v>
      </c>
      <c r="D401" s="130">
        <v>1</v>
      </c>
      <c r="E401" s="130">
        <v>1</v>
      </c>
      <c r="F401" s="130">
        <v>1</v>
      </c>
      <c r="G401" s="148">
        <v>0.3</v>
      </c>
      <c r="H401" s="148">
        <v>0.3</v>
      </c>
      <c r="I401" s="144"/>
      <c r="J401" s="144"/>
      <c r="K401" s="144">
        <v>24</v>
      </c>
      <c r="L401" s="144" t="s">
        <v>996</v>
      </c>
      <c r="M401" s="144">
        <v>24</v>
      </c>
      <c r="N401" s="144" t="s">
        <v>996</v>
      </c>
      <c r="O401" s="144">
        <v>24</v>
      </c>
      <c r="P401" s="144" t="s">
        <v>996</v>
      </c>
      <c r="Q401" s="206">
        <v>30</v>
      </c>
      <c r="R401" s="156">
        <f t="shared" si="273"/>
        <v>0</v>
      </c>
      <c r="S401" s="157">
        <f t="shared" si="274"/>
        <v>215.99999999999997</v>
      </c>
      <c r="T401" s="157">
        <f t="shared" si="275"/>
        <v>215.99999999999997</v>
      </c>
      <c r="U401" s="157">
        <f t="shared" si="276"/>
        <v>215.99999999999997</v>
      </c>
      <c r="V401" s="156">
        <f t="shared" si="277"/>
        <v>0</v>
      </c>
      <c r="W401" s="157">
        <f t="shared" si="278"/>
        <v>215.99999999999997</v>
      </c>
      <c r="X401" s="157">
        <f t="shared" si="279"/>
        <v>215.99999999999997</v>
      </c>
      <c r="Y401" s="157">
        <f t="shared" si="280"/>
        <v>215.99999999999997</v>
      </c>
      <c r="Z401" s="159" t="e">
        <f t="shared" si="281"/>
        <v>#DIV/0!</v>
      </c>
      <c r="AA401" s="159">
        <f t="shared" si="282"/>
        <v>1</v>
      </c>
      <c r="AB401" s="159">
        <f t="shared" si="283"/>
        <v>1</v>
      </c>
      <c r="AC401" s="159">
        <f t="shared" si="284"/>
        <v>1</v>
      </c>
    </row>
    <row r="402" spans="1:37" s="96" customFormat="1" ht="15.75">
      <c r="A402" s="138">
        <v>1</v>
      </c>
      <c r="B402" s="138" t="s">
        <v>1740</v>
      </c>
      <c r="C402" s="139"/>
      <c r="D402" s="139"/>
      <c r="E402" s="139"/>
      <c r="F402" s="139"/>
      <c r="G402" s="138">
        <v>5</v>
      </c>
      <c r="H402" s="138"/>
      <c r="I402" s="140"/>
      <c r="J402" s="141"/>
      <c r="K402" s="141"/>
      <c r="L402" s="141"/>
      <c r="M402" s="141"/>
      <c r="N402" s="141"/>
      <c r="O402" s="141"/>
      <c r="P402" s="141"/>
      <c r="Q402" s="142">
        <v>8</v>
      </c>
      <c r="R402" s="545"/>
      <c r="S402" s="139"/>
      <c r="T402" s="139"/>
      <c r="U402" s="139"/>
      <c r="V402" s="545"/>
      <c r="W402" s="139"/>
      <c r="X402" s="139"/>
      <c r="Y402" s="139"/>
      <c r="Z402" s="545"/>
      <c r="AA402" s="139"/>
      <c r="AB402" s="139"/>
      <c r="AC402" s="139"/>
    </row>
    <row r="403" spans="1:37">
      <c r="A403" s="14">
        <v>11</v>
      </c>
      <c r="B403" s="126" t="s">
        <v>1732</v>
      </c>
      <c r="C403" s="92">
        <v>1</v>
      </c>
      <c r="D403" s="92">
        <v>1</v>
      </c>
      <c r="E403" s="92">
        <v>1</v>
      </c>
      <c r="F403" s="92">
        <v>1</v>
      </c>
      <c r="G403" s="126">
        <v>12</v>
      </c>
      <c r="H403" s="126">
        <v>12</v>
      </c>
      <c r="I403" s="144"/>
      <c r="J403" s="144"/>
      <c r="K403" s="144">
        <v>8</v>
      </c>
      <c r="L403" s="579" t="s">
        <v>1120</v>
      </c>
      <c r="M403" s="144">
        <v>8</v>
      </c>
      <c r="N403" s="579" t="s">
        <v>1120</v>
      </c>
      <c r="O403" s="579">
        <v>8</v>
      </c>
      <c r="P403" s="579" t="s">
        <v>1120</v>
      </c>
      <c r="Q403" s="436">
        <v>30</v>
      </c>
    </row>
    <row r="404" spans="1:37">
      <c r="A404" s="14">
        <v>12</v>
      </c>
      <c r="B404" s="126" t="s">
        <v>1733</v>
      </c>
      <c r="C404" s="92">
        <v>2</v>
      </c>
      <c r="D404" s="92">
        <v>2</v>
      </c>
      <c r="E404" s="92">
        <v>2</v>
      </c>
      <c r="F404" s="92">
        <v>2</v>
      </c>
      <c r="G404" s="126">
        <v>6</v>
      </c>
      <c r="H404" s="126">
        <v>6</v>
      </c>
      <c r="I404" s="144"/>
      <c r="J404" s="144"/>
      <c r="K404" s="144">
        <v>8</v>
      </c>
      <c r="L404" s="579" t="s">
        <v>1120</v>
      </c>
      <c r="M404" s="144">
        <v>8</v>
      </c>
      <c r="N404" s="579" t="s">
        <v>1120</v>
      </c>
      <c r="O404" s="579">
        <v>8</v>
      </c>
      <c r="P404" s="579" t="s">
        <v>1120</v>
      </c>
      <c r="Q404" s="436">
        <v>30</v>
      </c>
    </row>
    <row r="405" spans="1:37" s="444" customFormat="1" ht="15.6" customHeight="1">
      <c r="A405" s="14">
        <v>13</v>
      </c>
      <c r="B405" s="567" t="s">
        <v>1734</v>
      </c>
      <c r="C405" s="92">
        <v>4</v>
      </c>
      <c r="D405" s="92">
        <v>4</v>
      </c>
      <c r="E405" s="92">
        <v>4</v>
      </c>
      <c r="F405" s="92">
        <v>4</v>
      </c>
      <c r="G405" s="126">
        <v>12</v>
      </c>
      <c r="H405" s="126">
        <v>12</v>
      </c>
      <c r="I405" s="148"/>
      <c r="J405" s="148"/>
      <c r="K405" s="144">
        <v>8</v>
      </c>
      <c r="L405" s="579" t="s">
        <v>1120</v>
      </c>
      <c r="M405" s="144">
        <v>8</v>
      </c>
      <c r="N405" s="579" t="s">
        <v>1120</v>
      </c>
      <c r="O405" s="579">
        <v>8</v>
      </c>
      <c r="P405" s="579" t="s">
        <v>1120</v>
      </c>
      <c r="Q405" s="436">
        <v>30</v>
      </c>
      <c r="R405" s="544"/>
      <c r="S405" s="547"/>
      <c r="T405" s="547"/>
      <c r="U405" s="547"/>
      <c r="V405" s="546"/>
      <c r="W405" s="547"/>
      <c r="X405" s="547"/>
      <c r="Y405" s="547"/>
      <c r="Z405" s="548"/>
      <c r="AA405" s="548"/>
      <c r="AB405" s="548"/>
      <c r="AC405" s="548"/>
    </row>
    <row r="406" spans="1:37" s="444" customFormat="1" ht="15.6" customHeight="1">
      <c r="A406" s="14">
        <v>14</v>
      </c>
      <c r="B406" s="567" t="s">
        <v>1735</v>
      </c>
      <c r="C406" s="92">
        <v>2</v>
      </c>
      <c r="D406" s="92">
        <v>2</v>
      </c>
      <c r="E406" s="92">
        <v>2</v>
      </c>
      <c r="F406" s="92">
        <v>2</v>
      </c>
      <c r="G406" s="126">
        <v>3.8</v>
      </c>
      <c r="H406" s="126">
        <v>3.8</v>
      </c>
      <c r="I406" s="148"/>
      <c r="J406" s="148"/>
      <c r="K406" s="144">
        <v>8</v>
      </c>
      <c r="L406" s="579" t="s">
        <v>1120</v>
      </c>
      <c r="M406" s="144">
        <v>8</v>
      </c>
      <c r="N406" s="579" t="s">
        <v>1120</v>
      </c>
      <c r="O406" s="579">
        <v>8</v>
      </c>
      <c r="P406" s="579" t="s">
        <v>1120</v>
      </c>
      <c r="Q406" s="436">
        <v>30</v>
      </c>
      <c r="R406" s="544"/>
      <c r="S406" s="547"/>
      <c r="T406" s="547"/>
      <c r="U406" s="547"/>
      <c r="V406" s="546"/>
      <c r="W406" s="547"/>
      <c r="X406" s="547"/>
      <c r="Y406" s="547"/>
      <c r="Z406" s="548"/>
      <c r="AA406" s="548"/>
      <c r="AB406" s="548"/>
      <c r="AC406" s="548"/>
    </row>
    <row r="407" spans="1:37" s="444" customFormat="1" ht="15.6" customHeight="1">
      <c r="A407" s="14">
        <v>15</v>
      </c>
      <c r="B407" s="567" t="s">
        <v>1736</v>
      </c>
      <c r="C407" s="92">
        <v>1</v>
      </c>
      <c r="D407" s="92">
        <v>1</v>
      </c>
      <c r="E407" s="92">
        <v>1</v>
      </c>
      <c r="F407" s="92">
        <v>1</v>
      </c>
      <c r="G407" s="126">
        <v>6</v>
      </c>
      <c r="H407" s="126">
        <v>6</v>
      </c>
      <c r="I407" s="148"/>
      <c r="J407" s="148"/>
      <c r="K407" s="144">
        <v>8</v>
      </c>
      <c r="L407" s="579" t="s">
        <v>1120</v>
      </c>
      <c r="M407" s="144">
        <v>8</v>
      </c>
      <c r="N407" s="579" t="s">
        <v>1120</v>
      </c>
      <c r="O407" s="579">
        <v>8</v>
      </c>
      <c r="P407" s="579" t="s">
        <v>1120</v>
      </c>
      <c r="Q407" s="436">
        <v>30</v>
      </c>
      <c r="R407" s="544"/>
      <c r="S407" s="547"/>
      <c r="T407" s="547"/>
      <c r="U407" s="547"/>
      <c r="V407" s="546"/>
      <c r="W407" s="547"/>
      <c r="X407" s="547"/>
      <c r="Y407" s="547"/>
      <c r="Z407" s="548"/>
      <c r="AA407" s="548"/>
      <c r="AB407" s="548"/>
      <c r="AC407" s="548"/>
    </row>
    <row r="408" spans="1:37" s="444" customFormat="1" ht="15.6" customHeight="1">
      <c r="A408" s="14">
        <v>16</v>
      </c>
      <c r="B408" s="567" t="s">
        <v>1737</v>
      </c>
      <c r="C408" s="152">
        <v>1</v>
      </c>
      <c r="D408" s="92">
        <v>1</v>
      </c>
      <c r="E408" s="92">
        <v>1</v>
      </c>
      <c r="F408" s="92">
        <v>1</v>
      </c>
      <c r="G408" s="126">
        <v>1.2</v>
      </c>
      <c r="H408" s="126">
        <v>1.2</v>
      </c>
      <c r="I408" s="148"/>
      <c r="J408" s="148"/>
      <c r="K408" s="144">
        <v>8</v>
      </c>
      <c r="L408" s="579" t="s">
        <v>1120</v>
      </c>
      <c r="M408" s="144">
        <v>8</v>
      </c>
      <c r="N408" s="579" t="s">
        <v>1120</v>
      </c>
      <c r="O408" s="579">
        <v>8</v>
      </c>
      <c r="P408" s="579" t="s">
        <v>1120</v>
      </c>
      <c r="Q408" s="436">
        <v>30</v>
      </c>
      <c r="R408" s="544"/>
      <c r="S408" s="547"/>
      <c r="T408" s="547"/>
      <c r="U408" s="547"/>
      <c r="V408" s="546"/>
      <c r="W408" s="547"/>
      <c r="X408" s="547"/>
      <c r="Y408" s="547"/>
      <c r="Z408" s="548"/>
      <c r="AA408" s="548"/>
      <c r="AB408" s="548"/>
      <c r="AC408" s="548"/>
    </row>
    <row r="409" spans="1:37" s="444" customFormat="1" ht="15.6" customHeight="1">
      <c r="A409" s="14">
        <v>17</v>
      </c>
      <c r="B409" s="567" t="s">
        <v>1738</v>
      </c>
      <c r="C409" s="152">
        <v>1</v>
      </c>
      <c r="D409" s="92">
        <v>1</v>
      </c>
      <c r="E409" s="92">
        <v>1</v>
      </c>
      <c r="F409" s="92">
        <v>1</v>
      </c>
      <c r="G409" s="126">
        <v>15</v>
      </c>
      <c r="H409" s="126">
        <v>15</v>
      </c>
      <c r="I409" s="148"/>
      <c r="J409" s="148"/>
      <c r="K409" s="144">
        <v>24</v>
      </c>
      <c r="L409" s="148" t="s">
        <v>996</v>
      </c>
      <c r="M409" s="144">
        <v>8</v>
      </c>
      <c r="N409" s="579" t="s">
        <v>1120</v>
      </c>
      <c r="O409" s="579">
        <v>8</v>
      </c>
      <c r="P409" s="579" t="s">
        <v>1120</v>
      </c>
      <c r="Q409" s="436">
        <v>30</v>
      </c>
      <c r="R409" s="544"/>
      <c r="S409" s="547"/>
      <c r="T409" s="547"/>
      <c r="U409" s="547"/>
      <c r="V409" s="546"/>
      <c r="W409" s="547"/>
      <c r="X409" s="547"/>
      <c r="Y409" s="547"/>
      <c r="Z409" s="548"/>
      <c r="AA409" s="548"/>
      <c r="AB409" s="548"/>
      <c r="AC409" s="548"/>
    </row>
    <row r="410" spans="1:37" s="444" customFormat="1" ht="15.6" customHeight="1">
      <c r="A410" s="14">
        <v>18</v>
      </c>
      <c r="B410" s="567" t="s">
        <v>1739</v>
      </c>
      <c r="C410" s="92">
        <v>1</v>
      </c>
      <c r="D410" s="92">
        <v>1</v>
      </c>
      <c r="E410" s="92">
        <v>1</v>
      </c>
      <c r="F410" s="92">
        <v>1</v>
      </c>
      <c r="G410" s="126">
        <v>3</v>
      </c>
      <c r="H410" s="126">
        <v>3</v>
      </c>
      <c r="I410" s="148"/>
      <c r="J410" s="148"/>
      <c r="K410" s="144">
        <v>8</v>
      </c>
      <c r="L410" s="579" t="s">
        <v>1120</v>
      </c>
      <c r="M410" s="144">
        <v>8</v>
      </c>
      <c r="N410" s="579" t="s">
        <v>1120</v>
      </c>
      <c r="O410" s="579">
        <v>8</v>
      </c>
      <c r="P410" s="579" t="s">
        <v>1120</v>
      </c>
      <c r="Q410" s="436">
        <v>30</v>
      </c>
      <c r="R410" s="544"/>
      <c r="S410" s="547"/>
      <c r="T410" s="547"/>
      <c r="U410" s="547"/>
      <c r="V410" s="546"/>
      <c r="W410" s="547"/>
      <c r="X410" s="547"/>
      <c r="Y410" s="547"/>
      <c r="Z410" s="548"/>
      <c r="AA410" s="548"/>
      <c r="AB410" s="548"/>
      <c r="AC410" s="548"/>
    </row>
    <row r="411" spans="1:37" s="444" customFormat="1" ht="18" customHeight="1">
      <c r="A411" s="14">
        <v>19</v>
      </c>
      <c r="B411" s="143" t="s">
        <v>794</v>
      </c>
      <c r="C411" s="92">
        <v>1</v>
      </c>
      <c r="D411" s="92">
        <v>1</v>
      </c>
      <c r="E411" s="92">
        <v>1</v>
      </c>
      <c r="F411" s="92">
        <v>1</v>
      </c>
      <c r="G411" s="126">
        <v>1.6</v>
      </c>
      <c r="H411" s="126">
        <v>1.6</v>
      </c>
      <c r="I411" s="148">
        <v>0</v>
      </c>
      <c r="J411" s="148">
        <v>0</v>
      </c>
      <c r="K411" s="148">
        <v>8</v>
      </c>
      <c r="L411" s="148" t="s">
        <v>1129</v>
      </c>
      <c r="M411" s="148">
        <v>8</v>
      </c>
      <c r="N411" s="148" t="s">
        <v>1129</v>
      </c>
      <c r="O411" s="148">
        <v>8</v>
      </c>
      <c r="P411" s="148" t="s">
        <v>1129</v>
      </c>
      <c r="Q411" s="436">
        <v>30</v>
      </c>
      <c r="R411" s="546">
        <f t="shared" ref="R411" si="285">C411*G411*I411*Q411</f>
        <v>0</v>
      </c>
      <c r="S411" s="547">
        <f t="shared" ref="S411" si="286">D411*G411*K411*Q411</f>
        <v>384</v>
      </c>
      <c r="T411" s="547">
        <f t="shared" ref="T411" si="287">E411*G411*M411*Q411</f>
        <v>384</v>
      </c>
      <c r="U411" s="547">
        <f t="shared" ref="U411" si="288">F411*G411*O411*Q411</f>
        <v>384</v>
      </c>
      <c r="V411" s="546">
        <f t="shared" ref="V411" si="289">C411*H411*I411*Q411</f>
        <v>0</v>
      </c>
      <c r="W411" s="547">
        <f t="shared" ref="W411" si="290">D411*H411*K411*Q411</f>
        <v>384</v>
      </c>
      <c r="X411" s="547">
        <f t="shared" ref="X411" si="291">E411*H411*M411*Q411</f>
        <v>384</v>
      </c>
      <c r="Y411" s="547">
        <f t="shared" ref="Y411" si="292">F411*H411*O411*Q411</f>
        <v>384</v>
      </c>
      <c r="Z411" s="548" t="e">
        <f t="shared" ref="Z411:AC411" si="293">V411/R411</f>
        <v>#DIV/0!</v>
      </c>
      <c r="AA411" s="548">
        <f t="shared" si="293"/>
        <v>1</v>
      </c>
      <c r="AB411" s="548">
        <f t="shared" si="293"/>
        <v>1</v>
      </c>
      <c r="AC411" s="548">
        <f t="shared" si="293"/>
        <v>1</v>
      </c>
    </row>
    <row r="412" spans="1:37" s="96" customFormat="1">
      <c r="A412" s="14">
        <v>20</v>
      </c>
      <c r="B412" s="580" t="s">
        <v>402</v>
      </c>
      <c r="C412" s="581">
        <v>1</v>
      </c>
      <c r="D412" s="581">
        <v>1</v>
      </c>
      <c r="E412" s="581">
        <v>1</v>
      </c>
      <c r="F412" s="581">
        <v>1</v>
      </c>
      <c r="G412" s="582">
        <v>0.72</v>
      </c>
      <c r="H412" s="582">
        <v>0.72</v>
      </c>
      <c r="I412" s="148">
        <v>24</v>
      </c>
      <c r="J412" s="148" t="s">
        <v>996</v>
      </c>
      <c r="K412" s="148">
        <v>24</v>
      </c>
      <c r="L412" s="148" t="s">
        <v>996</v>
      </c>
      <c r="M412" s="148">
        <v>24</v>
      </c>
      <c r="N412" s="148" t="s">
        <v>996</v>
      </c>
      <c r="O412" s="148">
        <v>24</v>
      </c>
      <c r="P412" s="148" t="s">
        <v>996</v>
      </c>
      <c r="Q412" s="136">
        <v>30</v>
      </c>
      <c r="R412" s="547">
        <f t="shared" ref="R412" si="294">D412*G412*K412*Q412</f>
        <v>518.40000000000009</v>
      </c>
      <c r="S412" s="547">
        <f t="shared" ref="S412" si="295">E412*G412*M412*Q412</f>
        <v>518.40000000000009</v>
      </c>
      <c r="T412" s="547">
        <f t="shared" ref="T412" si="296">F412*G412*O412*Q412</f>
        <v>518.40000000000009</v>
      </c>
      <c r="U412" s="546">
        <f t="shared" ref="U412" si="297">C412*H412*I412*Q412</f>
        <v>518.40000000000009</v>
      </c>
      <c r="V412" s="547">
        <f t="shared" ref="V412" si="298">E412*H412*M412*Q412</f>
        <v>518.40000000000009</v>
      </c>
      <c r="W412" s="547">
        <f t="shared" ref="W412" si="299">F412*H412*O412*Q412</f>
        <v>518.40000000000009</v>
      </c>
      <c r="X412" s="548" t="e">
        <f>U412/#REF!</f>
        <v>#REF!</v>
      </c>
      <c r="Y412" s="548" t="e">
        <f>#REF!/R412</f>
        <v>#REF!</v>
      </c>
      <c r="Z412" s="548">
        <f t="shared" ref="Z412" si="300">W412/T412</f>
        <v>1</v>
      </c>
      <c r="AA412" s="548"/>
      <c r="AB412" s="548"/>
      <c r="AC412" s="548"/>
    </row>
    <row r="413" spans="1:37" s="96" customFormat="1">
      <c r="A413" s="14">
        <v>21</v>
      </c>
      <c r="B413" s="143" t="s">
        <v>820</v>
      </c>
      <c r="C413" s="130">
        <v>2</v>
      </c>
      <c r="D413" s="129">
        <v>2</v>
      </c>
      <c r="E413" s="129">
        <v>2</v>
      </c>
      <c r="F413" s="129">
        <v>2</v>
      </c>
      <c r="G413" s="148">
        <v>1.65</v>
      </c>
      <c r="H413" s="148">
        <v>2.65</v>
      </c>
      <c r="I413" s="148">
        <v>24</v>
      </c>
      <c r="J413" s="148" t="s">
        <v>996</v>
      </c>
      <c r="K413" s="148">
        <v>24</v>
      </c>
      <c r="L413" s="148" t="s">
        <v>996</v>
      </c>
      <c r="M413" s="148">
        <v>24</v>
      </c>
      <c r="N413" s="148" t="s">
        <v>996</v>
      </c>
      <c r="O413" s="148">
        <v>24</v>
      </c>
      <c r="P413" s="148" t="s">
        <v>1133</v>
      </c>
      <c r="Q413" s="136">
        <v>30</v>
      </c>
      <c r="R413" s="546">
        <f>C413*G413*I413*Q413</f>
        <v>2375.9999999999995</v>
      </c>
      <c r="S413" s="547">
        <f>D413*G413*K413*Q413</f>
        <v>2375.9999999999995</v>
      </c>
      <c r="T413" s="547">
        <f>E413*G413*M413*Q413</f>
        <v>2375.9999999999995</v>
      </c>
      <c r="U413" s="547">
        <f>F413*G413*O413*Q413</f>
        <v>2375.9999999999995</v>
      </c>
      <c r="V413" s="546">
        <f>C413*H413*I413*Q413</f>
        <v>3815.9999999999995</v>
      </c>
      <c r="W413" s="547">
        <f>D413*H413*K413*Q413</f>
        <v>3815.9999999999995</v>
      </c>
      <c r="X413" s="547">
        <f>E413*H413*M413*Q413</f>
        <v>3815.9999999999995</v>
      </c>
      <c r="Y413" s="547">
        <f>F413*H413*O413*Q413</f>
        <v>3815.9999999999995</v>
      </c>
      <c r="Z413" s="554"/>
      <c r="AA413" s="554"/>
      <c r="AB413" s="554"/>
      <c r="AC413" s="554"/>
    </row>
    <row r="414" spans="1:37" s="587" customFormat="1">
      <c r="A414" s="595" t="s">
        <v>407</v>
      </c>
      <c r="B414" s="596" t="s">
        <v>563</v>
      </c>
      <c r="C414" s="592"/>
      <c r="D414" s="592"/>
      <c r="E414" s="585"/>
      <c r="F414" s="585"/>
      <c r="G414" s="585"/>
      <c r="H414" s="586"/>
      <c r="I414" s="586"/>
      <c r="J414" s="597"/>
      <c r="K414" s="598"/>
      <c r="L414" s="597"/>
      <c r="M414" s="598"/>
      <c r="N414" s="597"/>
      <c r="O414" s="598"/>
      <c r="P414" s="597"/>
      <c r="Q414" s="598"/>
      <c r="R414" s="597"/>
      <c r="S414" s="599"/>
      <c r="T414" s="600"/>
      <c r="U414" s="601">
        <f t="shared" ref="U414" si="301">C414*H414*J414*T414</f>
        <v>0</v>
      </c>
      <c r="V414" s="588">
        <f t="shared" ref="V414" si="302">D414*H414*L414*T414</f>
        <v>0</v>
      </c>
      <c r="W414" s="589">
        <f t="shared" ref="W414" si="303">E414*H414*N414*T414</f>
        <v>0</v>
      </c>
      <c r="X414" s="589">
        <f t="shared" ref="X414" si="304">F414*H414*P414*T414</f>
        <v>0</v>
      </c>
      <c r="Y414" s="589">
        <f t="shared" ref="Y414" si="305">G414*H414*R414*T414</f>
        <v>0</v>
      </c>
      <c r="Z414" s="588">
        <f t="shared" ref="Z414" si="306">C414*I414*J414*T414</f>
        <v>0</v>
      </c>
      <c r="AA414" s="588">
        <f t="shared" ref="AA414" si="307">D414*I414*L414*T414</f>
        <v>0</v>
      </c>
      <c r="AB414" s="589">
        <f t="shared" ref="AB414" si="308">E414*I414*N414*T414</f>
        <v>0</v>
      </c>
      <c r="AC414" s="589">
        <f t="shared" ref="AC414" si="309">F414*I414*P414*T414</f>
        <v>0</v>
      </c>
      <c r="AD414" s="96"/>
      <c r="AE414" s="96"/>
      <c r="AF414" s="96"/>
      <c r="AG414" s="96"/>
      <c r="AH414" s="96"/>
      <c r="AI414" s="96"/>
      <c r="AJ414" s="96"/>
      <c r="AK414" s="96"/>
    </row>
    <row r="415" spans="1:37" s="587" customFormat="1">
      <c r="A415" s="595"/>
      <c r="B415" s="596" t="s">
        <v>810</v>
      </c>
      <c r="C415" s="592"/>
      <c r="D415" s="806"/>
      <c r="E415" s="807"/>
      <c r="F415" s="807"/>
      <c r="G415" s="807"/>
      <c r="H415" s="807"/>
      <c r="I415" s="807"/>
      <c r="J415" s="807"/>
      <c r="K415" s="807"/>
      <c r="L415" s="807"/>
      <c r="M415" s="807"/>
      <c r="N415" s="807"/>
      <c r="O415" s="807"/>
      <c r="P415" s="807"/>
      <c r="Q415" s="807"/>
      <c r="R415" s="807"/>
      <c r="S415" s="807"/>
      <c r="T415" s="808"/>
      <c r="U415" s="601"/>
      <c r="V415" s="588"/>
      <c r="W415" s="589"/>
      <c r="X415" s="589"/>
      <c r="Y415" s="589"/>
      <c r="Z415" s="588"/>
      <c r="AA415" s="588"/>
      <c r="AB415" s="589"/>
      <c r="AC415" s="589"/>
      <c r="AD415" s="96"/>
      <c r="AE415" s="96"/>
      <c r="AF415" s="96"/>
      <c r="AG415" s="96"/>
      <c r="AH415" s="96"/>
      <c r="AI415" s="96"/>
      <c r="AJ415" s="96"/>
      <c r="AK415" s="96"/>
    </row>
    <row r="416" spans="1:37" s="587" customFormat="1" ht="17.25" customHeight="1">
      <c r="A416" s="583">
        <v>1</v>
      </c>
      <c r="B416" s="602" t="s">
        <v>811</v>
      </c>
      <c r="C416" s="592"/>
      <c r="D416" s="592">
        <v>3</v>
      </c>
      <c r="E416" s="592">
        <v>3</v>
      </c>
      <c r="F416" s="592">
        <v>3</v>
      </c>
      <c r="G416" s="592">
        <v>3</v>
      </c>
      <c r="H416" s="586">
        <v>0.28999999999999998</v>
      </c>
      <c r="I416" s="586">
        <v>0.28999999999999998</v>
      </c>
      <c r="J416" s="597">
        <v>0</v>
      </c>
      <c r="K416" s="597">
        <v>0</v>
      </c>
      <c r="L416" s="586">
        <v>24</v>
      </c>
      <c r="M416" s="586" t="s">
        <v>996</v>
      </c>
      <c r="N416" s="586">
        <v>24</v>
      </c>
      <c r="O416" s="586" t="s">
        <v>996</v>
      </c>
      <c r="P416" s="586">
        <v>24</v>
      </c>
      <c r="Q416" s="586" t="s">
        <v>996</v>
      </c>
      <c r="R416" s="586">
        <v>24</v>
      </c>
      <c r="S416" s="586" t="s">
        <v>996</v>
      </c>
      <c r="T416" s="600">
        <v>30</v>
      </c>
      <c r="U416" s="601"/>
      <c r="V416" s="588"/>
      <c r="W416" s="589"/>
      <c r="X416" s="589"/>
      <c r="Y416" s="589"/>
      <c r="Z416" s="588"/>
      <c r="AA416" s="588"/>
      <c r="AB416" s="589"/>
      <c r="AC416" s="589"/>
      <c r="AD416" s="96"/>
      <c r="AE416" s="96"/>
      <c r="AF416" s="96"/>
      <c r="AG416" s="96"/>
      <c r="AH416" s="96"/>
      <c r="AI416" s="96"/>
      <c r="AJ416" s="96"/>
      <c r="AK416" s="96"/>
    </row>
    <row r="417" spans="1:37" s="587" customFormat="1" ht="17.25" customHeight="1">
      <c r="A417" s="583">
        <v>2</v>
      </c>
      <c r="B417" s="602" t="s">
        <v>1784</v>
      </c>
      <c r="C417" s="592"/>
      <c r="D417" s="592">
        <v>1</v>
      </c>
      <c r="E417" s="585">
        <v>1</v>
      </c>
      <c r="F417" s="585">
        <v>1</v>
      </c>
      <c r="G417" s="585">
        <v>1</v>
      </c>
      <c r="H417" s="586">
        <v>0.28999999999999998</v>
      </c>
      <c r="I417" s="586">
        <v>0.28999999999999998</v>
      </c>
      <c r="J417" s="597">
        <v>0</v>
      </c>
      <c r="K417" s="597">
        <v>0</v>
      </c>
      <c r="L417" s="586">
        <v>24</v>
      </c>
      <c r="M417" s="586" t="s">
        <v>996</v>
      </c>
      <c r="N417" s="586">
        <v>24</v>
      </c>
      <c r="O417" s="586" t="s">
        <v>996</v>
      </c>
      <c r="P417" s="586">
        <v>24</v>
      </c>
      <c r="Q417" s="586" t="s">
        <v>996</v>
      </c>
      <c r="R417" s="586">
        <v>24</v>
      </c>
      <c r="S417" s="586" t="s">
        <v>996</v>
      </c>
      <c r="T417" s="600">
        <v>30</v>
      </c>
      <c r="U417" s="601"/>
      <c r="V417" s="588"/>
      <c r="W417" s="589"/>
      <c r="X417" s="589"/>
      <c r="Y417" s="589"/>
      <c r="Z417" s="588"/>
      <c r="AA417" s="588"/>
      <c r="AB417" s="589"/>
      <c r="AC417" s="589"/>
      <c r="AD417" s="96"/>
      <c r="AE417" s="96"/>
      <c r="AF417" s="96"/>
      <c r="AG417" s="96"/>
      <c r="AH417" s="96"/>
      <c r="AI417" s="96"/>
      <c r="AJ417" s="96"/>
      <c r="AK417" s="96"/>
    </row>
    <row r="418" spans="1:37" s="587" customFormat="1" ht="17.25" customHeight="1">
      <c r="A418" s="583">
        <v>3</v>
      </c>
      <c r="B418" s="602" t="s">
        <v>439</v>
      </c>
      <c r="C418" s="592"/>
      <c r="D418" s="592">
        <v>2</v>
      </c>
      <c r="E418" s="592">
        <v>2</v>
      </c>
      <c r="F418" s="592">
        <v>2</v>
      </c>
      <c r="G418" s="592">
        <v>2</v>
      </c>
      <c r="H418" s="586">
        <v>0.35</v>
      </c>
      <c r="I418" s="586">
        <v>0.35</v>
      </c>
      <c r="J418" s="597">
        <v>0</v>
      </c>
      <c r="K418" s="597">
        <v>0</v>
      </c>
      <c r="L418" s="586">
        <v>24</v>
      </c>
      <c r="M418" s="586" t="s">
        <v>996</v>
      </c>
      <c r="N418" s="586">
        <v>24</v>
      </c>
      <c r="O418" s="586" t="s">
        <v>996</v>
      </c>
      <c r="P418" s="586">
        <v>24</v>
      </c>
      <c r="Q418" s="586" t="s">
        <v>996</v>
      </c>
      <c r="R418" s="586">
        <v>24</v>
      </c>
      <c r="S418" s="586" t="s">
        <v>996</v>
      </c>
      <c r="T418" s="600">
        <v>30</v>
      </c>
      <c r="U418" s="601"/>
      <c r="V418" s="588"/>
      <c r="W418" s="589"/>
      <c r="X418" s="589"/>
      <c r="Y418" s="589"/>
      <c r="Z418" s="588"/>
      <c r="AA418" s="588"/>
      <c r="AB418" s="589"/>
      <c r="AC418" s="589"/>
      <c r="AD418" s="96"/>
      <c r="AE418" s="96"/>
      <c r="AF418" s="96"/>
      <c r="AG418" s="96"/>
      <c r="AH418" s="96"/>
      <c r="AI418" s="96"/>
      <c r="AJ418" s="96"/>
      <c r="AK418" s="96"/>
    </row>
    <row r="419" spans="1:37" s="587" customFormat="1" ht="17.25" customHeight="1">
      <c r="A419" s="583">
        <v>4</v>
      </c>
      <c r="B419" s="602" t="s">
        <v>812</v>
      </c>
      <c r="C419" s="592"/>
      <c r="D419" s="592">
        <v>1</v>
      </c>
      <c r="E419" s="585">
        <v>1</v>
      </c>
      <c r="F419" s="585">
        <v>1</v>
      </c>
      <c r="G419" s="585">
        <v>1</v>
      </c>
      <c r="H419" s="586">
        <v>0.28999999999999998</v>
      </c>
      <c r="I419" s="586">
        <v>0.28999999999999998</v>
      </c>
      <c r="J419" s="597">
        <v>0</v>
      </c>
      <c r="K419" s="597">
        <v>0</v>
      </c>
      <c r="L419" s="586">
        <v>24</v>
      </c>
      <c r="M419" s="586" t="s">
        <v>996</v>
      </c>
      <c r="N419" s="586">
        <v>24</v>
      </c>
      <c r="O419" s="586" t="s">
        <v>996</v>
      </c>
      <c r="P419" s="586">
        <v>24</v>
      </c>
      <c r="Q419" s="586" t="s">
        <v>996</v>
      </c>
      <c r="R419" s="586">
        <v>24</v>
      </c>
      <c r="S419" s="586" t="s">
        <v>996</v>
      </c>
      <c r="T419" s="600">
        <v>30</v>
      </c>
      <c r="U419" s="601"/>
      <c r="V419" s="588"/>
      <c r="W419" s="589"/>
      <c r="X419" s="589"/>
      <c r="Y419" s="589"/>
      <c r="Z419" s="588"/>
      <c r="AA419" s="588"/>
      <c r="AB419" s="589"/>
      <c r="AC419" s="589"/>
      <c r="AD419" s="96"/>
      <c r="AE419" s="96"/>
      <c r="AF419" s="96"/>
      <c r="AG419" s="96"/>
      <c r="AH419" s="96"/>
      <c r="AI419" s="96"/>
      <c r="AJ419" s="96"/>
      <c r="AK419" s="96"/>
    </row>
    <row r="420" spans="1:37" s="587" customFormat="1" ht="17.25" customHeight="1">
      <c r="A420" s="583">
        <v>5</v>
      </c>
      <c r="B420" s="602" t="s">
        <v>813</v>
      </c>
      <c r="C420" s="592"/>
      <c r="D420" s="592">
        <v>1</v>
      </c>
      <c r="E420" s="585">
        <v>1</v>
      </c>
      <c r="F420" s="585">
        <v>1</v>
      </c>
      <c r="G420" s="585">
        <v>1</v>
      </c>
      <c r="H420" s="586">
        <v>15</v>
      </c>
      <c r="I420" s="586">
        <v>15</v>
      </c>
      <c r="J420" s="597">
        <v>0</v>
      </c>
      <c r="K420" s="597">
        <v>0</v>
      </c>
      <c r="L420" s="586">
        <v>24</v>
      </c>
      <c r="M420" s="586" t="s">
        <v>996</v>
      </c>
      <c r="N420" s="586">
        <v>24</v>
      </c>
      <c r="O420" s="586" t="s">
        <v>996</v>
      </c>
      <c r="P420" s="586">
        <v>24</v>
      </c>
      <c r="Q420" s="586" t="s">
        <v>996</v>
      </c>
      <c r="R420" s="586">
        <v>24</v>
      </c>
      <c r="S420" s="586" t="s">
        <v>996</v>
      </c>
      <c r="T420" s="600">
        <v>30</v>
      </c>
      <c r="U420" s="601"/>
      <c r="V420" s="588"/>
      <c r="W420" s="589"/>
      <c r="X420" s="589"/>
      <c r="Y420" s="589"/>
      <c r="Z420" s="588"/>
      <c r="AA420" s="588"/>
      <c r="AB420" s="589"/>
      <c r="AC420" s="589"/>
      <c r="AD420" s="96"/>
      <c r="AE420" s="96"/>
      <c r="AF420" s="96"/>
      <c r="AG420" s="96"/>
      <c r="AH420" s="96"/>
      <c r="AI420" s="96"/>
      <c r="AJ420" s="96"/>
      <c r="AK420" s="96"/>
    </row>
    <row r="421" spans="1:37" s="587" customFormat="1" ht="17.25" customHeight="1">
      <c r="A421" s="583"/>
      <c r="B421" s="596" t="s">
        <v>1785</v>
      </c>
      <c r="C421" s="592"/>
      <c r="D421" s="806"/>
      <c r="E421" s="807"/>
      <c r="F421" s="807"/>
      <c r="G421" s="807"/>
      <c r="H421" s="807"/>
      <c r="I421" s="807"/>
      <c r="J421" s="807"/>
      <c r="K421" s="807"/>
      <c r="L421" s="807"/>
      <c r="M421" s="807"/>
      <c r="N421" s="807"/>
      <c r="O421" s="807"/>
      <c r="P421" s="807"/>
      <c r="Q421" s="807"/>
      <c r="R421" s="807"/>
      <c r="S421" s="807"/>
      <c r="T421" s="808"/>
      <c r="U421" s="601"/>
      <c r="V421" s="588"/>
      <c r="W421" s="589"/>
      <c r="X421" s="589"/>
      <c r="Y421" s="589"/>
      <c r="Z421" s="588"/>
      <c r="AA421" s="588"/>
      <c r="AB421" s="589"/>
      <c r="AC421" s="589"/>
      <c r="AD421" s="96"/>
      <c r="AE421" s="96"/>
      <c r="AF421" s="96"/>
      <c r="AG421" s="96"/>
      <c r="AH421" s="96"/>
      <c r="AI421" s="96"/>
      <c r="AJ421" s="96"/>
      <c r="AK421" s="96"/>
    </row>
    <row r="422" spans="1:37" s="587" customFormat="1" ht="17.25" customHeight="1">
      <c r="A422" s="583">
        <v>1</v>
      </c>
      <c r="B422" s="602" t="s">
        <v>470</v>
      </c>
      <c r="C422" s="603"/>
      <c r="D422" s="603">
        <v>1</v>
      </c>
      <c r="E422" s="604">
        <v>1</v>
      </c>
      <c r="F422" s="604">
        <v>1</v>
      </c>
      <c r="G422" s="604">
        <v>1</v>
      </c>
      <c r="H422" s="586">
        <v>15</v>
      </c>
      <c r="I422" s="586">
        <v>15</v>
      </c>
      <c r="J422" s="597">
        <v>0</v>
      </c>
      <c r="K422" s="597">
        <v>0</v>
      </c>
      <c r="L422" s="605">
        <v>14</v>
      </c>
      <c r="M422" s="605" t="s">
        <v>1786</v>
      </c>
      <c r="N422" s="605">
        <v>14</v>
      </c>
      <c r="O422" s="605" t="s">
        <v>1786</v>
      </c>
      <c r="P422" s="605">
        <v>14</v>
      </c>
      <c r="Q422" s="605" t="s">
        <v>1786</v>
      </c>
      <c r="R422" s="605">
        <v>14</v>
      </c>
      <c r="S422" s="605" t="s">
        <v>1786</v>
      </c>
      <c r="T422" s="600">
        <v>30</v>
      </c>
      <c r="U422" s="601">
        <f t="shared" ref="U422:U425" si="310">C422*H422*J422*T422</f>
        <v>0</v>
      </c>
      <c r="V422" s="588">
        <f t="shared" ref="V422:V425" si="311">D422*H422*L422*T422</f>
        <v>6300</v>
      </c>
      <c r="W422" s="589">
        <f t="shared" ref="W422:W425" si="312">E422*H422*N422*T422</f>
        <v>6300</v>
      </c>
      <c r="X422" s="589">
        <f t="shared" ref="X422:X425" si="313">F422*H422*P422*T422</f>
        <v>6300</v>
      </c>
      <c r="Y422" s="589">
        <f t="shared" ref="Y422:Y425" si="314">G422*H422*R422*T422</f>
        <v>6300</v>
      </c>
      <c r="Z422" s="588">
        <f t="shared" ref="Z422:Z425" si="315">C422*I422*J422*T422</f>
        <v>0</v>
      </c>
      <c r="AA422" s="588">
        <f t="shared" ref="AA422:AA425" si="316">D422*I422*L422*T422</f>
        <v>6300</v>
      </c>
      <c r="AB422" s="589">
        <f t="shared" ref="AB422:AB425" si="317">E422*I422*N422*T422</f>
        <v>6300</v>
      </c>
      <c r="AC422" s="589">
        <f t="shared" ref="AC422:AC425" si="318">F422*I422*P422*T422</f>
        <v>6300</v>
      </c>
      <c r="AD422" s="96"/>
      <c r="AE422" s="96"/>
      <c r="AF422" s="96"/>
      <c r="AG422" s="96"/>
      <c r="AH422" s="96"/>
      <c r="AI422" s="96"/>
      <c r="AJ422" s="96"/>
      <c r="AK422" s="96"/>
    </row>
    <row r="423" spans="1:37" s="587" customFormat="1" ht="17.25" customHeight="1">
      <c r="A423" s="583">
        <v>2</v>
      </c>
      <c r="B423" s="602" t="s">
        <v>813</v>
      </c>
      <c r="C423" s="592"/>
      <c r="D423" s="592">
        <v>1</v>
      </c>
      <c r="E423" s="592">
        <v>1</v>
      </c>
      <c r="F423" s="592">
        <v>1</v>
      </c>
      <c r="G423" s="592">
        <v>1</v>
      </c>
      <c r="H423" s="586">
        <v>15</v>
      </c>
      <c r="I423" s="586">
        <v>15</v>
      </c>
      <c r="J423" s="597">
        <v>0</v>
      </c>
      <c r="K423" s="597">
        <v>0</v>
      </c>
      <c r="L423" s="597"/>
      <c r="M423" s="586" t="s">
        <v>996</v>
      </c>
      <c r="N423" s="597">
        <v>24</v>
      </c>
      <c r="O423" s="586" t="s">
        <v>996</v>
      </c>
      <c r="P423" s="586">
        <v>24</v>
      </c>
      <c r="Q423" s="606" t="str">
        <f>O423</f>
        <v>24/24</v>
      </c>
      <c r="R423" s="586">
        <v>24</v>
      </c>
      <c r="S423" s="606" t="str">
        <f>Q423</f>
        <v>24/24</v>
      </c>
      <c r="T423" s="600">
        <v>30</v>
      </c>
      <c r="U423" s="601"/>
      <c r="V423" s="588"/>
      <c r="W423" s="589"/>
      <c r="X423" s="589"/>
      <c r="Y423" s="589"/>
      <c r="Z423" s="588"/>
      <c r="AA423" s="588"/>
      <c r="AB423" s="589"/>
      <c r="AC423" s="589"/>
      <c r="AD423" s="96"/>
      <c r="AE423" s="96"/>
      <c r="AF423" s="96"/>
      <c r="AG423" s="96"/>
      <c r="AH423" s="96"/>
      <c r="AI423" s="96"/>
      <c r="AJ423" s="96"/>
      <c r="AK423" s="96"/>
    </row>
    <row r="424" spans="1:37" s="591" customFormat="1">
      <c r="A424" s="583">
        <v>3</v>
      </c>
      <c r="B424" s="584" t="s">
        <v>1787</v>
      </c>
      <c r="C424" s="603"/>
      <c r="D424" s="603">
        <v>1</v>
      </c>
      <c r="E424" s="603">
        <v>1</v>
      </c>
      <c r="F424" s="603">
        <v>1</v>
      </c>
      <c r="G424" s="603">
        <v>1</v>
      </c>
      <c r="H424" s="586">
        <v>0.21</v>
      </c>
      <c r="I424" s="586">
        <v>0.21</v>
      </c>
      <c r="J424" s="586"/>
      <c r="K424" s="586"/>
      <c r="L424" s="586">
        <v>24</v>
      </c>
      <c r="M424" s="586" t="s">
        <v>996</v>
      </c>
      <c r="N424" s="586">
        <f>L424</f>
        <v>24</v>
      </c>
      <c r="O424" s="586" t="str">
        <f>M424</f>
        <v>24/24</v>
      </c>
      <c r="P424" s="586">
        <f>N424</f>
        <v>24</v>
      </c>
      <c r="Q424" s="586" t="str">
        <f>O424</f>
        <v>24/24</v>
      </c>
      <c r="R424" s="586">
        <f>P424</f>
        <v>24</v>
      </c>
      <c r="S424" s="606" t="str">
        <f>Q424</f>
        <v>24/24</v>
      </c>
      <c r="T424" s="587">
        <v>30</v>
      </c>
      <c r="U424" s="601">
        <f>C424*H424*J424*T424</f>
        <v>0</v>
      </c>
      <c r="V424" s="588">
        <f>D424*H424*L424*T424</f>
        <v>151.19999999999999</v>
      </c>
      <c r="W424" s="589">
        <f>E424*H424*N424*T424</f>
        <v>151.19999999999999</v>
      </c>
      <c r="X424" s="589">
        <f>F424*H424*P424*T424</f>
        <v>151.19999999999999</v>
      </c>
      <c r="Y424" s="589">
        <f>G424*H424*R424*T424</f>
        <v>151.19999999999999</v>
      </c>
      <c r="Z424" s="588">
        <f>C424*I424*J424*T424</f>
        <v>0</v>
      </c>
      <c r="AA424" s="588">
        <f>D424*I424*L424*T424</f>
        <v>151.19999999999999</v>
      </c>
      <c r="AB424" s="589">
        <f>E424*I424*N424*T424</f>
        <v>151.19999999999999</v>
      </c>
      <c r="AC424" s="589">
        <f>F424*I424*P424*T424</f>
        <v>151.19999999999999</v>
      </c>
      <c r="AD424" s="96"/>
      <c r="AE424" s="96"/>
      <c r="AF424" s="96"/>
      <c r="AG424" s="96"/>
      <c r="AH424" s="96"/>
      <c r="AI424" s="96"/>
      <c r="AJ424" s="96"/>
      <c r="AK424" s="96"/>
    </row>
    <row r="425" spans="1:37" s="587" customFormat="1" ht="17.100000000000001" customHeight="1">
      <c r="A425" s="583">
        <v>4</v>
      </c>
      <c r="B425" s="602" t="s">
        <v>469</v>
      </c>
      <c r="C425" s="603"/>
      <c r="D425" s="603">
        <v>1</v>
      </c>
      <c r="E425" s="604">
        <v>1</v>
      </c>
      <c r="F425" s="603">
        <v>1</v>
      </c>
      <c r="G425" s="604">
        <v>1</v>
      </c>
      <c r="H425" s="586">
        <v>1.8</v>
      </c>
      <c r="I425" s="586">
        <v>1.8</v>
      </c>
      <c r="J425" s="597">
        <v>0</v>
      </c>
      <c r="K425" s="597">
        <v>0</v>
      </c>
      <c r="L425" s="586">
        <v>24</v>
      </c>
      <c r="M425" s="586" t="s">
        <v>996</v>
      </c>
      <c r="N425" s="586">
        <v>24</v>
      </c>
      <c r="O425" s="586" t="s">
        <v>996</v>
      </c>
      <c r="P425" s="586">
        <v>24</v>
      </c>
      <c r="Q425" s="586" t="s">
        <v>996</v>
      </c>
      <c r="R425" s="586">
        <v>24</v>
      </c>
      <c r="S425" s="606" t="s">
        <v>996</v>
      </c>
      <c r="T425" s="600">
        <v>30</v>
      </c>
      <c r="U425" s="601">
        <f t="shared" si="310"/>
        <v>0</v>
      </c>
      <c r="V425" s="588">
        <f t="shared" si="311"/>
        <v>1296</v>
      </c>
      <c r="W425" s="589">
        <f t="shared" si="312"/>
        <v>1296</v>
      </c>
      <c r="X425" s="589">
        <f t="shared" si="313"/>
        <v>1296</v>
      </c>
      <c r="Y425" s="589">
        <f t="shared" si="314"/>
        <v>1296</v>
      </c>
      <c r="Z425" s="588">
        <f t="shared" si="315"/>
        <v>0</v>
      </c>
      <c r="AA425" s="588">
        <f t="shared" si="316"/>
        <v>1296</v>
      </c>
      <c r="AB425" s="589">
        <f t="shared" si="317"/>
        <v>1296</v>
      </c>
      <c r="AC425" s="589">
        <f t="shared" si="318"/>
        <v>1296</v>
      </c>
      <c r="AD425" s="96"/>
      <c r="AE425" s="96"/>
      <c r="AF425" s="96"/>
      <c r="AG425" s="96"/>
      <c r="AH425" s="96"/>
      <c r="AI425" s="96"/>
      <c r="AJ425" s="96"/>
      <c r="AK425" s="96"/>
    </row>
    <row r="426" spans="1:37" s="587" customFormat="1" ht="17.25" customHeight="1">
      <c r="A426" s="583">
        <v>5</v>
      </c>
      <c r="B426" s="602" t="s">
        <v>439</v>
      </c>
      <c r="C426" s="592"/>
      <c r="D426" s="592">
        <v>1</v>
      </c>
      <c r="E426" s="585">
        <v>1</v>
      </c>
      <c r="F426" s="585">
        <v>1</v>
      </c>
      <c r="G426" s="585">
        <v>1</v>
      </c>
      <c r="H426" s="586">
        <v>0.35</v>
      </c>
      <c r="I426" s="586">
        <v>0.35</v>
      </c>
      <c r="J426" s="597">
        <v>0</v>
      </c>
      <c r="K426" s="597">
        <v>0</v>
      </c>
      <c r="L426" s="586">
        <v>24</v>
      </c>
      <c r="M426" s="586" t="s">
        <v>996</v>
      </c>
      <c r="N426" s="586">
        <v>24</v>
      </c>
      <c r="O426" s="586" t="s">
        <v>996</v>
      </c>
      <c r="P426" s="586">
        <v>24</v>
      </c>
      <c r="Q426" s="586" t="s">
        <v>996</v>
      </c>
      <c r="R426" s="586">
        <v>24</v>
      </c>
      <c r="S426" s="606" t="s">
        <v>996</v>
      </c>
      <c r="T426" s="600">
        <v>30</v>
      </c>
      <c r="U426" s="601"/>
      <c r="V426" s="588"/>
      <c r="W426" s="589"/>
      <c r="X426" s="589"/>
      <c r="Y426" s="589"/>
      <c r="Z426" s="588"/>
      <c r="AA426" s="588"/>
      <c r="AB426" s="589"/>
      <c r="AC426" s="589"/>
      <c r="AD426" s="96"/>
      <c r="AE426" s="96"/>
      <c r="AF426" s="96"/>
      <c r="AG426" s="96"/>
      <c r="AH426" s="96"/>
      <c r="AI426" s="96"/>
      <c r="AJ426" s="96"/>
      <c r="AK426" s="96"/>
    </row>
    <row r="427" spans="1:37" s="587" customFormat="1" ht="17.25" customHeight="1">
      <c r="A427" s="583">
        <v>6</v>
      </c>
      <c r="B427" s="602" t="s">
        <v>814</v>
      </c>
      <c r="C427" s="592"/>
      <c r="D427" s="592">
        <v>1</v>
      </c>
      <c r="E427" s="585">
        <v>1</v>
      </c>
      <c r="F427" s="585">
        <v>1</v>
      </c>
      <c r="G427" s="585">
        <v>1</v>
      </c>
      <c r="H427" s="586"/>
      <c r="I427" s="586"/>
      <c r="J427" s="597">
        <v>0</v>
      </c>
      <c r="K427" s="597">
        <v>0</v>
      </c>
      <c r="L427" s="586">
        <v>6</v>
      </c>
      <c r="M427" s="586" t="s">
        <v>1127</v>
      </c>
      <c r="N427" s="586">
        <v>6</v>
      </c>
      <c r="O427" s="586" t="s">
        <v>1127</v>
      </c>
      <c r="P427" s="586">
        <v>6</v>
      </c>
      <c r="Q427" s="586" t="s">
        <v>1127</v>
      </c>
      <c r="R427" s="586">
        <v>6</v>
      </c>
      <c r="S427" s="586" t="s">
        <v>1127</v>
      </c>
      <c r="T427" s="600">
        <v>30</v>
      </c>
      <c r="U427" s="601"/>
      <c r="V427" s="588"/>
      <c r="W427" s="589"/>
      <c r="X427" s="589"/>
      <c r="Y427" s="589"/>
      <c r="Z427" s="588"/>
      <c r="AA427" s="588"/>
      <c r="AB427" s="589"/>
      <c r="AC427" s="589"/>
      <c r="AD427" s="96"/>
      <c r="AE427" s="96"/>
      <c r="AF427" s="96"/>
      <c r="AG427" s="96"/>
      <c r="AH427" s="96"/>
      <c r="AI427" s="96"/>
      <c r="AJ427" s="96"/>
      <c r="AK427" s="96"/>
    </row>
    <row r="428" spans="1:37" s="587" customFormat="1" ht="26.1" customHeight="1">
      <c r="A428" s="583">
        <v>7</v>
      </c>
      <c r="B428" s="602" t="s">
        <v>1788</v>
      </c>
      <c r="C428" s="603"/>
      <c r="D428" s="603">
        <v>2</v>
      </c>
      <c r="E428" s="604">
        <v>2</v>
      </c>
      <c r="F428" s="604">
        <v>2</v>
      </c>
      <c r="G428" s="604">
        <v>2</v>
      </c>
      <c r="H428" s="586">
        <v>1.6</v>
      </c>
      <c r="I428" s="586">
        <v>1.6</v>
      </c>
      <c r="J428" s="597">
        <v>0</v>
      </c>
      <c r="K428" s="597">
        <v>0</v>
      </c>
      <c r="L428" s="605">
        <v>14</v>
      </c>
      <c r="M428" s="605" t="s">
        <v>1786</v>
      </c>
      <c r="N428" s="605">
        <v>14</v>
      </c>
      <c r="O428" s="605" t="s">
        <v>1786</v>
      </c>
      <c r="P428" s="605">
        <v>14</v>
      </c>
      <c r="Q428" s="605" t="s">
        <v>1786</v>
      </c>
      <c r="R428" s="605">
        <v>14</v>
      </c>
      <c r="S428" s="605" t="s">
        <v>1786</v>
      </c>
      <c r="T428" s="600">
        <v>30</v>
      </c>
      <c r="U428" s="601">
        <f t="shared" ref="U428" si="319">C428*H428*J428*T428</f>
        <v>0</v>
      </c>
      <c r="V428" s="588">
        <f t="shared" ref="V428" si="320">D428*H428*L428*T428</f>
        <v>1344.0000000000002</v>
      </c>
      <c r="W428" s="589">
        <f t="shared" ref="W428" si="321">E428*H428*N428*T428</f>
        <v>1344.0000000000002</v>
      </c>
      <c r="X428" s="589">
        <f t="shared" ref="X428" si="322">F428*H428*P428*T428</f>
        <v>1344.0000000000002</v>
      </c>
      <c r="Y428" s="589">
        <f t="shared" ref="Y428" si="323">G428*H428*R428*T428</f>
        <v>1344.0000000000002</v>
      </c>
      <c r="Z428" s="588">
        <f t="shared" ref="Z428" si="324">C428*I428*J428*T428</f>
        <v>0</v>
      </c>
      <c r="AA428" s="588">
        <f t="shared" ref="AA428" si="325">D428*I428*L428*T428</f>
        <v>1344.0000000000002</v>
      </c>
      <c r="AB428" s="589">
        <f t="shared" ref="AB428" si="326">E428*I428*N428*T428</f>
        <v>1344.0000000000002</v>
      </c>
      <c r="AC428" s="589">
        <f t="shared" ref="AC428" si="327">F428*I428*P428*T428</f>
        <v>1344.0000000000002</v>
      </c>
      <c r="AD428" s="96"/>
      <c r="AE428" s="96"/>
      <c r="AF428" s="96"/>
      <c r="AG428" s="96"/>
      <c r="AH428" s="96"/>
      <c r="AI428" s="96"/>
      <c r="AJ428" s="96"/>
      <c r="AK428" s="96"/>
    </row>
    <row r="429" spans="1:37" s="587" customFormat="1" ht="17.25" customHeight="1">
      <c r="A429" s="583">
        <v>8</v>
      </c>
      <c r="B429" s="602" t="s">
        <v>1789</v>
      </c>
      <c r="C429" s="592"/>
      <c r="D429" s="592">
        <v>1</v>
      </c>
      <c r="E429" s="585">
        <v>1</v>
      </c>
      <c r="F429" s="604">
        <v>1</v>
      </c>
      <c r="G429" s="604">
        <v>1</v>
      </c>
      <c r="H429" s="586">
        <v>1.8</v>
      </c>
      <c r="I429" s="586">
        <v>1.8</v>
      </c>
      <c r="J429" s="597">
        <v>0</v>
      </c>
      <c r="K429" s="597">
        <v>0</v>
      </c>
      <c r="L429" s="586" t="s">
        <v>996</v>
      </c>
      <c r="M429" s="586" t="s">
        <v>996</v>
      </c>
      <c r="N429" s="586">
        <v>24</v>
      </c>
      <c r="O429" s="586" t="s">
        <v>996</v>
      </c>
      <c r="P429" s="586">
        <v>24</v>
      </c>
      <c r="Q429" s="586" t="s">
        <v>996</v>
      </c>
      <c r="R429" s="586">
        <v>24</v>
      </c>
      <c r="S429" s="606" t="s">
        <v>996</v>
      </c>
      <c r="T429" s="600">
        <v>30</v>
      </c>
      <c r="U429" s="601"/>
      <c r="V429" s="588"/>
      <c r="W429" s="589"/>
      <c r="X429" s="589"/>
      <c r="Y429" s="589"/>
      <c r="Z429" s="588"/>
      <c r="AA429" s="588"/>
      <c r="AB429" s="589"/>
      <c r="AC429" s="589"/>
      <c r="AD429" s="96"/>
      <c r="AE429" s="96"/>
      <c r="AF429" s="96"/>
      <c r="AG429" s="96"/>
      <c r="AH429" s="96"/>
      <c r="AI429" s="96"/>
      <c r="AJ429" s="96"/>
      <c r="AK429" s="96"/>
    </row>
    <row r="430" spans="1:37" s="613" customFormat="1" ht="16.5">
      <c r="A430" s="583">
        <v>9</v>
      </c>
      <c r="B430" s="607" t="s">
        <v>482</v>
      </c>
      <c r="C430" s="608"/>
      <c r="D430" s="608">
        <v>2</v>
      </c>
      <c r="E430" s="608">
        <v>2</v>
      </c>
      <c r="F430" s="608">
        <v>2</v>
      </c>
      <c r="G430" s="608">
        <v>2</v>
      </c>
      <c r="H430" s="605">
        <v>1.6</v>
      </c>
      <c r="I430" s="605">
        <v>1.6</v>
      </c>
      <c r="J430" s="597">
        <v>0</v>
      </c>
      <c r="K430" s="597">
        <v>0</v>
      </c>
      <c r="L430" s="605">
        <v>14</v>
      </c>
      <c r="M430" s="605" t="s">
        <v>1786</v>
      </c>
      <c r="N430" s="605">
        <v>14</v>
      </c>
      <c r="O430" s="605" t="s">
        <v>1786</v>
      </c>
      <c r="P430" s="605">
        <v>14</v>
      </c>
      <c r="Q430" s="605" t="s">
        <v>1786</v>
      </c>
      <c r="R430" s="605">
        <v>14</v>
      </c>
      <c r="S430" s="605" t="s">
        <v>1786</v>
      </c>
      <c r="T430" s="609">
        <v>30</v>
      </c>
      <c r="U430" s="610">
        <f>C430*H430*J430*T430</f>
        <v>0</v>
      </c>
      <c r="V430" s="611">
        <f>D430*H430*L430*T430</f>
        <v>1344.0000000000002</v>
      </c>
      <c r="W430" s="612">
        <f>E430*H430*N430*T430</f>
        <v>1344.0000000000002</v>
      </c>
      <c r="X430" s="612">
        <f>F430*H430*P430*T430</f>
        <v>1344.0000000000002</v>
      </c>
      <c r="Y430" s="612">
        <f>G430*H430*R430*T430</f>
        <v>1344.0000000000002</v>
      </c>
      <c r="Z430" s="611">
        <f>C430*I430*J430*T430</f>
        <v>0</v>
      </c>
      <c r="AA430" s="611">
        <f>D430*I430*L430*T430</f>
        <v>1344.0000000000002</v>
      </c>
      <c r="AB430" s="612">
        <f>E430*I430*N430*T430</f>
        <v>1344.0000000000002</v>
      </c>
      <c r="AC430" s="612">
        <f>F430*I430*P430*T430</f>
        <v>1344.0000000000002</v>
      </c>
      <c r="AD430" s="96"/>
      <c r="AE430" s="96"/>
      <c r="AF430" s="96"/>
      <c r="AG430" s="96"/>
      <c r="AH430" s="96"/>
      <c r="AI430" s="96"/>
      <c r="AJ430" s="96"/>
      <c r="AK430" s="96"/>
    </row>
    <row r="431" spans="1:37" s="587" customFormat="1" ht="17.25" customHeight="1">
      <c r="A431" s="595"/>
      <c r="B431" s="596" t="s">
        <v>815</v>
      </c>
      <c r="C431" s="592"/>
      <c r="D431" s="809"/>
      <c r="E431" s="810"/>
      <c r="F431" s="810"/>
      <c r="G431" s="810"/>
      <c r="H431" s="810"/>
      <c r="I431" s="810"/>
      <c r="J431" s="810"/>
      <c r="K431" s="810"/>
      <c r="L431" s="810"/>
      <c r="M431" s="810"/>
      <c r="N431" s="810"/>
      <c r="O431" s="810"/>
      <c r="P431" s="810"/>
      <c r="Q431" s="810"/>
      <c r="R431" s="810"/>
      <c r="S431" s="810"/>
      <c r="T431" s="811"/>
      <c r="U431" s="601"/>
      <c r="V431" s="588"/>
      <c r="W431" s="589"/>
      <c r="X431" s="589"/>
      <c r="Y431" s="589"/>
      <c r="Z431" s="588"/>
      <c r="AA431" s="588"/>
      <c r="AB431" s="589"/>
      <c r="AC431" s="589"/>
      <c r="AD431" s="96"/>
      <c r="AE431" s="96"/>
      <c r="AF431" s="96"/>
      <c r="AG431" s="96"/>
      <c r="AH431" s="96"/>
      <c r="AI431" s="96"/>
      <c r="AJ431" s="96"/>
      <c r="AK431" s="96"/>
    </row>
    <row r="432" spans="1:37" s="587" customFormat="1" ht="17.25" customHeight="1">
      <c r="A432" s="583">
        <v>1</v>
      </c>
      <c r="B432" s="602" t="s">
        <v>811</v>
      </c>
      <c r="C432" s="592"/>
      <c r="D432" s="592">
        <v>2</v>
      </c>
      <c r="E432" s="592">
        <v>2</v>
      </c>
      <c r="F432" s="592">
        <v>2</v>
      </c>
      <c r="G432" s="585">
        <v>3</v>
      </c>
      <c r="H432" s="586">
        <v>0.28999999999999998</v>
      </c>
      <c r="I432" s="586">
        <v>0.28999999999999998</v>
      </c>
      <c r="J432" s="597">
        <v>0</v>
      </c>
      <c r="K432" s="597">
        <v>0</v>
      </c>
      <c r="L432" s="586">
        <v>24</v>
      </c>
      <c r="M432" s="586" t="s">
        <v>996</v>
      </c>
      <c r="N432" s="586">
        <v>24</v>
      </c>
      <c r="O432" s="586" t="s">
        <v>996</v>
      </c>
      <c r="P432" s="586">
        <v>24</v>
      </c>
      <c r="Q432" s="586" t="s">
        <v>996</v>
      </c>
      <c r="R432" s="586">
        <v>24</v>
      </c>
      <c r="S432" s="606" t="s">
        <v>996</v>
      </c>
      <c r="T432" s="600">
        <v>30</v>
      </c>
      <c r="U432" s="601"/>
      <c r="V432" s="588"/>
      <c r="W432" s="589"/>
      <c r="X432" s="589"/>
      <c r="Y432" s="589"/>
      <c r="Z432" s="588"/>
      <c r="AA432" s="588"/>
      <c r="AB432" s="589"/>
      <c r="AC432" s="589"/>
      <c r="AD432" s="96"/>
      <c r="AE432" s="96"/>
      <c r="AF432" s="96"/>
      <c r="AG432" s="96"/>
      <c r="AH432" s="96"/>
      <c r="AI432" s="96"/>
      <c r="AJ432" s="96"/>
      <c r="AK432" s="96"/>
    </row>
    <row r="433" spans="1:37" s="587" customFormat="1" ht="17.25" customHeight="1">
      <c r="A433" s="583">
        <v>2</v>
      </c>
      <c r="B433" s="602" t="s">
        <v>1784</v>
      </c>
      <c r="C433" s="592"/>
      <c r="D433" s="592">
        <v>1</v>
      </c>
      <c r="E433" s="592">
        <v>1</v>
      </c>
      <c r="F433" s="592">
        <v>1</v>
      </c>
      <c r="G433" s="592">
        <v>1</v>
      </c>
      <c r="H433" s="586">
        <v>0.28999999999999998</v>
      </c>
      <c r="I433" s="586">
        <v>0.28999999999999998</v>
      </c>
      <c r="J433" s="597">
        <v>0</v>
      </c>
      <c r="K433" s="597">
        <v>0</v>
      </c>
      <c r="L433" s="586">
        <v>24</v>
      </c>
      <c r="M433" s="586" t="s">
        <v>996</v>
      </c>
      <c r="N433" s="586">
        <v>24</v>
      </c>
      <c r="O433" s="586" t="s">
        <v>996</v>
      </c>
      <c r="P433" s="586">
        <v>24</v>
      </c>
      <c r="Q433" s="586" t="s">
        <v>996</v>
      </c>
      <c r="R433" s="586">
        <v>24</v>
      </c>
      <c r="S433" s="606" t="s">
        <v>996</v>
      </c>
      <c r="T433" s="600">
        <v>30</v>
      </c>
      <c r="U433" s="601"/>
      <c r="V433" s="588"/>
      <c r="W433" s="589"/>
      <c r="X433" s="589"/>
      <c r="Y433" s="589"/>
      <c r="Z433" s="588"/>
      <c r="AA433" s="588"/>
      <c r="AB433" s="589"/>
      <c r="AC433" s="589"/>
      <c r="AD433" s="96"/>
      <c r="AE433" s="96"/>
      <c r="AF433" s="96"/>
      <c r="AG433" s="96"/>
      <c r="AH433" s="96"/>
      <c r="AI433" s="96"/>
      <c r="AJ433" s="96"/>
      <c r="AK433" s="96"/>
    </row>
    <row r="434" spans="1:37" s="587" customFormat="1" ht="17.100000000000001" customHeight="1">
      <c r="A434" s="583">
        <v>3</v>
      </c>
      <c r="B434" s="602" t="s">
        <v>813</v>
      </c>
      <c r="C434" s="592"/>
      <c r="D434" s="592">
        <v>1</v>
      </c>
      <c r="E434" s="585">
        <v>1</v>
      </c>
      <c r="F434" s="592">
        <v>1</v>
      </c>
      <c r="G434" s="585">
        <v>1</v>
      </c>
      <c r="H434" s="586">
        <v>0.21</v>
      </c>
      <c r="I434" s="586">
        <v>0.21</v>
      </c>
      <c r="J434" s="597">
        <v>0</v>
      </c>
      <c r="K434" s="597">
        <v>0</v>
      </c>
      <c r="L434" s="586">
        <v>24</v>
      </c>
      <c r="M434" s="586" t="s">
        <v>996</v>
      </c>
      <c r="N434" s="586">
        <v>24</v>
      </c>
      <c r="O434" s="586" t="s">
        <v>996</v>
      </c>
      <c r="P434" s="586">
        <v>24</v>
      </c>
      <c r="Q434" s="586" t="s">
        <v>996</v>
      </c>
      <c r="R434" s="586">
        <v>24</v>
      </c>
      <c r="S434" s="606" t="s">
        <v>996</v>
      </c>
      <c r="T434" s="600">
        <v>30</v>
      </c>
      <c r="U434" s="601"/>
      <c r="V434" s="588"/>
      <c r="W434" s="589"/>
      <c r="X434" s="589"/>
      <c r="Y434" s="589"/>
      <c r="Z434" s="588"/>
      <c r="AA434" s="588"/>
      <c r="AB434" s="589"/>
      <c r="AC434" s="589"/>
      <c r="AD434" s="96"/>
      <c r="AE434" s="96"/>
      <c r="AF434" s="96"/>
      <c r="AG434" s="96"/>
      <c r="AH434" s="96"/>
      <c r="AI434" s="96"/>
      <c r="AJ434" s="96"/>
      <c r="AK434" s="96"/>
    </row>
    <row r="435" spans="1:37" s="587" customFormat="1" ht="17.25" customHeight="1">
      <c r="A435" s="583">
        <v>4</v>
      </c>
      <c r="B435" s="602" t="s">
        <v>469</v>
      </c>
      <c r="C435" s="603"/>
      <c r="D435" s="603">
        <v>1</v>
      </c>
      <c r="E435" s="604">
        <v>1</v>
      </c>
      <c r="F435" s="603">
        <v>1</v>
      </c>
      <c r="G435" s="604">
        <v>1</v>
      </c>
      <c r="H435" s="586">
        <v>1.8</v>
      </c>
      <c r="I435" s="586">
        <v>1.8</v>
      </c>
      <c r="J435" s="597">
        <v>0</v>
      </c>
      <c r="K435" s="597">
        <v>0</v>
      </c>
      <c r="L435" s="586">
        <v>24</v>
      </c>
      <c r="M435" s="586" t="s">
        <v>996</v>
      </c>
      <c r="N435" s="586">
        <v>24</v>
      </c>
      <c r="O435" s="586" t="s">
        <v>996</v>
      </c>
      <c r="P435" s="586">
        <v>24</v>
      </c>
      <c r="Q435" s="586" t="s">
        <v>996</v>
      </c>
      <c r="R435" s="586">
        <v>24</v>
      </c>
      <c r="S435" s="606" t="s">
        <v>996</v>
      </c>
      <c r="T435" s="600">
        <v>30</v>
      </c>
      <c r="U435" s="601">
        <f t="shared" ref="U435" si="328">C435*H435*J435*T435</f>
        <v>0</v>
      </c>
      <c r="V435" s="588">
        <f t="shared" ref="V435" si="329">D435*H435*L435*T435</f>
        <v>1296</v>
      </c>
      <c r="W435" s="589">
        <f t="shared" ref="W435" si="330">E435*H435*N435*T435</f>
        <v>1296</v>
      </c>
      <c r="X435" s="589">
        <f t="shared" ref="X435" si="331">F435*H435*P435*T435</f>
        <v>1296</v>
      </c>
      <c r="Y435" s="589">
        <f t="shared" ref="Y435" si="332">G435*H435*R435*T435</f>
        <v>1296</v>
      </c>
      <c r="Z435" s="588">
        <f t="shared" ref="Z435" si="333">C435*I435*J435*T435</f>
        <v>0</v>
      </c>
      <c r="AA435" s="588">
        <f t="shared" ref="AA435" si="334">D435*I435*L435*T435</f>
        <v>1296</v>
      </c>
      <c r="AB435" s="589">
        <f t="shared" ref="AB435" si="335">E435*I435*N435*T435</f>
        <v>1296</v>
      </c>
      <c r="AC435" s="589">
        <f t="shared" ref="AC435" si="336">F435*I435*P435*T435</f>
        <v>1296</v>
      </c>
      <c r="AD435" s="96"/>
      <c r="AE435" s="96"/>
      <c r="AF435" s="96"/>
      <c r="AG435" s="96"/>
      <c r="AH435" s="96"/>
      <c r="AI435" s="96"/>
      <c r="AJ435" s="96"/>
      <c r="AK435" s="96"/>
    </row>
    <row r="436" spans="1:37" s="591" customFormat="1">
      <c r="A436" s="583">
        <v>5</v>
      </c>
      <c r="B436" s="584" t="s">
        <v>1787</v>
      </c>
      <c r="C436" s="603"/>
      <c r="D436" s="603">
        <v>1</v>
      </c>
      <c r="E436" s="603">
        <v>1</v>
      </c>
      <c r="F436" s="603">
        <v>1</v>
      </c>
      <c r="G436" s="603">
        <v>1</v>
      </c>
      <c r="H436" s="586">
        <v>0.21</v>
      </c>
      <c r="I436" s="586">
        <v>0.21</v>
      </c>
      <c r="J436" s="586"/>
      <c r="K436" s="586"/>
      <c r="L436" s="586">
        <v>24</v>
      </c>
      <c r="M436" s="586" t="s">
        <v>996</v>
      </c>
      <c r="N436" s="586">
        <v>24</v>
      </c>
      <c r="O436" s="586" t="str">
        <f>M436</f>
        <v>24/24</v>
      </c>
      <c r="P436" s="586">
        <v>24</v>
      </c>
      <c r="Q436" s="586" t="str">
        <f>O436</f>
        <v>24/24</v>
      </c>
      <c r="R436" s="586">
        <v>24</v>
      </c>
      <c r="S436" s="606" t="s">
        <v>996</v>
      </c>
      <c r="T436" s="587">
        <v>30</v>
      </c>
      <c r="U436" s="601">
        <f>C436*H436*J436*T436</f>
        <v>0</v>
      </c>
      <c r="V436" s="588">
        <f>D436*H436*L436*T436</f>
        <v>151.19999999999999</v>
      </c>
      <c r="W436" s="589">
        <f>E436*H436*N436*T436</f>
        <v>151.19999999999999</v>
      </c>
      <c r="X436" s="589">
        <f>F436*H436*P436*T436</f>
        <v>151.19999999999999</v>
      </c>
      <c r="Y436" s="589">
        <f>G436*H436*R436*T436</f>
        <v>151.19999999999999</v>
      </c>
      <c r="Z436" s="588">
        <f>C436*I436*J436*T436</f>
        <v>0</v>
      </c>
      <c r="AA436" s="588">
        <f>D436*I436*L436*T436</f>
        <v>151.19999999999999</v>
      </c>
      <c r="AB436" s="589">
        <f>E436*I436*N436*T436</f>
        <v>151.19999999999999</v>
      </c>
      <c r="AC436" s="589">
        <f>F436*I436*P436*T436</f>
        <v>151.19999999999999</v>
      </c>
      <c r="AD436" s="96"/>
      <c r="AE436" s="96"/>
      <c r="AF436" s="96"/>
      <c r="AG436" s="96"/>
      <c r="AH436" s="96"/>
      <c r="AI436" s="96"/>
      <c r="AJ436" s="96"/>
      <c r="AK436" s="96"/>
    </row>
    <row r="437" spans="1:37" s="587" customFormat="1" ht="17.25" customHeight="1">
      <c r="A437" s="583">
        <v>6</v>
      </c>
      <c r="B437" s="602" t="s">
        <v>561</v>
      </c>
      <c r="C437" s="592"/>
      <c r="D437" s="592">
        <v>1</v>
      </c>
      <c r="E437" s="585">
        <v>1</v>
      </c>
      <c r="F437" s="585">
        <v>1</v>
      </c>
      <c r="G437" s="585">
        <v>1</v>
      </c>
      <c r="H437" s="586">
        <v>1.05</v>
      </c>
      <c r="I437" s="586">
        <v>1.05</v>
      </c>
      <c r="J437" s="597">
        <v>0</v>
      </c>
      <c r="K437" s="597">
        <v>0</v>
      </c>
      <c r="L437" s="586">
        <v>24</v>
      </c>
      <c r="M437" s="586" t="s">
        <v>996</v>
      </c>
      <c r="N437" s="586">
        <v>24</v>
      </c>
      <c r="O437" s="586" t="s">
        <v>996</v>
      </c>
      <c r="P437" s="586">
        <v>24</v>
      </c>
      <c r="Q437" s="586" t="s">
        <v>996</v>
      </c>
      <c r="R437" s="586">
        <v>24</v>
      </c>
      <c r="S437" s="606" t="s">
        <v>996</v>
      </c>
      <c r="T437" s="600">
        <v>30</v>
      </c>
      <c r="U437" s="601"/>
      <c r="V437" s="588"/>
      <c r="W437" s="589"/>
      <c r="X437" s="589"/>
      <c r="Y437" s="589"/>
      <c r="Z437" s="588"/>
      <c r="AA437" s="588"/>
      <c r="AB437" s="589"/>
      <c r="AC437" s="589"/>
      <c r="AD437" s="96"/>
      <c r="AE437" s="96"/>
      <c r="AF437" s="96"/>
      <c r="AG437" s="96"/>
      <c r="AH437" s="96"/>
      <c r="AI437" s="96"/>
      <c r="AJ437" s="96"/>
      <c r="AK437" s="96"/>
    </row>
    <row r="438" spans="1:37" s="587" customFormat="1" ht="17.25" customHeight="1">
      <c r="A438" s="583">
        <v>7</v>
      </c>
      <c r="B438" s="602" t="s">
        <v>816</v>
      </c>
      <c r="C438" s="592"/>
      <c r="D438" s="592">
        <v>1</v>
      </c>
      <c r="E438" s="585">
        <v>1</v>
      </c>
      <c r="F438" s="585">
        <v>1</v>
      </c>
      <c r="G438" s="585">
        <v>1</v>
      </c>
      <c r="H438" s="586">
        <v>3</v>
      </c>
      <c r="I438" s="586">
        <v>3</v>
      </c>
      <c r="J438" s="597">
        <v>0</v>
      </c>
      <c r="K438" s="597">
        <v>0</v>
      </c>
      <c r="L438" s="586">
        <v>24</v>
      </c>
      <c r="M438" s="586" t="s">
        <v>996</v>
      </c>
      <c r="N438" s="597">
        <v>8</v>
      </c>
      <c r="O438" s="614" t="s">
        <v>1697</v>
      </c>
      <c r="P438" s="597">
        <v>8</v>
      </c>
      <c r="Q438" s="614" t="s">
        <v>1697</v>
      </c>
      <c r="R438" s="586">
        <v>8</v>
      </c>
      <c r="S438" s="614" t="s">
        <v>1697</v>
      </c>
      <c r="T438" s="600">
        <v>30</v>
      </c>
      <c r="U438" s="601"/>
      <c r="V438" s="588"/>
      <c r="W438" s="589"/>
      <c r="X438" s="589"/>
      <c r="Y438" s="589"/>
      <c r="Z438" s="588"/>
      <c r="AA438" s="588"/>
      <c r="AB438" s="589"/>
      <c r="AC438" s="589"/>
      <c r="AD438" s="96"/>
      <c r="AE438" s="96"/>
      <c r="AF438" s="96"/>
      <c r="AG438" s="96"/>
      <c r="AH438" s="96"/>
      <c r="AI438" s="96"/>
      <c r="AJ438" s="96"/>
      <c r="AK438" s="96"/>
    </row>
    <row r="439" spans="1:37" s="587" customFormat="1" ht="17.100000000000001" customHeight="1">
      <c r="A439" s="583"/>
      <c r="B439" s="596" t="s">
        <v>1790</v>
      </c>
      <c r="C439" s="592"/>
      <c r="D439" s="592"/>
      <c r="E439" s="585"/>
      <c r="F439" s="585"/>
      <c r="G439" s="585"/>
      <c r="H439" s="586"/>
      <c r="I439" s="586"/>
      <c r="J439" s="597"/>
      <c r="K439" s="598"/>
      <c r="L439" s="597"/>
      <c r="M439" s="598"/>
      <c r="N439" s="597"/>
      <c r="O439" s="598"/>
      <c r="P439" s="597"/>
      <c r="Q439" s="598"/>
      <c r="R439" s="597"/>
      <c r="S439" s="599"/>
      <c r="T439" s="600">
        <v>30</v>
      </c>
      <c r="U439" s="601"/>
      <c r="V439" s="588"/>
      <c r="W439" s="589"/>
      <c r="X439" s="589"/>
      <c r="Y439" s="589"/>
      <c r="Z439" s="588"/>
      <c r="AA439" s="588"/>
      <c r="AB439" s="589"/>
      <c r="AC439" s="589"/>
      <c r="AD439" s="96"/>
      <c r="AE439" s="96"/>
      <c r="AF439" s="96"/>
      <c r="AG439" s="96"/>
      <c r="AH439" s="96"/>
      <c r="AI439" s="96"/>
      <c r="AJ439" s="96"/>
      <c r="AK439" s="96"/>
    </row>
    <row r="440" spans="1:37" s="618" customFormat="1" ht="21.95" customHeight="1">
      <c r="A440" s="583">
        <v>1</v>
      </c>
      <c r="B440" s="584" t="s">
        <v>1791</v>
      </c>
      <c r="C440" s="583"/>
      <c r="D440" s="583">
        <v>1</v>
      </c>
      <c r="E440" s="583">
        <v>1</v>
      </c>
      <c r="F440" s="583">
        <v>1</v>
      </c>
      <c r="G440" s="583">
        <v>1</v>
      </c>
      <c r="H440" s="600">
        <v>1.3</v>
      </c>
      <c r="I440" s="600">
        <v>1.3</v>
      </c>
      <c r="J440" s="597">
        <v>0</v>
      </c>
      <c r="K440" s="597">
        <v>0</v>
      </c>
      <c r="L440" s="586">
        <v>7.5</v>
      </c>
      <c r="M440" s="586" t="s">
        <v>1129</v>
      </c>
      <c r="N440" s="586">
        <v>7.5</v>
      </c>
      <c r="O440" s="586" t="s">
        <v>1129</v>
      </c>
      <c r="P440" s="586">
        <v>7.5</v>
      </c>
      <c r="Q440" s="586" t="s">
        <v>1129</v>
      </c>
      <c r="R440" s="586">
        <v>7.5</v>
      </c>
      <c r="S440" s="606" t="s">
        <v>1129</v>
      </c>
      <c r="T440" s="587">
        <v>30</v>
      </c>
      <c r="U440" s="615">
        <f>C440*H440*J440*T440</f>
        <v>0</v>
      </c>
      <c r="V440" s="616">
        <f>D440*H440*L440*T440</f>
        <v>292.5</v>
      </c>
      <c r="W440" s="617">
        <f>E440*H440*N440*T440</f>
        <v>292.5</v>
      </c>
      <c r="X440" s="617">
        <f>F440*H440*P440*T440</f>
        <v>292.5</v>
      </c>
      <c r="Y440" s="617">
        <f>G440*H440*R440*T440</f>
        <v>292.5</v>
      </c>
      <c r="Z440" s="616">
        <f>C440*I440*J440*T440</f>
        <v>0</v>
      </c>
      <c r="AA440" s="616">
        <f>D440*I440*L440*T440</f>
        <v>292.5</v>
      </c>
      <c r="AB440" s="617">
        <f>E440*I440*N440*T440</f>
        <v>292.5</v>
      </c>
      <c r="AC440" s="617">
        <f>F440*I440*P440*T440</f>
        <v>292.5</v>
      </c>
      <c r="AD440" s="96"/>
      <c r="AE440" s="96"/>
      <c r="AF440" s="96"/>
      <c r="AG440" s="96"/>
      <c r="AH440" s="96"/>
      <c r="AI440" s="96"/>
      <c r="AJ440" s="96"/>
      <c r="AK440" s="96"/>
    </row>
    <row r="441" spans="1:37" s="618" customFormat="1" ht="18" customHeight="1">
      <c r="A441" s="583">
        <v>2</v>
      </c>
      <c r="B441" s="584" t="s">
        <v>794</v>
      </c>
      <c r="C441" s="583"/>
      <c r="D441" s="583">
        <v>1</v>
      </c>
      <c r="E441" s="583">
        <v>1</v>
      </c>
      <c r="F441" s="583">
        <v>1</v>
      </c>
      <c r="G441" s="583">
        <v>1</v>
      </c>
      <c r="H441" s="600">
        <v>1.6</v>
      </c>
      <c r="I441" s="600">
        <v>1.6</v>
      </c>
      <c r="J441" s="597">
        <v>0</v>
      </c>
      <c r="K441" s="597">
        <v>0</v>
      </c>
      <c r="L441" s="586">
        <v>7.5</v>
      </c>
      <c r="M441" s="586" t="s">
        <v>1129</v>
      </c>
      <c r="N441" s="586">
        <v>7.5</v>
      </c>
      <c r="O441" s="586" t="s">
        <v>1129</v>
      </c>
      <c r="P441" s="586">
        <v>7.5</v>
      </c>
      <c r="Q441" s="586" t="s">
        <v>1129</v>
      </c>
      <c r="R441" s="586">
        <v>7.5</v>
      </c>
      <c r="S441" s="606" t="s">
        <v>1129</v>
      </c>
      <c r="T441" s="587">
        <v>30</v>
      </c>
      <c r="U441" s="615">
        <f t="shared" ref="U441:U442" si="337">C441*H441*J441*T441</f>
        <v>0</v>
      </c>
      <c r="V441" s="616">
        <f t="shared" ref="V441:V442" si="338">D441*H441*L441*T441</f>
        <v>360</v>
      </c>
      <c r="W441" s="617">
        <f t="shared" ref="W441:W442" si="339">E441*H441*N441*T441</f>
        <v>360</v>
      </c>
      <c r="X441" s="617">
        <f t="shared" ref="X441:X442" si="340">F441*H441*P441*T441</f>
        <v>360</v>
      </c>
      <c r="Y441" s="617">
        <f t="shared" ref="Y441:Y442" si="341">G441*H441*R441*T441</f>
        <v>360</v>
      </c>
      <c r="Z441" s="616">
        <f t="shared" ref="Z441:Z442" si="342">C441*I441*J441*T441</f>
        <v>0</v>
      </c>
      <c r="AA441" s="616">
        <f t="shared" ref="AA441:AA442" si="343">D441*I441*L441*T441</f>
        <v>360</v>
      </c>
      <c r="AB441" s="617">
        <f t="shared" ref="AB441:AB442" si="344">E441*I441*N441*T441</f>
        <v>360</v>
      </c>
      <c r="AC441" s="617">
        <f t="shared" ref="AC441:AC442" si="345">F441*I441*P441*T441</f>
        <v>360</v>
      </c>
      <c r="AD441" s="96"/>
      <c r="AE441" s="96"/>
      <c r="AF441" s="96"/>
      <c r="AG441" s="96"/>
      <c r="AH441" s="96"/>
      <c r="AI441" s="96"/>
      <c r="AJ441" s="96"/>
      <c r="AK441" s="96"/>
    </row>
    <row r="442" spans="1:37" s="587" customFormat="1" ht="17.25" customHeight="1">
      <c r="A442" s="583">
        <v>3</v>
      </c>
      <c r="B442" s="584" t="s">
        <v>474</v>
      </c>
      <c r="C442" s="603"/>
      <c r="D442" s="603">
        <v>1</v>
      </c>
      <c r="E442" s="604">
        <v>1</v>
      </c>
      <c r="F442" s="604">
        <v>1</v>
      </c>
      <c r="G442" s="604">
        <v>1</v>
      </c>
      <c r="H442" s="586">
        <v>1</v>
      </c>
      <c r="I442" s="586">
        <v>1</v>
      </c>
      <c r="J442" s="597">
        <v>0</v>
      </c>
      <c r="K442" s="597">
        <v>0</v>
      </c>
      <c r="L442" s="586">
        <v>6</v>
      </c>
      <c r="M442" s="586" t="s">
        <v>1127</v>
      </c>
      <c r="N442" s="586">
        <v>6</v>
      </c>
      <c r="O442" s="586" t="s">
        <v>1127</v>
      </c>
      <c r="P442" s="586">
        <v>6</v>
      </c>
      <c r="Q442" s="586" t="s">
        <v>1127</v>
      </c>
      <c r="R442" s="586">
        <v>6</v>
      </c>
      <c r="S442" s="606" t="s">
        <v>1127</v>
      </c>
      <c r="T442" s="600">
        <v>30</v>
      </c>
      <c r="U442" s="601">
        <f t="shared" si="337"/>
        <v>0</v>
      </c>
      <c r="V442" s="588">
        <f t="shared" si="338"/>
        <v>180</v>
      </c>
      <c r="W442" s="589">
        <f t="shared" si="339"/>
        <v>180</v>
      </c>
      <c r="X442" s="589">
        <f t="shared" si="340"/>
        <v>180</v>
      </c>
      <c r="Y442" s="589">
        <f t="shared" si="341"/>
        <v>180</v>
      </c>
      <c r="Z442" s="588">
        <f t="shared" si="342"/>
        <v>0</v>
      </c>
      <c r="AA442" s="588">
        <f t="shared" si="343"/>
        <v>180</v>
      </c>
      <c r="AB442" s="589">
        <f t="shared" si="344"/>
        <v>180</v>
      </c>
      <c r="AC442" s="589">
        <f t="shared" si="345"/>
        <v>180</v>
      </c>
      <c r="AD442" s="96"/>
      <c r="AE442" s="96"/>
      <c r="AF442" s="96"/>
      <c r="AG442" s="96"/>
      <c r="AH442" s="96"/>
      <c r="AI442" s="96"/>
      <c r="AJ442" s="96"/>
      <c r="AK442" s="96"/>
    </row>
    <row r="443" spans="1:37" s="587" customFormat="1" ht="17.25" customHeight="1">
      <c r="A443" s="583">
        <v>4</v>
      </c>
      <c r="B443" s="584" t="s">
        <v>817</v>
      </c>
      <c r="C443" s="603"/>
      <c r="D443" s="603">
        <v>1</v>
      </c>
      <c r="E443" s="604">
        <v>1</v>
      </c>
      <c r="F443" s="604">
        <v>1</v>
      </c>
      <c r="G443" s="604">
        <v>1</v>
      </c>
      <c r="H443" s="586">
        <v>10</v>
      </c>
      <c r="I443" s="586">
        <v>10</v>
      </c>
      <c r="J443" s="597">
        <v>0</v>
      </c>
      <c r="K443" s="597">
        <v>0</v>
      </c>
      <c r="L443" s="605">
        <v>14</v>
      </c>
      <c r="M443" s="605" t="s">
        <v>1786</v>
      </c>
      <c r="N443" s="605">
        <v>14</v>
      </c>
      <c r="O443" s="605" t="s">
        <v>1786</v>
      </c>
      <c r="P443" s="605">
        <v>14</v>
      </c>
      <c r="Q443" s="605" t="s">
        <v>1786</v>
      </c>
      <c r="R443" s="605">
        <v>14</v>
      </c>
      <c r="S443" s="605" t="s">
        <v>1786</v>
      </c>
      <c r="T443" s="600">
        <v>30</v>
      </c>
      <c r="U443" s="601"/>
      <c r="V443" s="588"/>
      <c r="W443" s="589"/>
      <c r="X443" s="589"/>
      <c r="Y443" s="589"/>
      <c r="Z443" s="588"/>
      <c r="AA443" s="588"/>
      <c r="AB443" s="589"/>
      <c r="AC443" s="589"/>
      <c r="AD443" s="96"/>
      <c r="AE443" s="96"/>
      <c r="AF443" s="96"/>
      <c r="AG443" s="96"/>
      <c r="AH443" s="96"/>
      <c r="AI443" s="96"/>
      <c r="AJ443" s="96"/>
      <c r="AK443" s="96"/>
    </row>
    <row r="444" spans="1:37" s="587" customFormat="1" ht="17.25" customHeight="1">
      <c r="A444" s="583">
        <v>5</v>
      </c>
      <c r="B444" s="602" t="s">
        <v>439</v>
      </c>
      <c r="C444" s="592"/>
      <c r="D444" s="592">
        <v>1</v>
      </c>
      <c r="E444" s="585">
        <v>1</v>
      </c>
      <c r="F444" s="585">
        <v>1</v>
      </c>
      <c r="G444" s="585">
        <v>1</v>
      </c>
      <c r="H444" s="586">
        <v>0.35</v>
      </c>
      <c r="I444" s="586">
        <v>0.35</v>
      </c>
      <c r="J444" s="597">
        <v>0</v>
      </c>
      <c r="K444" s="597">
        <v>0</v>
      </c>
      <c r="L444" s="586">
        <v>24</v>
      </c>
      <c r="M444" s="586" t="s">
        <v>996</v>
      </c>
      <c r="N444" s="586">
        <v>24</v>
      </c>
      <c r="O444" s="586" t="s">
        <v>996</v>
      </c>
      <c r="P444" s="586">
        <v>24</v>
      </c>
      <c r="Q444" s="586" t="s">
        <v>996</v>
      </c>
      <c r="R444" s="586">
        <v>24</v>
      </c>
      <c r="S444" s="606" t="s">
        <v>996</v>
      </c>
      <c r="T444" s="600">
        <v>30</v>
      </c>
      <c r="U444" s="601"/>
      <c r="V444" s="588"/>
      <c r="W444" s="589"/>
      <c r="X444" s="589"/>
      <c r="Y444" s="589"/>
      <c r="Z444" s="588"/>
      <c r="AA444" s="588"/>
      <c r="AB444" s="589"/>
      <c r="AC444" s="589"/>
      <c r="AD444" s="96"/>
      <c r="AE444" s="96"/>
      <c r="AF444" s="96"/>
      <c r="AG444" s="96"/>
      <c r="AH444" s="96"/>
      <c r="AI444" s="96"/>
      <c r="AJ444" s="96"/>
      <c r="AK444" s="96"/>
    </row>
    <row r="445" spans="1:37" s="591" customFormat="1" ht="21.95" customHeight="1">
      <c r="A445" s="583">
        <v>6</v>
      </c>
      <c r="B445" s="619" t="s">
        <v>677</v>
      </c>
      <c r="C445" s="583"/>
      <c r="D445" s="583">
        <v>2</v>
      </c>
      <c r="E445" s="583">
        <v>2</v>
      </c>
      <c r="F445" s="583">
        <v>2</v>
      </c>
      <c r="G445" s="583">
        <v>2</v>
      </c>
      <c r="H445" s="596">
        <v>0.1</v>
      </c>
      <c r="I445" s="596">
        <v>0.1</v>
      </c>
      <c r="J445" s="597">
        <v>0</v>
      </c>
      <c r="K445" s="597">
        <v>0</v>
      </c>
      <c r="L445" s="605">
        <v>14</v>
      </c>
      <c r="M445" s="605" t="s">
        <v>1786</v>
      </c>
      <c r="N445" s="605">
        <v>14</v>
      </c>
      <c r="O445" s="605" t="s">
        <v>1786</v>
      </c>
      <c r="P445" s="605">
        <v>14</v>
      </c>
      <c r="Q445" s="605" t="s">
        <v>1786</v>
      </c>
      <c r="R445" s="605">
        <v>14</v>
      </c>
      <c r="S445" s="605" t="s">
        <v>1786</v>
      </c>
      <c r="T445" s="600">
        <v>30</v>
      </c>
      <c r="U445" s="601"/>
      <c r="V445" s="588"/>
      <c r="W445" s="589"/>
      <c r="X445" s="589"/>
      <c r="Y445" s="589"/>
      <c r="Z445" s="588"/>
      <c r="AA445" s="588"/>
      <c r="AB445" s="589"/>
      <c r="AC445" s="589"/>
      <c r="AD445" s="96"/>
      <c r="AE445" s="96"/>
      <c r="AF445" s="96"/>
      <c r="AG445" s="96"/>
      <c r="AH445" s="96"/>
      <c r="AI445" s="96"/>
      <c r="AJ445" s="96"/>
      <c r="AK445" s="96"/>
    </row>
    <row r="446" spans="1:37" s="587" customFormat="1" ht="17.25" customHeight="1">
      <c r="A446" s="583"/>
      <c r="B446" s="596" t="s">
        <v>818</v>
      </c>
      <c r="C446" s="592"/>
      <c r="D446" s="592"/>
      <c r="E446" s="585"/>
      <c r="F446" s="585"/>
      <c r="G446" s="585"/>
      <c r="H446" s="586"/>
      <c r="I446" s="586"/>
      <c r="J446" s="597"/>
      <c r="K446" s="598"/>
      <c r="L446" s="597"/>
      <c r="M446" s="598"/>
      <c r="N446" s="597"/>
      <c r="O446" s="598"/>
      <c r="P446" s="597"/>
      <c r="Q446" s="598"/>
      <c r="R446" s="597"/>
      <c r="S446" s="599"/>
      <c r="T446" s="600">
        <v>30</v>
      </c>
      <c r="U446" s="601"/>
      <c r="V446" s="588"/>
      <c r="W446" s="589"/>
      <c r="X446" s="589"/>
      <c r="Y446" s="589"/>
      <c r="Z446" s="588"/>
      <c r="AA446" s="588"/>
      <c r="AB446" s="589"/>
      <c r="AC446" s="589"/>
      <c r="AD446" s="96"/>
      <c r="AE446" s="96"/>
      <c r="AF446" s="96"/>
      <c r="AG446" s="96"/>
      <c r="AH446" s="96"/>
      <c r="AI446" s="96"/>
      <c r="AJ446" s="96"/>
      <c r="AK446" s="96"/>
    </row>
    <row r="447" spans="1:37" s="587" customFormat="1" ht="17.25" customHeight="1">
      <c r="A447" s="583">
        <v>1</v>
      </c>
      <c r="B447" s="602" t="s">
        <v>813</v>
      </c>
      <c r="C447" s="592"/>
      <c r="D447" s="592">
        <v>1</v>
      </c>
      <c r="E447" s="592">
        <v>1</v>
      </c>
      <c r="F447" s="592">
        <v>1</v>
      </c>
      <c r="G447" s="592">
        <v>1</v>
      </c>
      <c r="H447" s="586">
        <v>0.21</v>
      </c>
      <c r="I447" s="586">
        <v>0.21</v>
      </c>
      <c r="J447" s="597"/>
      <c r="K447" s="598"/>
      <c r="L447" s="586">
        <v>24</v>
      </c>
      <c r="M447" s="586" t="s">
        <v>996</v>
      </c>
      <c r="N447" s="586">
        <v>24</v>
      </c>
      <c r="O447" s="586" t="s">
        <v>996</v>
      </c>
      <c r="P447" s="586">
        <v>24</v>
      </c>
      <c r="Q447" s="586" t="s">
        <v>996</v>
      </c>
      <c r="R447" s="586">
        <v>24</v>
      </c>
      <c r="S447" s="606" t="s">
        <v>996</v>
      </c>
      <c r="T447" s="600">
        <v>30</v>
      </c>
      <c r="U447" s="601"/>
      <c r="V447" s="588"/>
      <c r="W447" s="589"/>
      <c r="X447" s="589"/>
      <c r="Y447" s="589"/>
      <c r="Z447" s="588"/>
      <c r="AA447" s="588"/>
      <c r="AB447" s="589"/>
      <c r="AC447" s="589"/>
      <c r="AD447" s="96"/>
      <c r="AE447" s="96"/>
      <c r="AF447" s="96"/>
      <c r="AG447" s="96"/>
      <c r="AH447" s="96"/>
      <c r="AI447" s="96"/>
      <c r="AJ447" s="96"/>
      <c r="AK447" s="96"/>
    </row>
    <row r="448" spans="1:37" s="587" customFormat="1" ht="17.25" customHeight="1">
      <c r="A448" s="583">
        <v>2</v>
      </c>
      <c r="B448" s="584" t="s">
        <v>819</v>
      </c>
      <c r="C448" s="603"/>
      <c r="D448" s="603">
        <v>1</v>
      </c>
      <c r="E448" s="604">
        <v>1</v>
      </c>
      <c r="F448" s="604">
        <v>1</v>
      </c>
      <c r="G448" s="604">
        <v>1</v>
      </c>
      <c r="H448" s="586">
        <v>8.1</v>
      </c>
      <c r="I448" s="586">
        <v>8.1</v>
      </c>
      <c r="J448" s="586"/>
      <c r="K448" s="586"/>
      <c r="L448" s="605">
        <v>14</v>
      </c>
      <c r="M448" s="605" t="s">
        <v>1786</v>
      </c>
      <c r="N448" s="605">
        <v>14</v>
      </c>
      <c r="O448" s="605" t="s">
        <v>1786</v>
      </c>
      <c r="P448" s="605">
        <v>14</v>
      </c>
      <c r="Q448" s="605" t="s">
        <v>1786</v>
      </c>
      <c r="R448" s="605">
        <v>14</v>
      </c>
      <c r="S448" s="605" t="s">
        <v>1786</v>
      </c>
      <c r="T448" s="600">
        <v>30</v>
      </c>
      <c r="U448" s="601"/>
      <c r="V448" s="588"/>
      <c r="W448" s="589"/>
      <c r="X448" s="589"/>
      <c r="Y448" s="589"/>
      <c r="Z448" s="588"/>
      <c r="AA448" s="588"/>
      <c r="AB448" s="589"/>
      <c r="AC448" s="589"/>
      <c r="AD448" s="96"/>
      <c r="AE448" s="96"/>
      <c r="AF448" s="96"/>
      <c r="AG448" s="96"/>
      <c r="AH448" s="96"/>
      <c r="AI448" s="96"/>
      <c r="AJ448" s="96"/>
      <c r="AK448" s="96"/>
    </row>
    <row r="449" spans="1:37" s="587" customFormat="1" ht="17.25" customHeight="1">
      <c r="A449" s="583">
        <v>3</v>
      </c>
      <c r="B449" s="602" t="s">
        <v>469</v>
      </c>
      <c r="C449" s="603"/>
      <c r="D449" s="603">
        <v>3</v>
      </c>
      <c r="E449" s="603">
        <v>3</v>
      </c>
      <c r="F449" s="603">
        <v>3</v>
      </c>
      <c r="G449" s="603">
        <v>3</v>
      </c>
      <c r="H449" s="586">
        <v>1.8</v>
      </c>
      <c r="I449" s="586">
        <v>1.8</v>
      </c>
      <c r="J449" s="597">
        <v>0</v>
      </c>
      <c r="K449" s="597">
        <v>0</v>
      </c>
      <c r="L449" s="586">
        <v>24</v>
      </c>
      <c r="M449" s="586" t="s">
        <v>996</v>
      </c>
      <c r="N449" s="586">
        <v>24</v>
      </c>
      <c r="O449" s="586" t="s">
        <v>996</v>
      </c>
      <c r="P449" s="586">
        <v>24</v>
      </c>
      <c r="Q449" s="586" t="s">
        <v>996</v>
      </c>
      <c r="R449" s="586">
        <v>24</v>
      </c>
      <c r="S449" s="606" t="s">
        <v>996</v>
      </c>
      <c r="T449" s="600">
        <v>30</v>
      </c>
      <c r="U449" s="601">
        <f t="shared" ref="U449" si="346">C449*H449*J449*T449</f>
        <v>0</v>
      </c>
      <c r="V449" s="588">
        <f t="shared" ref="V449" si="347">D449*H449*L449*T449</f>
        <v>3888.0000000000009</v>
      </c>
      <c r="W449" s="589">
        <f t="shared" ref="W449" si="348">E449*H449*N449*T449</f>
        <v>3888.0000000000009</v>
      </c>
      <c r="X449" s="589">
        <f t="shared" ref="X449" si="349">F449*H449*P449*T449</f>
        <v>3888.0000000000009</v>
      </c>
      <c r="Y449" s="589">
        <f t="shared" ref="Y449" si="350">G449*H449*R449*T449</f>
        <v>3888.0000000000009</v>
      </c>
      <c r="Z449" s="588">
        <f t="shared" ref="Z449" si="351">C449*I449*J449*T449</f>
        <v>0</v>
      </c>
      <c r="AA449" s="588">
        <f t="shared" ref="AA449" si="352">D449*I449*L449*T449</f>
        <v>3888.0000000000009</v>
      </c>
      <c r="AB449" s="589">
        <f t="shared" ref="AB449" si="353">E449*I449*N449*T449</f>
        <v>3888.0000000000009</v>
      </c>
      <c r="AC449" s="589">
        <f t="shared" ref="AC449" si="354">F449*I449*P449*T449</f>
        <v>3888.0000000000009</v>
      </c>
      <c r="AD449" s="96"/>
      <c r="AE449" s="96"/>
      <c r="AF449" s="96"/>
      <c r="AG449" s="96"/>
      <c r="AH449" s="96"/>
      <c r="AI449" s="96"/>
      <c r="AJ449" s="96"/>
      <c r="AK449" s="96"/>
    </row>
    <row r="450" spans="1:37" s="587" customFormat="1" ht="17.100000000000001" customHeight="1">
      <c r="A450" s="583">
        <v>4</v>
      </c>
      <c r="B450" s="584" t="s">
        <v>1792</v>
      </c>
      <c r="C450" s="603"/>
      <c r="D450" s="603">
        <v>1</v>
      </c>
      <c r="E450" s="604">
        <v>1</v>
      </c>
      <c r="F450" s="604">
        <v>1</v>
      </c>
      <c r="G450" s="604">
        <v>1</v>
      </c>
      <c r="H450" s="586">
        <v>420</v>
      </c>
      <c r="I450" s="586">
        <v>420</v>
      </c>
      <c r="J450" s="586">
        <v>24</v>
      </c>
      <c r="K450" s="586"/>
      <c r="L450" s="586">
        <v>24</v>
      </c>
      <c r="M450" s="586" t="s">
        <v>996</v>
      </c>
      <c r="N450" s="586">
        <v>24</v>
      </c>
      <c r="O450" s="586" t="s">
        <v>996</v>
      </c>
      <c r="P450" s="586">
        <v>24</v>
      </c>
      <c r="Q450" s="586" t="s">
        <v>996</v>
      </c>
      <c r="R450" s="586">
        <v>24</v>
      </c>
      <c r="S450" s="606" t="s">
        <v>996</v>
      </c>
      <c r="T450" s="600">
        <v>30</v>
      </c>
      <c r="U450" s="601">
        <f>C450*H450*J450*T450</f>
        <v>0</v>
      </c>
      <c r="V450" s="588">
        <f>D450*H450*L450*T450</f>
        <v>302400</v>
      </c>
      <c r="W450" s="589">
        <f>E450*H450*N450*T450</f>
        <v>302400</v>
      </c>
      <c r="X450" s="589">
        <f>F450*H450*P450*T450</f>
        <v>302400</v>
      </c>
      <c r="Y450" s="589">
        <f>G450*H450*R450*T450</f>
        <v>302400</v>
      </c>
      <c r="Z450" s="588">
        <f>C450*I450*J450*T450</f>
        <v>0</v>
      </c>
      <c r="AA450" s="588">
        <f>D450*I450*L450*T450</f>
        <v>302400</v>
      </c>
      <c r="AB450" s="589">
        <f>E450*I450*N450*T450</f>
        <v>302400</v>
      </c>
      <c r="AC450" s="589">
        <f>F450*I450*P450*T450</f>
        <v>302400</v>
      </c>
      <c r="AD450" s="96"/>
      <c r="AE450" s="96"/>
      <c r="AF450" s="96"/>
      <c r="AG450" s="96"/>
      <c r="AH450" s="96"/>
      <c r="AI450" s="96"/>
      <c r="AJ450" s="96"/>
      <c r="AK450" s="96"/>
    </row>
    <row r="451" spans="1:37" s="587" customFormat="1" ht="17.25" customHeight="1">
      <c r="A451" s="583">
        <v>5</v>
      </c>
      <c r="B451" s="584" t="s">
        <v>1793</v>
      </c>
      <c r="C451" s="603"/>
      <c r="D451" s="603">
        <v>1</v>
      </c>
      <c r="E451" s="604">
        <v>1</v>
      </c>
      <c r="F451" s="604">
        <v>1</v>
      </c>
      <c r="G451" s="604">
        <v>1</v>
      </c>
      <c r="H451" s="586">
        <v>6</v>
      </c>
      <c r="I451" s="586">
        <v>6</v>
      </c>
      <c r="J451" s="586"/>
      <c r="K451" s="586"/>
      <c r="L451" s="586">
        <v>24</v>
      </c>
      <c r="M451" s="586" t="s">
        <v>996</v>
      </c>
      <c r="N451" s="586">
        <v>24</v>
      </c>
      <c r="O451" s="586" t="s">
        <v>996</v>
      </c>
      <c r="P451" s="586">
        <v>24</v>
      </c>
      <c r="Q451" s="586" t="s">
        <v>996</v>
      </c>
      <c r="R451" s="586">
        <v>24</v>
      </c>
      <c r="S451" s="606" t="s">
        <v>996</v>
      </c>
      <c r="T451" s="600">
        <v>30</v>
      </c>
      <c r="U451" s="601">
        <f>C451*H451*J451*T451</f>
        <v>0</v>
      </c>
      <c r="V451" s="588">
        <f>D451*H451*L451*T451</f>
        <v>4320</v>
      </c>
      <c r="W451" s="589">
        <f>E451*H451*N451*T451</f>
        <v>4320</v>
      </c>
      <c r="X451" s="589">
        <f>F451*H451*P451*T451</f>
        <v>4320</v>
      </c>
      <c r="Y451" s="589">
        <f>G451*H451*R451*T451</f>
        <v>4320</v>
      </c>
      <c r="Z451" s="588">
        <f>C451*I451*J451*T451</f>
        <v>0</v>
      </c>
      <c r="AA451" s="588">
        <f>D451*I451*L451*T451</f>
        <v>4320</v>
      </c>
      <c r="AB451" s="589">
        <f>E451*I451*N451*T451</f>
        <v>4320</v>
      </c>
      <c r="AC451" s="589">
        <f>F451*I451*P451*T451</f>
        <v>4320</v>
      </c>
      <c r="AD451" s="96"/>
      <c r="AE451" s="96"/>
      <c r="AF451" s="96"/>
      <c r="AG451" s="96"/>
      <c r="AH451" s="96"/>
      <c r="AI451" s="96"/>
      <c r="AJ451" s="96"/>
      <c r="AK451" s="96"/>
    </row>
    <row r="452" spans="1:37" s="587" customFormat="1" ht="17.25" customHeight="1">
      <c r="A452" s="583">
        <v>6</v>
      </c>
      <c r="B452" s="584" t="s">
        <v>345</v>
      </c>
      <c r="C452" s="603"/>
      <c r="D452" s="603">
        <v>1</v>
      </c>
      <c r="E452" s="604">
        <v>1</v>
      </c>
      <c r="F452" s="604">
        <v>1</v>
      </c>
      <c r="G452" s="604">
        <v>1</v>
      </c>
      <c r="H452" s="586">
        <v>4</v>
      </c>
      <c r="I452" s="586">
        <v>4</v>
      </c>
      <c r="J452" s="586">
        <v>24</v>
      </c>
      <c r="K452" s="586"/>
      <c r="L452" s="586">
        <v>24</v>
      </c>
      <c r="M452" s="586" t="s">
        <v>996</v>
      </c>
      <c r="N452" s="586">
        <v>24</v>
      </c>
      <c r="O452" s="586" t="s">
        <v>996</v>
      </c>
      <c r="P452" s="586">
        <v>24</v>
      </c>
      <c r="Q452" s="586" t="s">
        <v>996</v>
      </c>
      <c r="R452" s="586">
        <v>24</v>
      </c>
      <c r="S452" s="606" t="s">
        <v>996</v>
      </c>
      <c r="T452" s="600">
        <v>30</v>
      </c>
      <c r="U452" s="601"/>
      <c r="V452" s="588"/>
      <c r="W452" s="589"/>
      <c r="X452" s="589"/>
      <c r="Y452" s="589"/>
      <c r="Z452" s="588"/>
      <c r="AA452" s="588"/>
      <c r="AB452" s="589"/>
      <c r="AC452" s="589"/>
      <c r="AD452" s="96"/>
      <c r="AE452" s="96"/>
      <c r="AF452" s="96"/>
      <c r="AG452" s="96"/>
      <c r="AH452" s="96"/>
      <c r="AI452" s="96"/>
      <c r="AJ452" s="96"/>
      <c r="AK452" s="96"/>
    </row>
    <row r="453" spans="1:37" s="587" customFormat="1" ht="17.25" customHeight="1">
      <c r="A453" s="583">
        <v>7</v>
      </c>
      <c r="B453" s="584" t="s">
        <v>820</v>
      </c>
      <c r="C453" s="603"/>
      <c r="D453" s="603">
        <v>1</v>
      </c>
      <c r="E453" s="604">
        <v>1</v>
      </c>
      <c r="F453" s="604">
        <v>1</v>
      </c>
      <c r="G453" s="604">
        <v>1</v>
      </c>
      <c r="H453" s="586">
        <v>0.8</v>
      </c>
      <c r="I453" s="586">
        <v>0.8</v>
      </c>
      <c r="J453" s="586">
        <v>24</v>
      </c>
      <c r="K453" s="586"/>
      <c r="L453" s="586">
        <v>15</v>
      </c>
      <c r="M453" s="620" t="s">
        <v>1135</v>
      </c>
      <c r="N453" s="586">
        <v>15</v>
      </c>
      <c r="O453" s="620" t="s">
        <v>1135</v>
      </c>
      <c r="P453" s="586">
        <v>15</v>
      </c>
      <c r="Q453" s="620" t="s">
        <v>1135</v>
      </c>
      <c r="R453" s="586">
        <v>15</v>
      </c>
      <c r="S453" s="621" t="s">
        <v>1135</v>
      </c>
      <c r="T453" s="600">
        <v>30</v>
      </c>
      <c r="U453" s="601">
        <f t="shared" ref="U453:U454" si="355">C453*H453*J453*T453</f>
        <v>0</v>
      </c>
      <c r="V453" s="588">
        <f t="shared" ref="V453:V454" si="356">D453*H453*L453*T453</f>
        <v>360</v>
      </c>
      <c r="W453" s="589">
        <f t="shared" ref="W453:W454" si="357">E453*H453*N453*T453</f>
        <v>360</v>
      </c>
      <c r="X453" s="589">
        <f t="shared" ref="X453:X454" si="358">F453*H453*P453*T453</f>
        <v>360</v>
      </c>
      <c r="Y453" s="589">
        <f t="shared" ref="Y453:Y454" si="359">G453*H453*R453*T453</f>
        <v>360</v>
      </c>
      <c r="Z453" s="588">
        <f t="shared" ref="Z453:Z454" si="360">C453*I453*J453*T453</f>
        <v>0</v>
      </c>
      <c r="AA453" s="588">
        <f t="shared" ref="AA453:AA454" si="361">D453*I453*L453*T453</f>
        <v>360</v>
      </c>
      <c r="AB453" s="589">
        <f t="shared" ref="AB453:AB454" si="362">E453*I453*N453*T453</f>
        <v>360</v>
      </c>
      <c r="AC453" s="589">
        <f t="shared" ref="AC453:AC454" si="363">F453*I453*P453*T453</f>
        <v>360</v>
      </c>
      <c r="AD453" s="96"/>
      <c r="AE453" s="96"/>
      <c r="AF453" s="96"/>
      <c r="AG453" s="96"/>
      <c r="AH453" s="96"/>
      <c r="AI453" s="96"/>
      <c r="AJ453" s="96"/>
      <c r="AK453" s="96"/>
    </row>
    <row r="454" spans="1:37" s="587" customFormat="1" ht="17.25" customHeight="1">
      <c r="A454" s="583">
        <v>8</v>
      </c>
      <c r="B454" s="584" t="s">
        <v>821</v>
      </c>
      <c r="C454" s="603">
        <v>1</v>
      </c>
      <c r="D454" s="603">
        <v>1</v>
      </c>
      <c r="E454" s="604">
        <v>1</v>
      </c>
      <c r="F454" s="604">
        <v>1</v>
      </c>
      <c r="G454" s="604">
        <v>1</v>
      </c>
      <c r="H454" s="586">
        <v>0.8</v>
      </c>
      <c r="I454" s="586">
        <v>0.8</v>
      </c>
      <c r="J454" s="586">
        <v>24</v>
      </c>
      <c r="K454" s="586"/>
      <c r="L454" s="586">
        <v>15</v>
      </c>
      <c r="M454" s="620" t="s">
        <v>1135</v>
      </c>
      <c r="N454" s="586">
        <v>15</v>
      </c>
      <c r="O454" s="620" t="s">
        <v>1135</v>
      </c>
      <c r="P454" s="586">
        <v>15</v>
      </c>
      <c r="Q454" s="620" t="s">
        <v>1135</v>
      </c>
      <c r="R454" s="586">
        <v>15</v>
      </c>
      <c r="S454" s="621" t="s">
        <v>1135</v>
      </c>
      <c r="T454" s="600">
        <v>30</v>
      </c>
      <c r="U454" s="601">
        <f t="shared" si="355"/>
        <v>576.00000000000011</v>
      </c>
      <c r="V454" s="588">
        <f t="shared" si="356"/>
        <v>360</v>
      </c>
      <c r="W454" s="589">
        <f t="shared" si="357"/>
        <v>360</v>
      </c>
      <c r="X454" s="589">
        <f t="shared" si="358"/>
        <v>360</v>
      </c>
      <c r="Y454" s="589">
        <f t="shared" si="359"/>
        <v>360</v>
      </c>
      <c r="Z454" s="588">
        <f t="shared" si="360"/>
        <v>576.00000000000011</v>
      </c>
      <c r="AA454" s="588">
        <f t="shared" si="361"/>
        <v>360</v>
      </c>
      <c r="AB454" s="589">
        <f t="shared" si="362"/>
        <v>360</v>
      </c>
      <c r="AC454" s="589">
        <f t="shared" si="363"/>
        <v>360</v>
      </c>
      <c r="AD454" s="96"/>
      <c r="AE454" s="96"/>
      <c r="AF454" s="96"/>
      <c r="AG454" s="96"/>
      <c r="AH454" s="96"/>
      <c r="AI454" s="96"/>
      <c r="AJ454" s="96"/>
      <c r="AK454" s="96"/>
    </row>
    <row r="455" spans="1:37" s="587" customFormat="1" ht="17.100000000000001" customHeight="1">
      <c r="A455" s="583"/>
      <c r="B455" s="596" t="s">
        <v>1794</v>
      </c>
      <c r="C455" s="592"/>
      <c r="D455" s="592"/>
      <c r="E455" s="585"/>
      <c r="F455" s="585"/>
      <c r="G455" s="585"/>
      <c r="H455" s="586"/>
      <c r="I455" s="586"/>
      <c r="J455" s="597"/>
      <c r="K455" s="598"/>
      <c r="L455" s="597"/>
      <c r="M455" s="598"/>
      <c r="N455" s="597"/>
      <c r="O455" s="598"/>
      <c r="P455" s="597"/>
      <c r="Q455" s="598"/>
      <c r="R455" s="597"/>
      <c r="S455" s="599"/>
      <c r="T455" s="600">
        <v>30</v>
      </c>
      <c r="U455" s="601"/>
      <c r="V455" s="588"/>
      <c r="W455" s="589"/>
      <c r="X455" s="589"/>
      <c r="Y455" s="589"/>
      <c r="Z455" s="588"/>
      <c r="AA455" s="588"/>
      <c r="AB455" s="589"/>
      <c r="AC455" s="589"/>
      <c r="AD455" s="96"/>
      <c r="AE455" s="96"/>
      <c r="AF455" s="96"/>
      <c r="AG455" s="96"/>
      <c r="AH455" s="96"/>
      <c r="AI455" s="96"/>
      <c r="AJ455" s="96"/>
      <c r="AK455" s="96"/>
    </row>
    <row r="456" spans="1:37" s="587" customFormat="1" ht="17.25" customHeight="1">
      <c r="A456" s="583">
        <v>1</v>
      </c>
      <c r="B456" s="584" t="s">
        <v>817</v>
      </c>
      <c r="C456" s="603"/>
      <c r="D456" s="603">
        <v>1</v>
      </c>
      <c r="E456" s="604">
        <v>1</v>
      </c>
      <c r="F456" s="604">
        <v>1</v>
      </c>
      <c r="G456" s="604">
        <v>1</v>
      </c>
      <c r="H456" s="586">
        <v>10</v>
      </c>
      <c r="I456" s="586">
        <v>10</v>
      </c>
      <c r="J456" s="597">
        <v>0</v>
      </c>
      <c r="K456" s="597">
        <v>0</v>
      </c>
      <c r="L456" s="605">
        <v>14</v>
      </c>
      <c r="M456" s="605" t="s">
        <v>1786</v>
      </c>
      <c r="N456" s="586">
        <v>7</v>
      </c>
      <c r="O456" s="586" t="s">
        <v>1130</v>
      </c>
      <c r="P456" s="586">
        <v>7</v>
      </c>
      <c r="Q456" s="586" t="s">
        <v>1130</v>
      </c>
      <c r="R456" s="586">
        <v>7</v>
      </c>
      <c r="S456" s="586" t="s">
        <v>1130</v>
      </c>
      <c r="T456" s="600">
        <v>30</v>
      </c>
      <c r="U456" s="601"/>
      <c r="V456" s="588"/>
      <c r="W456" s="589"/>
      <c r="X456" s="589"/>
      <c r="Y456" s="589"/>
      <c r="Z456" s="588"/>
      <c r="AA456" s="588"/>
      <c r="AB456" s="589"/>
      <c r="AC456" s="589"/>
      <c r="AD456" s="96"/>
      <c r="AE456" s="96"/>
      <c r="AF456" s="96"/>
      <c r="AG456" s="96"/>
      <c r="AH456" s="96"/>
      <c r="AI456" s="96"/>
      <c r="AJ456" s="96"/>
      <c r="AK456" s="96"/>
    </row>
    <row r="457" spans="1:37" s="587" customFormat="1" ht="17.25" customHeight="1">
      <c r="A457" s="583">
        <v>2</v>
      </c>
      <c r="B457" s="584" t="s">
        <v>1795</v>
      </c>
      <c r="C457" s="603"/>
      <c r="D457" s="603">
        <v>1</v>
      </c>
      <c r="E457" s="604">
        <v>1</v>
      </c>
      <c r="F457" s="604">
        <v>1</v>
      </c>
      <c r="G457" s="604">
        <v>1</v>
      </c>
      <c r="H457" s="586">
        <v>3000</v>
      </c>
      <c r="I457" s="586">
        <v>3000</v>
      </c>
      <c r="J457" s="597">
        <v>0</v>
      </c>
      <c r="K457" s="597">
        <v>0</v>
      </c>
      <c r="L457" s="586">
        <v>6</v>
      </c>
      <c r="M457" s="586" t="s">
        <v>1127</v>
      </c>
      <c r="N457" s="586">
        <v>7</v>
      </c>
      <c r="O457" s="586" t="s">
        <v>1130</v>
      </c>
      <c r="P457" s="586">
        <v>7</v>
      </c>
      <c r="Q457" s="586" t="s">
        <v>1130</v>
      </c>
      <c r="R457" s="586">
        <v>7</v>
      </c>
      <c r="S457" s="586" t="s">
        <v>1130</v>
      </c>
      <c r="T457" s="600">
        <v>30</v>
      </c>
      <c r="U457" s="601">
        <f t="shared" ref="U457" si="364">C457*H457*J457*T457</f>
        <v>0</v>
      </c>
      <c r="V457" s="588">
        <f t="shared" ref="V457" si="365">D457*H457*L457*T457</f>
        <v>540000</v>
      </c>
      <c r="W457" s="589">
        <f t="shared" ref="W457" si="366">E457*H457*N457*T457</f>
        <v>630000</v>
      </c>
      <c r="X457" s="589">
        <f t="shared" ref="X457" si="367">F457*H457*P457*T457</f>
        <v>630000</v>
      </c>
      <c r="Y457" s="589">
        <f t="shared" ref="Y457" si="368">G457*H457*R457*T457</f>
        <v>630000</v>
      </c>
      <c r="Z457" s="588">
        <f t="shared" ref="Z457" si="369">C457*I457*J457*T457</f>
        <v>0</v>
      </c>
      <c r="AA457" s="588">
        <f t="shared" ref="AA457" si="370">D457*I457*L457*T457</f>
        <v>540000</v>
      </c>
      <c r="AB457" s="589">
        <f t="shared" ref="AB457" si="371">E457*I457*N457*T457</f>
        <v>630000</v>
      </c>
      <c r="AC457" s="589">
        <f t="shared" ref="AC457" si="372">F457*I457*P457*T457</f>
        <v>630000</v>
      </c>
      <c r="AD457" s="96"/>
      <c r="AE457" s="96"/>
      <c r="AF457" s="96"/>
      <c r="AG457" s="96"/>
      <c r="AH457" s="96"/>
      <c r="AI457" s="96"/>
      <c r="AJ457" s="96"/>
      <c r="AK457" s="96"/>
    </row>
    <row r="458" spans="1:37" s="587" customFormat="1" ht="17.25" customHeight="1">
      <c r="A458" s="583">
        <v>3</v>
      </c>
      <c r="B458" s="602" t="s">
        <v>439</v>
      </c>
      <c r="C458" s="592"/>
      <c r="D458" s="592">
        <v>1</v>
      </c>
      <c r="E458" s="585">
        <v>1</v>
      </c>
      <c r="F458" s="585">
        <v>1</v>
      </c>
      <c r="G458" s="585">
        <v>1</v>
      </c>
      <c r="H458" s="586">
        <v>0.35</v>
      </c>
      <c r="I458" s="586">
        <v>0.35</v>
      </c>
      <c r="J458" s="597">
        <v>0</v>
      </c>
      <c r="K458" s="597">
        <v>0</v>
      </c>
      <c r="L458" s="586">
        <v>24</v>
      </c>
      <c r="M458" s="586" t="s">
        <v>996</v>
      </c>
      <c r="N458" s="586">
        <v>24</v>
      </c>
      <c r="O458" s="586" t="s">
        <v>996</v>
      </c>
      <c r="P458" s="586">
        <v>24</v>
      </c>
      <c r="Q458" s="586" t="s">
        <v>996</v>
      </c>
      <c r="R458" s="586">
        <v>24</v>
      </c>
      <c r="S458" s="606" t="s">
        <v>996</v>
      </c>
      <c r="T458" s="600">
        <v>30</v>
      </c>
      <c r="U458" s="601"/>
      <c r="V458" s="588"/>
      <c r="W458" s="589"/>
      <c r="X458" s="589"/>
      <c r="Y458" s="589"/>
      <c r="Z458" s="588"/>
      <c r="AA458" s="588"/>
      <c r="AB458" s="589"/>
      <c r="AC458" s="589"/>
      <c r="AD458" s="96"/>
      <c r="AE458" s="96"/>
      <c r="AF458" s="96"/>
      <c r="AG458" s="96"/>
      <c r="AH458" s="96"/>
      <c r="AI458" s="96"/>
      <c r="AJ458" s="96"/>
      <c r="AK458" s="96"/>
    </row>
    <row r="459" spans="1:37" s="587" customFormat="1" ht="17.25" customHeight="1">
      <c r="A459" s="583"/>
      <c r="B459" s="596" t="s">
        <v>1796</v>
      </c>
      <c r="C459" s="592"/>
      <c r="D459" s="806"/>
      <c r="E459" s="807"/>
      <c r="F459" s="807"/>
      <c r="G459" s="807"/>
      <c r="H459" s="807"/>
      <c r="I459" s="807"/>
      <c r="J459" s="807"/>
      <c r="K459" s="807"/>
      <c r="L459" s="807"/>
      <c r="M459" s="807"/>
      <c r="N459" s="807"/>
      <c r="O459" s="807"/>
      <c r="P459" s="807"/>
      <c r="Q459" s="807"/>
      <c r="R459" s="807"/>
      <c r="S459" s="807"/>
      <c r="T459" s="808"/>
      <c r="U459" s="601"/>
      <c r="V459" s="588"/>
      <c r="W459" s="589"/>
      <c r="X459" s="589"/>
      <c r="Y459" s="589"/>
      <c r="Z459" s="588"/>
      <c r="AA459" s="588"/>
      <c r="AB459" s="589"/>
      <c r="AC459" s="589"/>
      <c r="AD459" s="96"/>
      <c r="AE459" s="96"/>
      <c r="AF459" s="96"/>
      <c r="AG459" s="96"/>
      <c r="AH459" s="96"/>
      <c r="AI459" s="96"/>
      <c r="AJ459" s="96"/>
      <c r="AK459" s="96"/>
    </row>
    <row r="460" spans="1:37" s="587" customFormat="1" ht="21.6" customHeight="1">
      <c r="A460" s="583">
        <v>1</v>
      </c>
      <c r="B460" s="602" t="s">
        <v>470</v>
      </c>
      <c r="C460" s="603"/>
      <c r="D460" s="603">
        <v>1</v>
      </c>
      <c r="E460" s="604">
        <v>1</v>
      </c>
      <c r="F460" s="604">
        <v>1</v>
      </c>
      <c r="G460" s="604">
        <v>1</v>
      </c>
      <c r="H460" s="586">
        <v>15</v>
      </c>
      <c r="I460" s="586">
        <v>15</v>
      </c>
      <c r="J460" s="597">
        <v>0</v>
      </c>
      <c r="K460" s="597">
        <v>0</v>
      </c>
      <c r="L460" s="586">
        <v>6</v>
      </c>
      <c r="M460" s="586" t="s">
        <v>1127</v>
      </c>
      <c r="N460" s="586">
        <v>7</v>
      </c>
      <c r="O460" s="586" t="s">
        <v>1130</v>
      </c>
      <c r="P460" s="586">
        <v>7</v>
      </c>
      <c r="Q460" s="586" t="s">
        <v>1130</v>
      </c>
      <c r="R460" s="586">
        <v>7</v>
      </c>
      <c r="S460" s="586" t="s">
        <v>1130</v>
      </c>
      <c r="T460" s="600">
        <v>30</v>
      </c>
      <c r="U460" s="601">
        <f t="shared" ref="U460" si="373">C460*H460*J460*T460</f>
        <v>0</v>
      </c>
      <c r="V460" s="588">
        <f t="shared" ref="V460" si="374">D460*H460*L460*T460</f>
        <v>2700</v>
      </c>
      <c r="W460" s="589">
        <f t="shared" ref="W460" si="375">E460*H460*N460*T460</f>
        <v>3150</v>
      </c>
      <c r="X460" s="589">
        <f t="shared" ref="X460" si="376">F460*H460*P460*T460</f>
        <v>3150</v>
      </c>
      <c r="Y460" s="589">
        <f t="shared" ref="Y460" si="377">G460*H460*R460*T460</f>
        <v>3150</v>
      </c>
      <c r="Z460" s="588">
        <f t="shared" ref="Z460" si="378">C460*I460*J460*T460</f>
        <v>0</v>
      </c>
      <c r="AA460" s="588">
        <f t="shared" ref="AA460" si="379">D460*I460*L460*T460</f>
        <v>2700</v>
      </c>
      <c r="AB460" s="589">
        <f t="shared" ref="AB460" si="380">E460*I460*N460*T460</f>
        <v>3150</v>
      </c>
      <c r="AC460" s="589">
        <f t="shared" ref="AC460" si="381">F460*I460*P460*T460</f>
        <v>3150</v>
      </c>
      <c r="AD460" s="96"/>
      <c r="AE460" s="96"/>
      <c r="AF460" s="96"/>
      <c r="AG460" s="96"/>
      <c r="AH460" s="96"/>
      <c r="AI460" s="96"/>
      <c r="AJ460" s="96"/>
      <c r="AK460" s="96"/>
    </row>
    <row r="461" spans="1:37" s="587" customFormat="1" ht="21.6" customHeight="1">
      <c r="A461" s="583">
        <v>2</v>
      </c>
      <c r="B461" s="602" t="s">
        <v>813</v>
      </c>
      <c r="C461" s="592"/>
      <c r="D461" s="592">
        <v>1</v>
      </c>
      <c r="E461" s="592">
        <v>1</v>
      </c>
      <c r="F461" s="592">
        <v>1</v>
      </c>
      <c r="G461" s="592">
        <v>1</v>
      </c>
      <c r="H461" s="586">
        <v>15</v>
      </c>
      <c r="I461" s="586">
        <v>15</v>
      </c>
      <c r="J461" s="597">
        <v>0</v>
      </c>
      <c r="K461" s="597">
        <v>0</v>
      </c>
      <c r="L461" s="597"/>
      <c r="M461" s="586" t="s">
        <v>996</v>
      </c>
      <c r="N461" s="597">
        <v>24</v>
      </c>
      <c r="O461" s="586" t="s">
        <v>996</v>
      </c>
      <c r="P461" s="586">
        <v>24</v>
      </c>
      <c r="Q461" s="606" t="str">
        <f>O461</f>
        <v>24/24</v>
      </c>
      <c r="R461" s="586">
        <v>24</v>
      </c>
      <c r="S461" s="606" t="str">
        <f>Q461</f>
        <v>24/24</v>
      </c>
      <c r="T461" s="600">
        <v>30</v>
      </c>
      <c r="U461" s="601"/>
      <c r="V461" s="588"/>
      <c r="W461" s="589"/>
      <c r="X461" s="589"/>
      <c r="Y461" s="589"/>
      <c r="Z461" s="588"/>
      <c r="AA461" s="588"/>
      <c r="AB461" s="589"/>
      <c r="AC461" s="589"/>
      <c r="AD461" s="96"/>
      <c r="AE461" s="96"/>
      <c r="AF461" s="96"/>
      <c r="AG461" s="96"/>
      <c r="AH461" s="96"/>
      <c r="AI461" s="96"/>
      <c r="AJ461" s="96"/>
      <c r="AK461" s="96"/>
    </row>
    <row r="462" spans="1:37" s="587" customFormat="1" ht="21.6" customHeight="1">
      <c r="A462" s="583">
        <v>4</v>
      </c>
      <c r="B462" s="602" t="s">
        <v>469</v>
      </c>
      <c r="C462" s="603"/>
      <c r="D462" s="603">
        <v>1</v>
      </c>
      <c r="E462" s="604">
        <v>1</v>
      </c>
      <c r="F462" s="603">
        <v>1</v>
      </c>
      <c r="G462" s="604">
        <v>1</v>
      </c>
      <c r="H462" s="586">
        <v>1.8</v>
      </c>
      <c r="I462" s="586">
        <v>1.8</v>
      </c>
      <c r="J462" s="597">
        <v>0</v>
      </c>
      <c r="K462" s="597">
        <v>0</v>
      </c>
      <c r="L462" s="586">
        <v>24</v>
      </c>
      <c r="M462" s="586" t="s">
        <v>996</v>
      </c>
      <c r="N462" s="586">
        <v>24</v>
      </c>
      <c r="O462" s="586" t="s">
        <v>996</v>
      </c>
      <c r="P462" s="586">
        <v>24</v>
      </c>
      <c r="Q462" s="586" t="s">
        <v>996</v>
      </c>
      <c r="R462" s="586">
        <v>24</v>
      </c>
      <c r="S462" s="606" t="s">
        <v>996</v>
      </c>
      <c r="T462" s="600">
        <v>30</v>
      </c>
      <c r="U462" s="601">
        <f t="shared" ref="U462" si="382">C462*H462*J462*T462</f>
        <v>0</v>
      </c>
      <c r="V462" s="588">
        <f t="shared" ref="V462" si="383">D462*H462*L462*T462</f>
        <v>1296</v>
      </c>
      <c r="W462" s="589">
        <f t="shared" ref="W462" si="384">E462*H462*N462*T462</f>
        <v>1296</v>
      </c>
      <c r="X462" s="589">
        <f t="shared" ref="X462" si="385">F462*H462*P462*T462</f>
        <v>1296</v>
      </c>
      <c r="Y462" s="589">
        <f t="shared" ref="Y462" si="386">G462*H462*R462*T462</f>
        <v>1296</v>
      </c>
      <c r="Z462" s="588">
        <f t="shared" ref="Z462" si="387">C462*I462*J462*T462</f>
        <v>0</v>
      </c>
      <c r="AA462" s="588">
        <f t="shared" ref="AA462" si="388">D462*I462*L462*T462</f>
        <v>1296</v>
      </c>
      <c r="AB462" s="589">
        <f t="shared" ref="AB462" si="389">E462*I462*N462*T462</f>
        <v>1296</v>
      </c>
      <c r="AC462" s="589">
        <f t="shared" ref="AC462" si="390">F462*I462*P462*T462</f>
        <v>1296</v>
      </c>
      <c r="AD462" s="96"/>
      <c r="AE462" s="96"/>
      <c r="AF462" s="96"/>
      <c r="AG462" s="96"/>
      <c r="AH462" s="96"/>
      <c r="AI462" s="96"/>
      <c r="AJ462" s="96"/>
      <c r="AK462" s="96"/>
    </row>
    <row r="463" spans="1:37" s="587" customFormat="1" ht="21.6" customHeight="1">
      <c r="A463" s="583">
        <v>5</v>
      </c>
      <c r="B463" s="602" t="s">
        <v>439</v>
      </c>
      <c r="C463" s="592"/>
      <c r="D463" s="592">
        <v>1</v>
      </c>
      <c r="E463" s="585">
        <v>1</v>
      </c>
      <c r="F463" s="585">
        <v>1</v>
      </c>
      <c r="G463" s="585">
        <v>1</v>
      </c>
      <c r="H463" s="586">
        <v>0.35</v>
      </c>
      <c r="I463" s="586">
        <v>0.35</v>
      </c>
      <c r="J463" s="597">
        <v>0</v>
      </c>
      <c r="K463" s="597">
        <v>0</v>
      </c>
      <c r="L463" s="586">
        <v>24</v>
      </c>
      <c r="M463" s="586" t="s">
        <v>996</v>
      </c>
      <c r="N463" s="586">
        <v>24</v>
      </c>
      <c r="O463" s="586" t="s">
        <v>996</v>
      </c>
      <c r="P463" s="586">
        <v>24</v>
      </c>
      <c r="Q463" s="586" t="s">
        <v>996</v>
      </c>
      <c r="R463" s="586">
        <v>24</v>
      </c>
      <c r="S463" s="606" t="s">
        <v>996</v>
      </c>
      <c r="T463" s="600">
        <v>30</v>
      </c>
      <c r="U463" s="601"/>
      <c r="V463" s="588"/>
      <c r="W463" s="589"/>
      <c r="X463" s="589"/>
      <c r="Y463" s="589"/>
      <c r="Z463" s="588"/>
      <c r="AA463" s="588"/>
      <c r="AB463" s="589"/>
      <c r="AC463" s="589"/>
      <c r="AD463" s="96"/>
      <c r="AE463" s="96"/>
      <c r="AF463" s="96"/>
      <c r="AG463" s="96"/>
      <c r="AH463" s="96"/>
      <c r="AI463" s="96"/>
      <c r="AJ463" s="96"/>
      <c r="AK463" s="96"/>
    </row>
    <row r="464" spans="1:37" s="587" customFormat="1" ht="21.6" customHeight="1">
      <c r="A464" s="583">
        <v>7</v>
      </c>
      <c r="B464" s="602" t="s">
        <v>476</v>
      </c>
      <c r="C464" s="603"/>
      <c r="D464" s="603">
        <v>1</v>
      </c>
      <c r="E464" s="603">
        <v>1</v>
      </c>
      <c r="F464" s="603">
        <v>1</v>
      </c>
      <c r="G464" s="603">
        <v>1</v>
      </c>
      <c r="H464" s="586">
        <v>1.6</v>
      </c>
      <c r="I464" s="586">
        <v>1.6</v>
      </c>
      <c r="J464" s="597">
        <v>0</v>
      </c>
      <c r="K464" s="597">
        <v>0</v>
      </c>
      <c r="L464" s="605">
        <v>14</v>
      </c>
      <c r="M464" s="605" t="s">
        <v>1786</v>
      </c>
      <c r="N464" s="586">
        <v>7</v>
      </c>
      <c r="O464" s="586" t="s">
        <v>1130</v>
      </c>
      <c r="P464" s="586">
        <v>7</v>
      </c>
      <c r="Q464" s="586" t="s">
        <v>1130</v>
      </c>
      <c r="R464" s="586">
        <v>7</v>
      </c>
      <c r="S464" s="586" t="s">
        <v>1130</v>
      </c>
      <c r="T464" s="600">
        <v>30</v>
      </c>
      <c r="U464" s="601">
        <f t="shared" ref="U464" si="391">C464*H464*J464*T464</f>
        <v>0</v>
      </c>
      <c r="V464" s="588">
        <f t="shared" ref="V464" si="392">D464*H464*L464*T464</f>
        <v>672.00000000000011</v>
      </c>
      <c r="W464" s="589">
        <f t="shared" ref="W464" si="393">E464*H464*N464*T464</f>
        <v>336.00000000000006</v>
      </c>
      <c r="X464" s="589">
        <f t="shared" ref="X464" si="394">F464*H464*P464*T464</f>
        <v>336.00000000000006</v>
      </c>
      <c r="Y464" s="589">
        <f t="shared" ref="Y464" si="395">G464*H464*R464*T464</f>
        <v>336.00000000000006</v>
      </c>
      <c r="Z464" s="588">
        <f t="shared" ref="Z464" si="396">C464*I464*J464*T464</f>
        <v>0</v>
      </c>
      <c r="AA464" s="588">
        <f t="shared" ref="AA464" si="397">D464*I464*L464*T464</f>
        <v>672.00000000000011</v>
      </c>
      <c r="AB464" s="589">
        <f t="shared" ref="AB464" si="398">E464*I464*N464*T464</f>
        <v>336.00000000000006</v>
      </c>
      <c r="AC464" s="589">
        <f t="shared" ref="AC464" si="399">F464*I464*P464*T464</f>
        <v>336.00000000000006</v>
      </c>
      <c r="AD464" s="96"/>
      <c r="AE464" s="96"/>
      <c r="AF464" s="96"/>
      <c r="AG464" s="96"/>
      <c r="AH464" s="96"/>
      <c r="AI464" s="96"/>
      <c r="AJ464" s="96"/>
      <c r="AK464" s="96"/>
    </row>
    <row r="465" spans="1:37" customFormat="1" ht="15.75" customHeight="1">
      <c r="A465" s="489" t="s">
        <v>47</v>
      </c>
      <c r="B465" s="490" t="s">
        <v>1662</v>
      </c>
      <c r="C465" s="491"/>
      <c r="D465" s="491"/>
      <c r="E465" s="491"/>
      <c r="F465" s="491"/>
      <c r="G465" s="492"/>
      <c r="H465" s="492"/>
      <c r="I465" s="492"/>
      <c r="J465" s="492"/>
      <c r="K465" s="492"/>
      <c r="L465" s="492"/>
      <c r="M465" s="492"/>
      <c r="N465" s="492"/>
      <c r="O465" s="492"/>
      <c r="P465" s="492"/>
      <c r="Q465" s="493"/>
      <c r="R465" s="494"/>
      <c r="S465" s="495"/>
      <c r="T465" s="495"/>
      <c r="U465" s="495"/>
      <c r="V465" s="494"/>
      <c r="W465" s="495"/>
      <c r="X465" s="495"/>
      <c r="Y465" s="495"/>
      <c r="Z465" s="496"/>
      <c r="AA465" s="496"/>
      <c r="AB465" s="496"/>
      <c r="AC465" s="496"/>
      <c r="AD465" s="96"/>
      <c r="AE465" s="96"/>
      <c r="AF465" s="96"/>
      <c r="AG465" s="96"/>
      <c r="AH465" s="96"/>
      <c r="AI465" s="96"/>
      <c r="AJ465" s="96"/>
      <c r="AK465" s="96"/>
    </row>
    <row r="466" spans="1:37" customFormat="1" ht="15.75" customHeight="1">
      <c r="A466" s="489"/>
      <c r="B466" s="490" t="s">
        <v>1663</v>
      </c>
      <c r="C466" s="491"/>
      <c r="D466" s="491"/>
      <c r="E466" s="491"/>
      <c r="F466" s="491"/>
      <c r="G466" s="492"/>
      <c r="H466" s="492"/>
      <c r="I466" s="492"/>
      <c r="J466" s="492"/>
      <c r="K466" s="492"/>
      <c r="L466" s="492"/>
      <c r="M466" s="492"/>
      <c r="N466" s="492"/>
      <c r="O466" s="492"/>
      <c r="P466" s="492"/>
      <c r="Q466" s="493"/>
      <c r="R466" s="494"/>
      <c r="S466" s="495"/>
      <c r="T466" s="495"/>
      <c r="U466" s="495"/>
      <c r="V466" s="494"/>
      <c r="W466" s="495"/>
      <c r="X466" s="495"/>
      <c r="Y466" s="495"/>
      <c r="Z466" s="496"/>
      <c r="AA466" s="496"/>
      <c r="AB466" s="496"/>
      <c r="AC466" s="496"/>
      <c r="AD466" s="96"/>
      <c r="AE466" s="96"/>
      <c r="AF466" s="96"/>
      <c r="AG466" s="96"/>
      <c r="AH466" s="96"/>
      <c r="AI466" s="96"/>
      <c r="AJ466" s="96"/>
      <c r="AK466" s="96"/>
    </row>
    <row r="467" spans="1:37" customFormat="1" ht="15.75" customHeight="1">
      <c r="A467" s="497"/>
      <c r="B467" s="498" t="s">
        <v>1664</v>
      </c>
      <c r="C467" s="499">
        <v>1</v>
      </c>
      <c r="D467" s="499">
        <v>1</v>
      </c>
      <c r="E467" s="499">
        <v>1</v>
      </c>
      <c r="F467" s="499">
        <v>1</v>
      </c>
      <c r="G467" s="500">
        <v>1.1000000000000001</v>
      </c>
      <c r="H467" s="500">
        <v>1.1000000000000001</v>
      </c>
      <c r="I467" s="500">
        <v>24</v>
      </c>
      <c r="J467" s="500" t="s">
        <v>996</v>
      </c>
      <c r="K467" s="500">
        <f t="shared" ref="K467:P482" si="400">I467</f>
        <v>24</v>
      </c>
      <c r="L467" s="500" t="str">
        <f t="shared" si="400"/>
        <v>24/24</v>
      </c>
      <c r="M467" s="500">
        <f t="shared" si="400"/>
        <v>24</v>
      </c>
      <c r="N467" s="500" t="str">
        <f t="shared" si="400"/>
        <v>24/24</v>
      </c>
      <c r="O467" s="500">
        <f t="shared" si="400"/>
        <v>24</v>
      </c>
      <c r="P467" s="500" t="str">
        <f t="shared" si="400"/>
        <v>24/24</v>
      </c>
      <c r="Q467" s="501">
        <v>30</v>
      </c>
      <c r="R467" s="502">
        <f t="shared" ref="R467:R518" si="401">C467*G467*I467*Q467</f>
        <v>792.00000000000011</v>
      </c>
      <c r="S467" s="503">
        <f t="shared" ref="S467:S518" si="402">D467*G467*K467*Q467</f>
        <v>792.00000000000011</v>
      </c>
      <c r="T467" s="503">
        <f t="shared" ref="T467:T518" si="403">E467*G467*M467*Q467</f>
        <v>792.00000000000011</v>
      </c>
      <c r="U467" s="503">
        <f t="shared" ref="U467:U518" si="404">F467*G467*O467*Q467</f>
        <v>792.00000000000011</v>
      </c>
      <c r="V467" s="502">
        <f t="shared" ref="V467:V518" si="405">C467*H467*I467*Q467</f>
        <v>792.00000000000011</v>
      </c>
      <c r="W467" s="503">
        <f t="shared" ref="W467:W518" si="406">D467*H467*K467*Q467</f>
        <v>792.00000000000011</v>
      </c>
      <c r="X467" s="503">
        <f t="shared" ref="X467:X518" si="407">E467*H467*M467*Q467</f>
        <v>792.00000000000011</v>
      </c>
      <c r="Y467" s="503">
        <f t="shared" ref="Y467:Y518" si="408">F467*H467*O467*Q467</f>
        <v>792.00000000000011</v>
      </c>
      <c r="Z467" s="504">
        <f t="shared" ref="Z467:AC482" si="409">V467/R467</f>
        <v>1</v>
      </c>
      <c r="AA467" s="504">
        <f t="shared" si="409"/>
        <v>1</v>
      </c>
      <c r="AB467" s="504">
        <f t="shared" si="409"/>
        <v>1</v>
      </c>
      <c r="AC467" s="504">
        <f t="shared" si="409"/>
        <v>1</v>
      </c>
      <c r="AD467" s="96"/>
      <c r="AE467" s="96"/>
      <c r="AF467" s="96"/>
      <c r="AG467" s="96"/>
      <c r="AH467" s="96"/>
      <c r="AI467" s="96"/>
      <c r="AJ467" s="96"/>
      <c r="AK467" s="96"/>
    </row>
    <row r="468" spans="1:37" customFormat="1" ht="15.75" customHeight="1">
      <c r="A468" s="497"/>
      <c r="B468" s="498" t="s">
        <v>1665</v>
      </c>
      <c r="C468" s="499">
        <v>1</v>
      </c>
      <c r="D468" s="499">
        <v>1</v>
      </c>
      <c r="E468" s="499">
        <v>1</v>
      </c>
      <c r="F468" s="499">
        <v>1</v>
      </c>
      <c r="G468" s="500">
        <v>5</v>
      </c>
      <c r="H468" s="500">
        <v>5</v>
      </c>
      <c r="I468" s="500">
        <v>6</v>
      </c>
      <c r="J468" s="500" t="s">
        <v>1127</v>
      </c>
      <c r="K468" s="500">
        <f t="shared" si="400"/>
        <v>6</v>
      </c>
      <c r="L468" s="500" t="str">
        <f t="shared" si="400"/>
        <v>9h-15h</v>
      </c>
      <c r="M468" s="500">
        <f t="shared" si="400"/>
        <v>6</v>
      </c>
      <c r="N468" s="500" t="str">
        <f t="shared" si="400"/>
        <v>9h-15h</v>
      </c>
      <c r="O468" s="500">
        <f t="shared" si="400"/>
        <v>6</v>
      </c>
      <c r="P468" s="500" t="str">
        <f t="shared" si="400"/>
        <v>9h-15h</v>
      </c>
      <c r="Q468" s="501">
        <v>30</v>
      </c>
      <c r="R468" s="502">
        <f t="shared" si="401"/>
        <v>900</v>
      </c>
      <c r="S468" s="503">
        <f t="shared" si="402"/>
        <v>900</v>
      </c>
      <c r="T468" s="503">
        <f t="shared" si="403"/>
        <v>900</v>
      </c>
      <c r="U468" s="503">
        <f t="shared" si="404"/>
        <v>900</v>
      </c>
      <c r="V468" s="502">
        <f t="shared" si="405"/>
        <v>900</v>
      </c>
      <c r="W468" s="503">
        <f t="shared" si="406"/>
        <v>900</v>
      </c>
      <c r="X468" s="503">
        <f t="shared" si="407"/>
        <v>900</v>
      </c>
      <c r="Y468" s="503">
        <f t="shared" si="408"/>
        <v>900</v>
      </c>
      <c r="Z468" s="504">
        <f t="shared" si="409"/>
        <v>1</v>
      </c>
      <c r="AA468" s="504">
        <f t="shared" si="409"/>
        <v>1</v>
      </c>
      <c r="AB468" s="504">
        <f t="shared" si="409"/>
        <v>1</v>
      </c>
      <c r="AC468" s="504">
        <f t="shared" si="409"/>
        <v>1</v>
      </c>
      <c r="AD468" s="96"/>
      <c r="AE468" s="96"/>
      <c r="AF468" s="96"/>
      <c r="AG468" s="96"/>
      <c r="AH468" s="96"/>
      <c r="AI468" s="96"/>
      <c r="AJ468" s="96"/>
      <c r="AK468" s="96"/>
    </row>
    <row r="469" spans="1:37" customFormat="1" ht="15.75" customHeight="1">
      <c r="A469" s="497"/>
      <c r="B469" s="498" t="s">
        <v>1666</v>
      </c>
      <c r="C469" s="499">
        <v>1</v>
      </c>
      <c r="D469" s="499">
        <v>1</v>
      </c>
      <c r="E469" s="499">
        <v>1</v>
      </c>
      <c r="F469" s="499">
        <v>1</v>
      </c>
      <c r="G469" s="500">
        <v>4.25</v>
      </c>
      <c r="H469" s="500">
        <v>4.25</v>
      </c>
      <c r="I469" s="500">
        <v>6</v>
      </c>
      <c r="J469" s="500" t="s">
        <v>1127</v>
      </c>
      <c r="K469" s="500">
        <f t="shared" si="400"/>
        <v>6</v>
      </c>
      <c r="L469" s="500" t="str">
        <f t="shared" si="400"/>
        <v>9h-15h</v>
      </c>
      <c r="M469" s="500">
        <f t="shared" si="400"/>
        <v>6</v>
      </c>
      <c r="N469" s="500" t="str">
        <f t="shared" si="400"/>
        <v>9h-15h</v>
      </c>
      <c r="O469" s="500">
        <f t="shared" si="400"/>
        <v>6</v>
      </c>
      <c r="P469" s="500" t="str">
        <f t="shared" si="400"/>
        <v>9h-15h</v>
      </c>
      <c r="Q469" s="501">
        <v>30</v>
      </c>
      <c r="R469" s="502">
        <f t="shared" si="401"/>
        <v>765</v>
      </c>
      <c r="S469" s="503">
        <f t="shared" si="402"/>
        <v>765</v>
      </c>
      <c r="T469" s="503">
        <f t="shared" si="403"/>
        <v>765</v>
      </c>
      <c r="U469" s="503">
        <f t="shared" si="404"/>
        <v>765</v>
      </c>
      <c r="V469" s="502">
        <f t="shared" si="405"/>
        <v>765</v>
      </c>
      <c r="W469" s="503">
        <f t="shared" si="406"/>
        <v>765</v>
      </c>
      <c r="X469" s="503">
        <f t="shared" si="407"/>
        <v>765</v>
      </c>
      <c r="Y469" s="503">
        <f t="shared" si="408"/>
        <v>765</v>
      </c>
      <c r="Z469" s="504">
        <f t="shared" si="409"/>
        <v>1</v>
      </c>
      <c r="AA469" s="504">
        <f t="shared" si="409"/>
        <v>1</v>
      </c>
      <c r="AB469" s="504">
        <f t="shared" si="409"/>
        <v>1</v>
      </c>
      <c r="AC469" s="504">
        <f t="shared" si="409"/>
        <v>1</v>
      </c>
      <c r="AD469" s="96"/>
      <c r="AE469" s="96"/>
      <c r="AF469" s="96"/>
      <c r="AG469" s="96"/>
      <c r="AH469" s="96"/>
      <c r="AI469" s="96"/>
      <c r="AJ469" s="96"/>
      <c r="AK469" s="96"/>
    </row>
    <row r="470" spans="1:37" customFormat="1" ht="15.75" customHeight="1">
      <c r="A470" s="497"/>
      <c r="B470" s="498" t="s">
        <v>349</v>
      </c>
      <c r="C470" s="499">
        <v>1</v>
      </c>
      <c r="D470" s="499">
        <v>1</v>
      </c>
      <c r="E470" s="499">
        <v>1</v>
      </c>
      <c r="F470" s="499">
        <v>1</v>
      </c>
      <c r="G470" s="500">
        <v>0.9</v>
      </c>
      <c r="H470" s="500">
        <v>0.9</v>
      </c>
      <c r="I470" s="500">
        <v>6</v>
      </c>
      <c r="J470" s="500" t="s">
        <v>1127</v>
      </c>
      <c r="K470" s="500">
        <f t="shared" si="400"/>
        <v>6</v>
      </c>
      <c r="L470" s="500" t="str">
        <f t="shared" si="400"/>
        <v>9h-15h</v>
      </c>
      <c r="M470" s="500">
        <f t="shared" si="400"/>
        <v>6</v>
      </c>
      <c r="N470" s="500" t="str">
        <f t="shared" si="400"/>
        <v>9h-15h</v>
      </c>
      <c r="O470" s="500">
        <f t="shared" si="400"/>
        <v>6</v>
      </c>
      <c r="P470" s="500" t="str">
        <f t="shared" si="400"/>
        <v>9h-15h</v>
      </c>
      <c r="Q470" s="501">
        <v>30</v>
      </c>
      <c r="R470" s="502">
        <f t="shared" si="401"/>
        <v>162</v>
      </c>
      <c r="S470" s="503">
        <f t="shared" si="402"/>
        <v>162</v>
      </c>
      <c r="T470" s="503">
        <f t="shared" si="403"/>
        <v>162</v>
      </c>
      <c r="U470" s="503">
        <f t="shared" si="404"/>
        <v>162</v>
      </c>
      <c r="V470" s="502">
        <f t="shared" si="405"/>
        <v>162</v>
      </c>
      <c r="W470" s="503">
        <f t="shared" si="406"/>
        <v>162</v>
      </c>
      <c r="X470" s="503">
        <f t="shared" si="407"/>
        <v>162</v>
      </c>
      <c r="Y470" s="503">
        <f t="shared" si="408"/>
        <v>162</v>
      </c>
      <c r="Z470" s="504">
        <f t="shared" si="409"/>
        <v>1</v>
      </c>
      <c r="AA470" s="504">
        <f t="shared" si="409"/>
        <v>1</v>
      </c>
      <c r="AB470" s="504">
        <f t="shared" si="409"/>
        <v>1</v>
      </c>
      <c r="AC470" s="504">
        <f t="shared" si="409"/>
        <v>1</v>
      </c>
      <c r="AD470" s="96"/>
      <c r="AE470" s="96"/>
      <c r="AF470" s="96"/>
      <c r="AG470" s="96"/>
      <c r="AH470" s="96"/>
      <c r="AI470" s="96"/>
      <c r="AJ470" s="96"/>
      <c r="AK470" s="96"/>
    </row>
    <row r="471" spans="1:37" customFormat="1" ht="15.75" customHeight="1">
      <c r="A471" s="497"/>
      <c r="B471" s="498" t="s">
        <v>344</v>
      </c>
      <c r="C471" s="499">
        <v>1</v>
      </c>
      <c r="D471" s="499">
        <v>1</v>
      </c>
      <c r="E471" s="499">
        <v>1</v>
      </c>
      <c r="F471" s="499">
        <v>1</v>
      </c>
      <c r="G471" s="500">
        <v>6</v>
      </c>
      <c r="H471" s="500">
        <v>6</v>
      </c>
      <c r="I471" s="500">
        <v>6</v>
      </c>
      <c r="J471" s="500" t="s">
        <v>1127</v>
      </c>
      <c r="K471" s="500">
        <f t="shared" si="400"/>
        <v>6</v>
      </c>
      <c r="L471" s="500" t="str">
        <f t="shared" si="400"/>
        <v>9h-15h</v>
      </c>
      <c r="M471" s="500">
        <f t="shared" si="400"/>
        <v>6</v>
      </c>
      <c r="N471" s="500" t="str">
        <f t="shared" si="400"/>
        <v>9h-15h</v>
      </c>
      <c r="O471" s="500">
        <f t="shared" si="400"/>
        <v>6</v>
      </c>
      <c r="P471" s="500" t="str">
        <f t="shared" si="400"/>
        <v>9h-15h</v>
      </c>
      <c r="Q471" s="501">
        <v>30</v>
      </c>
      <c r="R471" s="502">
        <f t="shared" si="401"/>
        <v>1080</v>
      </c>
      <c r="S471" s="503">
        <f t="shared" si="402"/>
        <v>1080</v>
      </c>
      <c r="T471" s="503">
        <f t="shared" si="403"/>
        <v>1080</v>
      </c>
      <c r="U471" s="503">
        <f t="shared" si="404"/>
        <v>1080</v>
      </c>
      <c r="V471" s="502">
        <f t="shared" si="405"/>
        <v>1080</v>
      </c>
      <c r="W471" s="503">
        <f t="shared" si="406"/>
        <v>1080</v>
      </c>
      <c r="X471" s="503">
        <f t="shared" si="407"/>
        <v>1080</v>
      </c>
      <c r="Y471" s="503">
        <f t="shared" si="408"/>
        <v>1080</v>
      </c>
      <c r="Z471" s="504">
        <f t="shared" si="409"/>
        <v>1</v>
      </c>
      <c r="AA471" s="504">
        <f t="shared" si="409"/>
        <v>1</v>
      </c>
      <c r="AB471" s="504">
        <f t="shared" si="409"/>
        <v>1</v>
      </c>
      <c r="AC471" s="504">
        <f t="shared" si="409"/>
        <v>1</v>
      </c>
      <c r="AD471" s="96"/>
      <c r="AE471" s="96"/>
      <c r="AF471" s="96"/>
      <c r="AG471" s="96"/>
      <c r="AH471" s="96"/>
      <c r="AI471" s="96"/>
      <c r="AJ471" s="96"/>
      <c r="AK471" s="96"/>
    </row>
    <row r="472" spans="1:37" customFormat="1" ht="15.75" customHeight="1">
      <c r="A472" s="497"/>
      <c r="B472" s="498" t="s">
        <v>1667</v>
      </c>
      <c r="C472" s="499">
        <v>1</v>
      </c>
      <c r="D472" s="499">
        <v>1</v>
      </c>
      <c r="E472" s="499">
        <v>1</v>
      </c>
      <c r="F472" s="499">
        <v>1</v>
      </c>
      <c r="G472" s="500">
        <v>1.1220000000000001</v>
      </c>
      <c r="H472" s="500">
        <v>1122</v>
      </c>
      <c r="I472" s="500">
        <v>24</v>
      </c>
      <c r="J472" s="500" t="s">
        <v>996</v>
      </c>
      <c r="K472" s="500">
        <f t="shared" si="400"/>
        <v>24</v>
      </c>
      <c r="L472" s="500" t="str">
        <f t="shared" si="400"/>
        <v>24/24</v>
      </c>
      <c r="M472" s="500">
        <f t="shared" si="400"/>
        <v>24</v>
      </c>
      <c r="N472" s="500" t="str">
        <f t="shared" si="400"/>
        <v>24/24</v>
      </c>
      <c r="O472" s="500">
        <f t="shared" si="400"/>
        <v>24</v>
      </c>
      <c r="P472" s="500" t="str">
        <f t="shared" si="400"/>
        <v>24/24</v>
      </c>
      <c r="Q472" s="501">
        <v>30</v>
      </c>
      <c r="R472" s="502">
        <f t="shared" si="401"/>
        <v>807.84000000000015</v>
      </c>
      <c r="S472" s="503">
        <f t="shared" si="402"/>
        <v>807.84000000000015</v>
      </c>
      <c r="T472" s="503">
        <f t="shared" si="403"/>
        <v>807.84000000000015</v>
      </c>
      <c r="U472" s="503">
        <f t="shared" si="404"/>
        <v>807.84000000000015</v>
      </c>
      <c r="V472" s="502">
        <f t="shared" si="405"/>
        <v>807840</v>
      </c>
      <c r="W472" s="503">
        <f t="shared" si="406"/>
        <v>807840</v>
      </c>
      <c r="X472" s="503">
        <f t="shared" si="407"/>
        <v>807840</v>
      </c>
      <c r="Y472" s="503">
        <f t="shared" si="408"/>
        <v>807840</v>
      </c>
      <c r="Z472" s="504">
        <f t="shared" si="409"/>
        <v>999.99999999999977</v>
      </c>
      <c r="AA472" s="504">
        <f t="shared" si="409"/>
        <v>999.99999999999977</v>
      </c>
      <c r="AB472" s="504">
        <f t="shared" si="409"/>
        <v>999.99999999999977</v>
      </c>
      <c r="AC472" s="504">
        <f t="shared" si="409"/>
        <v>999.99999999999977</v>
      </c>
      <c r="AD472" s="96"/>
      <c r="AE472" s="96"/>
      <c r="AF472" s="96"/>
      <c r="AG472" s="96"/>
      <c r="AH472" s="96"/>
      <c r="AI472" s="96"/>
      <c r="AJ472" s="96"/>
      <c r="AK472" s="96"/>
    </row>
    <row r="473" spans="1:37" customFormat="1" ht="15.75" customHeight="1">
      <c r="A473" s="497"/>
      <c r="B473" s="498" t="s">
        <v>1668</v>
      </c>
      <c r="C473" s="499">
        <v>1</v>
      </c>
      <c r="D473" s="499">
        <v>1</v>
      </c>
      <c r="E473" s="499">
        <v>1</v>
      </c>
      <c r="F473" s="499">
        <v>1</v>
      </c>
      <c r="G473" s="500">
        <v>1.2</v>
      </c>
      <c r="H473" s="500">
        <v>1200</v>
      </c>
      <c r="I473" s="500">
        <v>6</v>
      </c>
      <c r="J473" s="500" t="s">
        <v>1127</v>
      </c>
      <c r="K473" s="500">
        <f t="shared" si="400"/>
        <v>6</v>
      </c>
      <c r="L473" s="500" t="str">
        <f t="shared" si="400"/>
        <v>9h-15h</v>
      </c>
      <c r="M473" s="500">
        <f t="shared" si="400"/>
        <v>6</v>
      </c>
      <c r="N473" s="500" t="str">
        <f t="shared" si="400"/>
        <v>9h-15h</v>
      </c>
      <c r="O473" s="500">
        <f t="shared" si="400"/>
        <v>6</v>
      </c>
      <c r="P473" s="500" t="str">
        <f t="shared" si="400"/>
        <v>9h-15h</v>
      </c>
      <c r="Q473" s="501">
        <v>30</v>
      </c>
      <c r="R473" s="502">
        <f t="shared" si="401"/>
        <v>215.99999999999997</v>
      </c>
      <c r="S473" s="503">
        <f t="shared" si="402"/>
        <v>215.99999999999997</v>
      </c>
      <c r="T473" s="503">
        <f t="shared" si="403"/>
        <v>215.99999999999997</v>
      </c>
      <c r="U473" s="503">
        <f t="shared" si="404"/>
        <v>215.99999999999997</v>
      </c>
      <c r="V473" s="502">
        <f t="shared" si="405"/>
        <v>216000</v>
      </c>
      <c r="W473" s="503">
        <f t="shared" si="406"/>
        <v>216000</v>
      </c>
      <c r="X473" s="503">
        <f t="shared" si="407"/>
        <v>216000</v>
      </c>
      <c r="Y473" s="503">
        <f t="shared" si="408"/>
        <v>216000</v>
      </c>
      <c r="Z473" s="504">
        <f t="shared" si="409"/>
        <v>1000.0000000000001</v>
      </c>
      <c r="AA473" s="504">
        <f t="shared" si="409"/>
        <v>1000.0000000000001</v>
      </c>
      <c r="AB473" s="504">
        <f t="shared" si="409"/>
        <v>1000.0000000000001</v>
      </c>
      <c r="AC473" s="504">
        <f t="shared" si="409"/>
        <v>1000.0000000000001</v>
      </c>
      <c r="AD473" s="96"/>
      <c r="AE473" s="96"/>
      <c r="AF473" s="96"/>
      <c r="AG473" s="96"/>
      <c r="AH473" s="96"/>
      <c r="AI473" s="96"/>
      <c r="AJ473" s="96"/>
      <c r="AK473" s="96"/>
    </row>
    <row r="474" spans="1:37" customFormat="1" ht="15.75" customHeight="1">
      <c r="A474" s="497"/>
      <c r="B474" s="498" t="s">
        <v>1669</v>
      </c>
      <c r="C474" s="499">
        <v>2</v>
      </c>
      <c r="D474" s="499">
        <v>1</v>
      </c>
      <c r="E474" s="499">
        <v>1</v>
      </c>
      <c r="F474" s="499">
        <v>1</v>
      </c>
      <c r="G474" s="500">
        <v>1.5</v>
      </c>
      <c r="H474" s="500">
        <v>1500</v>
      </c>
      <c r="I474" s="500">
        <v>6</v>
      </c>
      <c r="J474" s="500" t="s">
        <v>1127</v>
      </c>
      <c r="K474" s="500">
        <f t="shared" si="400"/>
        <v>6</v>
      </c>
      <c r="L474" s="500" t="str">
        <f t="shared" si="400"/>
        <v>9h-15h</v>
      </c>
      <c r="M474" s="500">
        <f t="shared" si="400"/>
        <v>6</v>
      </c>
      <c r="N474" s="500" t="str">
        <f t="shared" si="400"/>
        <v>9h-15h</v>
      </c>
      <c r="O474" s="500">
        <f t="shared" si="400"/>
        <v>6</v>
      </c>
      <c r="P474" s="500" t="str">
        <f t="shared" si="400"/>
        <v>9h-15h</v>
      </c>
      <c r="Q474" s="501">
        <v>30</v>
      </c>
      <c r="R474" s="502">
        <f t="shared" si="401"/>
        <v>540</v>
      </c>
      <c r="S474" s="503">
        <f t="shared" si="402"/>
        <v>270</v>
      </c>
      <c r="T474" s="503">
        <f t="shared" si="403"/>
        <v>270</v>
      </c>
      <c r="U474" s="503">
        <f t="shared" si="404"/>
        <v>270</v>
      </c>
      <c r="V474" s="502">
        <f t="shared" si="405"/>
        <v>540000</v>
      </c>
      <c r="W474" s="503">
        <f t="shared" si="406"/>
        <v>270000</v>
      </c>
      <c r="X474" s="503">
        <f t="shared" si="407"/>
        <v>270000</v>
      </c>
      <c r="Y474" s="503">
        <f t="shared" si="408"/>
        <v>270000</v>
      </c>
      <c r="Z474" s="504">
        <f t="shared" si="409"/>
        <v>1000</v>
      </c>
      <c r="AA474" s="504">
        <f t="shared" si="409"/>
        <v>1000</v>
      </c>
      <c r="AB474" s="504">
        <f t="shared" si="409"/>
        <v>1000</v>
      </c>
      <c r="AC474" s="504">
        <f t="shared" si="409"/>
        <v>1000</v>
      </c>
      <c r="AD474" s="96"/>
      <c r="AE474" s="96"/>
      <c r="AF474" s="96"/>
      <c r="AG474" s="96"/>
      <c r="AH474" s="96"/>
      <c r="AI474" s="96"/>
      <c r="AJ474" s="96"/>
      <c r="AK474" s="96"/>
    </row>
    <row r="475" spans="1:37" customFormat="1" ht="15.75" customHeight="1">
      <c r="A475" s="497"/>
      <c r="B475" s="498" t="s">
        <v>1670</v>
      </c>
      <c r="C475" s="499">
        <v>1</v>
      </c>
      <c r="D475" s="499">
        <v>1</v>
      </c>
      <c r="E475" s="499">
        <v>1</v>
      </c>
      <c r="F475" s="499">
        <v>1</v>
      </c>
      <c r="G475" s="500">
        <v>3.5</v>
      </c>
      <c r="H475" s="500">
        <v>3500</v>
      </c>
      <c r="I475" s="500">
        <v>6</v>
      </c>
      <c r="J475" s="500" t="s">
        <v>1127</v>
      </c>
      <c r="K475" s="500">
        <f t="shared" si="400"/>
        <v>6</v>
      </c>
      <c r="L475" s="500" t="str">
        <f t="shared" si="400"/>
        <v>9h-15h</v>
      </c>
      <c r="M475" s="500">
        <f t="shared" si="400"/>
        <v>6</v>
      </c>
      <c r="N475" s="500" t="str">
        <f t="shared" si="400"/>
        <v>9h-15h</v>
      </c>
      <c r="O475" s="500">
        <f t="shared" si="400"/>
        <v>6</v>
      </c>
      <c r="P475" s="500" t="str">
        <f t="shared" si="400"/>
        <v>9h-15h</v>
      </c>
      <c r="Q475" s="501">
        <v>30</v>
      </c>
      <c r="R475" s="502">
        <f t="shared" si="401"/>
        <v>630</v>
      </c>
      <c r="S475" s="503">
        <f t="shared" si="402"/>
        <v>630</v>
      </c>
      <c r="T475" s="503">
        <f t="shared" si="403"/>
        <v>630</v>
      </c>
      <c r="U475" s="503">
        <f t="shared" si="404"/>
        <v>630</v>
      </c>
      <c r="V475" s="502">
        <f t="shared" si="405"/>
        <v>630000</v>
      </c>
      <c r="W475" s="503">
        <f t="shared" si="406"/>
        <v>630000</v>
      </c>
      <c r="X475" s="503">
        <f t="shared" si="407"/>
        <v>630000</v>
      </c>
      <c r="Y475" s="503">
        <f t="shared" si="408"/>
        <v>630000</v>
      </c>
      <c r="Z475" s="504">
        <f t="shared" si="409"/>
        <v>1000</v>
      </c>
      <c r="AA475" s="504">
        <f t="shared" si="409"/>
        <v>1000</v>
      </c>
      <c r="AB475" s="504">
        <f t="shared" si="409"/>
        <v>1000</v>
      </c>
      <c r="AC475" s="504">
        <f t="shared" si="409"/>
        <v>1000</v>
      </c>
      <c r="AD475" s="96"/>
      <c r="AE475" s="96"/>
      <c r="AF475" s="96"/>
      <c r="AG475" s="96"/>
      <c r="AH475" s="96"/>
      <c r="AI475" s="96"/>
      <c r="AJ475" s="96"/>
      <c r="AK475" s="96"/>
    </row>
    <row r="476" spans="1:37" customFormat="1" ht="15.75" customHeight="1">
      <c r="A476" s="497"/>
      <c r="B476" s="498" t="s">
        <v>1671</v>
      </c>
      <c r="C476" s="499">
        <v>1</v>
      </c>
      <c r="D476" s="499">
        <v>1</v>
      </c>
      <c r="E476" s="499">
        <v>1</v>
      </c>
      <c r="F476" s="499">
        <v>1</v>
      </c>
      <c r="G476" s="500">
        <v>0.1</v>
      </c>
      <c r="H476" s="500">
        <v>0.1</v>
      </c>
      <c r="I476" s="500">
        <v>6</v>
      </c>
      <c r="J476" s="500" t="s">
        <v>1127</v>
      </c>
      <c r="K476" s="500">
        <f t="shared" si="400"/>
        <v>6</v>
      </c>
      <c r="L476" s="500" t="str">
        <f t="shared" si="400"/>
        <v>9h-15h</v>
      </c>
      <c r="M476" s="500">
        <f t="shared" si="400"/>
        <v>6</v>
      </c>
      <c r="N476" s="500" t="str">
        <f t="shared" si="400"/>
        <v>9h-15h</v>
      </c>
      <c r="O476" s="500">
        <f t="shared" si="400"/>
        <v>6</v>
      </c>
      <c r="P476" s="500" t="str">
        <f t="shared" si="400"/>
        <v>9h-15h</v>
      </c>
      <c r="Q476" s="501">
        <v>30</v>
      </c>
      <c r="R476" s="502">
        <f t="shared" si="401"/>
        <v>18.000000000000004</v>
      </c>
      <c r="S476" s="503">
        <f t="shared" si="402"/>
        <v>18.000000000000004</v>
      </c>
      <c r="T476" s="503">
        <f t="shared" si="403"/>
        <v>18.000000000000004</v>
      </c>
      <c r="U476" s="503">
        <f t="shared" si="404"/>
        <v>18.000000000000004</v>
      </c>
      <c r="V476" s="502">
        <f t="shared" si="405"/>
        <v>18.000000000000004</v>
      </c>
      <c r="W476" s="503">
        <f t="shared" si="406"/>
        <v>18.000000000000004</v>
      </c>
      <c r="X476" s="503">
        <f t="shared" si="407"/>
        <v>18.000000000000004</v>
      </c>
      <c r="Y476" s="503">
        <f t="shared" si="408"/>
        <v>18.000000000000004</v>
      </c>
      <c r="Z476" s="504">
        <f t="shared" si="409"/>
        <v>1</v>
      </c>
      <c r="AA476" s="504">
        <f t="shared" si="409"/>
        <v>1</v>
      </c>
      <c r="AB476" s="504">
        <f t="shared" si="409"/>
        <v>1</v>
      </c>
      <c r="AC476" s="504">
        <f t="shared" si="409"/>
        <v>1</v>
      </c>
      <c r="AD476" s="96"/>
      <c r="AE476" s="96"/>
      <c r="AF476" s="96"/>
      <c r="AG476" s="96"/>
      <c r="AH476" s="96"/>
      <c r="AI476" s="96"/>
      <c r="AJ476" s="96"/>
      <c r="AK476" s="96"/>
    </row>
    <row r="477" spans="1:37" customFormat="1" ht="15.75" customHeight="1">
      <c r="A477" s="497"/>
      <c r="B477" s="498" t="s">
        <v>1672</v>
      </c>
      <c r="C477" s="499">
        <v>1</v>
      </c>
      <c r="D477" s="499">
        <v>1</v>
      </c>
      <c r="E477" s="499">
        <v>1</v>
      </c>
      <c r="F477" s="499">
        <v>1</v>
      </c>
      <c r="G477" s="500">
        <v>0.1</v>
      </c>
      <c r="H477" s="500">
        <v>0.1</v>
      </c>
      <c r="I477" s="500">
        <v>6</v>
      </c>
      <c r="J477" s="500" t="s">
        <v>1127</v>
      </c>
      <c r="K477" s="500">
        <f t="shared" si="400"/>
        <v>6</v>
      </c>
      <c r="L477" s="500" t="str">
        <f t="shared" si="400"/>
        <v>9h-15h</v>
      </c>
      <c r="M477" s="500">
        <f t="shared" si="400"/>
        <v>6</v>
      </c>
      <c r="N477" s="500" t="str">
        <f t="shared" si="400"/>
        <v>9h-15h</v>
      </c>
      <c r="O477" s="500">
        <f t="shared" si="400"/>
        <v>6</v>
      </c>
      <c r="P477" s="500" t="str">
        <f t="shared" si="400"/>
        <v>9h-15h</v>
      </c>
      <c r="Q477" s="501">
        <v>30</v>
      </c>
      <c r="R477" s="502">
        <f t="shared" si="401"/>
        <v>18.000000000000004</v>
      </c>
      <c r="S477" s="503">
        <f t="shared" si="402"/>
        <v>18.000000000000004</v>
      </c>
      <c r="T477" s="503">
        <f t="shared" si="403"/>
        <v>18.000000000000004</v>
      </c>
      <c r="U477" s="503">
        <f t="shared" si="404"/>
        <v>18.000000000000004</v>
      </c>
      <c r="V477" s="502">
        <f t="shared" si="405"/>
        <v>18.000000000000004</v>
      </c>
      <c r="W477" s="503">
        <f t="shared" si="406"/>
        <v>18.000000000000004</v>
      </c>
      <c r="X477" s="503">
        <f t="shared" si="407"/>
        <v>18.000000000000004</v>
      </c>
      <c r="Y477" s="503">
        <f t="shared" si="408"/>
        <v>18.000000000000004</v>
      </c>
      <c r="Z477" s="504">
        <f t="shared" si="409"/>
        <v>1</v>
      </c>
      <c r="AA477" s="504">
        <f t="shared" si="409"/>
        <v>1</v>
      </c>
      <c r="AB477" s="504">
        <f t="shared" si="409"/>
        <v>1</v>
      </c>
      <c r="AC477" s="504">
        <f t="shared" si="409"/>
        <v>1</v>
      </c>
      <c r="AD477" s="96"/>
      <c r="AE477" s="96"/>
      <c r="AF477" s="96"/>
      <c r="AG477" s="96"/>
      <c r="AH477" s="96"/>
      <c r="AI477" s="96"/>
      <c r="AJ477" s="96"/>
      <c r="AK477" s="96"/>
    </row>
    <row r="478" spans="1:37" customFormat="1" ht="15.75" customHeight="1">
      <c r="A478" s="497"/>
      <c r="B478" s="498" t="s">
        <v>1673</v>
      </c>
      <c r="C478" s="499">
        <v>1</v>
      </c>
      <c r="D478" s="499">
        <v>1</v>
      </c>
      <c r="E478" s="499">
        <v>1</v>
      </c>
      <c r="F478" s="499">
        <v>1</v>
      </c>
      <c r="G478" s="500">
        <v>2.5000000000000001E-2</v>
      </c>
      <c r="H478" s="500">
        <v>2.5000000000000001E-2</v>
      </c>
      <c r="I478" s="500">
        <v>6</v>
      </c>
      <c r="J478" s="500" t="s">
        <v>1127</v>
      </c>
      <c r="K478" s="500">
        <f t="shared" si="400"/>
        <v>6</v>
      </c>
      <c r="L478" s="500" t="str">
        <f t="shared" si="400"/>
        <v>9h-15h</v>
      </c>
      <c r="M478" s="500">
        <f t="shared" si="400"/>
        <v>6</v>
      </c>
      <c r="N478" s="500" t="str">
        <f t="shared" si="400"/>
        <v>9h-15h</v>
      </c>
      <c r="O478" s="500">
        <f t="shared" si="400"/>
        <v>6</v>
      </c>
      <c r="P478" s="500" t="str">
        <f t="shared" si="400"/>
        <v>9h-15h</v>
      </c>
      <c r="Q478" s="501">
        <v>30</v>
      </c>
      <c r="R478" s="502">
        <f t="shared" si="401"/>
        <v>4.5000000000000009</v>
      </c>
      <c r="S478" s="503">
        <f t="shared" si="402"/>
        <v>4.5000000000000009</v>
      </c>
      <c r="T478" s="503">
        <f t="shared" si="403"/>
        <v>4.5000000000000009</v>
      </c>
      <c r="U478" s="503">
        <f t="shared" si="404"/>
        <v>4.5000000000000009</v>
      </c>
      <c r="V478" s="502">
        <f t="shared" si="405"/>
        <v>4.5000000000000009</v>
      </c>
      <c r="W478" s="503">
        <f t="shared" si="406"/>
        <v>4.5000000000000009</v>
      </c>
      <c r="X478" s="503">
        <f t="shared" si="407"/>
        <v>4.5000000000000009</v>
      </c>
      <c r="Y478" s="503">
        <f t="shared" si="408"/>
        <v>4.5000000000000009</v>
      </c>
      <c r="Z478" s="504">
        <f t="shared" si="409"/>
        <v>1</v>
      </c>
      <c r="AA478" s="504">
        <f t="shared" si="409"/>
        <v>1</v>
      </c>
      <c r="AB478" s="504">
        <f t="shared" si="409"/>
        <v>1</v>
      </c>
      <c r="AC478" s="504">
        <f t="shared" si="409"/>
        <v>1</v>
      </c>
      <c r="AD478" s="96"/>
      <c r="AE478" s="96"/>
      <c r="AF478" s="96"/>
      <c r="AG478" s="96"/>
      <c r="AH478" s="96"/>
      <c r="AI478" s="96"/>
      <c r="AJ478" s="96"/>
      <c r="AK478" s="96"/>
    </row>
    <row r="479" spans="1:37" customFormat="1" ht="15.75" customHeight="1">
      <c r="A479" s="497"/>
      <c r="B479" s="498" t="s">
        <v>469</v>
      </c>
      <c r="C479" s="499">
        <v>4</v>
      </c>
      <c r="D479" s="499">
        <v>4</v>
      </c>
      <c r="E479" s="499">
        <v>4</v>
      </c>
      <c r="F479" s="499">
        <v>4</v>
      </c>
      <c r="G479" s="500">
        <v>0.3</v>
      </c>
      <c r="H479" s="500">
        <v>0.3</v>
      </c>
      <c r="I479" s="500">
        <v>24</v>
      </c>
      <c r="J479" s="500" t="s">
        <v>996</v>
      </c>
      <c r="K479" s="500">
        <f t="shared" si="400"/>
        <v>24</v>
      </c>
      <c r="L479" s="500" t="str">
        <f t="shared" si="400"/>
        <v>24/24</v>
      </c>
      <c r="M479" s="500">
        <f t="shared" si="400"/>
        <v>24</v>
      </c>
      <c r="N479" s="500" t="str">
        <f t="shared" si="400"/>
        <v>24/24</v>
      </c>
      <c r="O479" s="500">
        <f t="shared" si="400"/>
        <v>24</v>
      </c>
      <c r="P479" s="500" t="str">
        <f t="shared" si="400"/>
        <v>24/24</v>
      </c>
      <c r="Q479" s="501">
        <v>30</v>
      </c>
      <c r="R479" s="502">
        <f t="shared" si="401"/>
        <v>863.99999999999989</v>
      </c>
      <c r="S479" s="503">
        <f t="shared" si="402"/>
        <v>863.99999999999989</v>
      </c>
      <c r="T479" s="503">
        <f t="shared" si="403"/>
        <v>863.99999999999989</v>
      </c>
      <c r="U479" s="503">
        <f t="shared" si="404"/>
        <v>863.99999999999989</v>
      </c>
      <c r="V479" s="502">
        <f t="shared" si="405"/>
        <v>863.99999999999989</v>
      </c>
      <c r="W479" s="503">
        <f t="shared" si="406"/>
        <v>863.99999999999989</v>
      </c>
      <c r="X479" s="503">
        <f t="shared" si="407"/>
        <v>863.99999999999989</v>
      </c>
      <c r="Y479" s="503">
        <f t="shared" si="408"/>
        <v>863.99999999999989</v>
      </c>
      <c r="Z479" s="504">
        <f t="shared" si="409"/>
        <v>1</v>
      </c>
      <c r="AA479" s="504">
        <f t="shared" si="409"/>
        <v>1</v>
      </c>
      <c r="AB479" s="504">
        <f t="shared" si="409"/>
        <v>1</v>
      </c>
      <c r="AC479" s="504">
        <f t="shared" si="409"/>
        <v>1</v>
      </c>
      <c r="AD479" s="96"/>
      <c r="AE479" s="96"/>
      <c r="AF479" s="96"/>
      <c r="AG479" s="96"/>
      <c r="AH479" s="96"/>
      <c r="AI479" s="96"/>
      <c r="AJ479" s="96"/>
      <c r="AK479" s="96"/>
    </row>
    <row r="480" spans="1:37" customFormat="1" ht="15.75" customHeight="1">
      <c r="A480" s="497"/>
      <c r="B480" s="498" t="s">
        <v>1674</v>
      </c>
      <c r="C480" s="499">
        <v>2</v>
      </c>
      <c r="D480" s="499">
        <v>2</v>
      </c>
      <c r="E480" s="499">
        <v>2</v>
      </c>
      <c r="F480" s="499">
        <v>2</v>
      </c>
      <c r="G480" s="500">
        <v>0.9</v>
      </c>
      <c r="H480" s="500">
        <v>0.9</v>
      </c>
      <c r="I480" s="500">
        <v>24</v>
      </c>
      <c r="J480" s="500" t="s">
        <v>996</v>
      </c>
      <c r="K480" s="500">
        <f t="shared" si="400"/>
        <v>24</v>
      </c>
      <c r="L480" s="500" t="str">
        <f t="shared" si="400"/>
        <v>24/24</v>
      </c>
      <c r="M480" s="500">
        <f t="shared" si="400"/>
        <v>24</v>
      </c>
      <c r="N480" s="500" t="str">
        <f t="shared" si="400"/>
        <v>24/24</v>
      </c>
      <c r="O480" s="500">
        <f t="shared" si="400"/>
        <v>24</v>
      </c>
      <c r="P480" s="500" t="str">
        <f t="shared" si="400"/>
        <v>24/24</v>
      </c>
      <c r="Q480" s="501">
        <v>30</v>
      </c>
      <c r="R480" s="502">
        <f t="shared" si="401"/>
        <v>1296</v>
      </c>
      <c r="S480" s="503">
        <f t="shared" si="402"/>
        <v>1296</v>
      </c>
      <c r="T480" s="503">
        <f t="shared" si="403"/>
        <v>1296</v>
      </c>
      <c r="U480" s="503">
        <f t="shared" si="404"/>
        <v>1296</v>
      </c>
      <c r="V480" s="502">
        <f t="shared" si="405"/>
        <v>1296</v>
      </c>
      <c r="W480" s="503">
        <f t="shared" si="406"/>
        <v>1296</v>
      </c>
      <c r="X480" s="503">
        <f t="shared" si="407"/>
        <v>1296</v>
      </c>
      <c r="Y480" s="503">
        <f t="shared" si="408"/>
        <v>1296</v>
      </c>
      <c r="Z480" s="504">
        <f t="shared" si="409"/>
        <v>1</v>
      </c>
      <c r="AA480" s="504">
        <f t="shared" si="409"/>
        <v>1</v>
      </c>
      <c r="AB480" s="504">
        <f t="shared" si="409"/>
        <v>1</v>
      </c>
      <c r="AC480" s="504">
        <f t="shared" si="409"/>
        <v>1</v>
      </c>
      <c r="AD480" s="96"/>
      <c r="AE480" s="96"/>
      <c r="AF480" s="96"/>
      <c r="AG480" s="96"/>
      <c r="AH480" s="96"/>
      <c r="AI480" s="96"/>
      <c r="AJ480" s="96"/>
      <c r="AK480" s="96"/>
    </row>
    <row r="481" spans="1:37" customFormat="1" ht="15.75" customHeight="1">
      <c r="A481" s="489"/>
      <c r="B481" s="490" t="s">
        <v>1675</v>
      </c>
      <c r="C481" s="491"/>
      <c r="D481" s="491"/>
      <c r="E481" s="491"/>
      <c r="F481" s="491"/>
      <c r="G481" s="492"/>
      <c r="H481" s="492"/>
      <c r="I481" s="492"/>
      <c r="J481" s="492"/>
      <c r="K481" s="492"/>
      <c r="L481" s="492"/>
      <c r="M481" s="492"/>
      <c r="N481" s="492"/>
      <c r="O481" s="492"/>
      <c r="P481" s="492"/>
      <c r="Q481" s="493"/>
      <c r="R481" s="494"/>
      <c r="S481" s="495"/>
      <c r="T481" s="495"/>
      <c r="U481" s="495"/>
      <c r="V481" s="494"/>
      <c r="W481" s="495"/>
      <c r="X481" s="495"/>
      <c r="Y481" s="495"/>
      <c r="Z481" s="496"/>
      <c r="AA481" s="496"/>
      <c r="AB481" s="496"/>
      <c r="AC481" s="496"/>
      <c r="AD481" s="96"/>
      <c r="AE481" s="96"/>
      <c r="AF481" s="96"/>
      <c r="AG481" s="96"/>
      <c r="AH481" s="96"/>
      <c r="AI481" s="96"/>
      <c r="AJ481" s="96"/>
      <c r="AK481" s="96"/>
    </row>
    <row r="482" spans="1:37" customFormat="1" ht="15.75" customHeight="1">
      <c r="A482" s="497"/>
      <c r="B482" s="498" t="s">
        <v>1670</v>
      </c>
      <c r="C482" s="499">
        <v>1</v>
      </c>
      <c r="D482" s="499">
        <v>1</v>
      </c>
      <c r="E482" s="499">
        <v>1</v>
      </c>
      <c r="F482" s="499">
        <v>1</v>
      </c>
      <c r="G482" s="500">
        <v>3.5</v>
      </c>
      <c r="H482" s="500">
        <v>3.5</v>
      </c>
      <c r="I482" s="500">
        <v>6</v>
      </c>
      <c r="J482" s="500" t="s">
        <v>1127</v>
      </c>
      <c r="K482" s="500">
        <f t="shared" si="400"/>
        <v>6</v>
      </c>
      <c r="L482" s="500" t="str">
        <f t="shared" si="400"/>
        <v>9h-15h</v>
      </c>
      <c r="M482" s="500">
        <f t="shared" si="400"/>
        <v>6</v>
      </c>
      <c r="N482" s="500" t="str">
        <f t="shared" si="400"/>
        <v>9h-15h</v>
      </c>
      <c r="O482" s="500">
        <f t="shared" si="400"/>
        <v>6</v>
      </c>
      <c r="P482" s="500" t="str">
        <f t="shared" si="400"/>
        <v>9h-15h</v>
      </c>
      <c r="Q482" s="501">
        <v>30</v>
      </c>
      <c r="R482" s="502">
        <f t="shared" si="401"/>
        <v>630</v>
      </c>
      <c r="S482" s="503">
        <f t="shared" si="402"/>
        <v>630</v>
      </c>
      <c r="T482" s="503">
        <f t="shared" si="403"/>
        <v>630</v>
      </c>
      <c r="U482" s="503">
        <f t="shared" si="404"/>
        <v>630</v>
      </c>
      <c r="V482" s="502">
        <f t="shared" si="405"/>
        <v>630</v>
      </c>
      <c r="W482" s="503">
        <f t="shared" si="406"/>
        <v>630</v>
      </c>
      <c r="X482" s="503">
        <f t="shared" si="407"/>
        <v>630</v>
      </c>
      <c r="Y482" s="503">
        <f t="shared" si="408"/>
        <v>630</v>
      </c>
      <c r="Z482" s="504">
        <f t="shared" si="409"/>
        <v>1</v>
      </c>
      <c r="AA482" s="504">
        <f t="shared" si="409"/>
        <v>1</v>
      </c>
      <c r="AB482" s="504">
        <f t="shared" si="409"/>
        <v>1</v>
      </c>
      <c r="AC482" s="504">
        <f t="shared" si="409"/>
        <v>1</v>
      </c>
      <c r="AD482" s="96"/>
      <c r="AE482" s="96"/>
      <c r="AF482" s="96"/>
      <c r="AG482" s="96"/>
      <c r="AH482" s="96"/>
      <c r="AI482" s="96"/>
      <c r="AJ482" s="96"/>
      <c r="AK482" s="96"/>
    </row>
    <row r="483" spans="1:37" customFormat="1" ht="15.75" customHeight="1">
      <c r="A483" s="497"/>
      <c r="B483" s="498" t="s">
        <v>1676</v>
      </c>
      <c r="C483" s="499">
        <v>1</v>
      </c>
      <c r="D483" s="499">
        <v>1</v>
      </c>
      <c r="E483" s="499">
        <v>1</v>
      </c>
      <c r="F483" s="499">
        <v>1</v>
      </c>
      <c r="G483" s="500">
        <v>5.42</v>
      </c>
      <c r="H483" s="500">
        <v>5.42</v>
      </c>
      <c r="I483" s="500">
        <v>6</v>
      </c>
      <c r="J483" s="500" t="s">
        <v>1127</v>
      </c>
      <c r="K483" s="500">
        <f t="shared" ref="K483:P502" si="410">I483</f>
        <v>6</v>
      </c>
      <c r="L483" s="500" t="str">
        <f t="shared" si="410"/>
        <v>9h-15h</v>
      </c>
      <c r="M483" s="500">
        <f t="shared" si="410"/>
        <v>6</v>
      </c>
      <c r="N483" s="500" t="str">
        <f t="shared" si="410"/>
        <v>9h-15h</v>
      </c>
      <c r="O483" s="500">
        <f t="shared" si="410"/>
        <v>6</v>
      </c>
      <c r="P483" s="500" t="str">
        <f t="shared" si="410"/>
        <v>9h-15h</v>
      </c>
      <c r="Q483" s="501">
        <v>30</v>
      </c>
      <c r="R483" s="502">
        <f t="shared" si="401"/>
        <v>975.59999999999991</v>
      </c>
      <c r="S483" s="503">
        <f t="shared" si="402"/>
        <v>975.59999999999991</v>
      </c>
      <c r="T483" s="503">
        <f t="shared" si="403"/>
        <v>975.59999999999991</v>
      </c>
      <c r="U483" s="503">
        <f t="shared" si="404"/>
        <v>975.59999999999991</v>
      </c>
      <c r="V483" s="502">
        <f t="shared" si="405"/>
        <v>975.59999999999991</v>
      </c>
      <c r="W483" s="503">
        <f t="shared" si="406"/>
        <v>975.59999999999991</v>
      </c>
      <c r="X483" s="503">
        <f t="shared" si="407"/>
        <v>975.59999999999991</v>
      </c>
      <c r="Y483" s="503">
        <f t="shared" si="408"/>
        <v>975.59999999999991</v>
      </c>
      <c r="Z483" s="504">
        <f t="shared" ref="Z483:AC502" si="411">V483/R483</f>
        <v>1</v>
      </c>
      <c r="AA483" s="504">
        <f t="shared" si="411"/>
        <v>1</v>
      </c>
      <c r="AB483" s="504">
        <f t="shared" si="411"/>
        <v>1</v>
      </c>
      <c r="AC483" s="504">
        <f t="shared" si="411"/>
        <v>1</v>
      </c>
      <c r="AD483" s="96"/>
      <c r="AE483" s="96"/>
      <c r="AF483" s="96"/>
      <c r="AG483" s="96"/>
      <c r="AH483" s="96"/>
      <c r="AI483" s="96"/>
      <c r="AJ483" s="96"/>
      <c r="AK483" s="96"/>
    </row>
    <row r="484" spans="1:37" customFormat="1" ht="15.75" customHeight="1">
      <c r="A484" s="497"/>
      <c r="B484" s="498" t="s">
        <v>1677</v>
      </c>
      <c r="C484" s="499">
        <v>1</v>
      </c>
      <c r="D484" s="499">
        <v>1</v>
      </c>
      <c r="E484" s="499">
        <v>1</v>
      </c>
      <c r="F484" s="499">
        <v>1</v>
      </c>
      <c r="G484" s="500">
        <v>3.5</v>
      </c>
      <c r="H484" s="500">
        <v>3.5</v>
      </c>
      <c r="I484" s="500">
        <v>6</v>
      </c>
      <c r="J484" s="500" t="s">
        <v>1127</v>
      </c>
      <c r="K484" s="500">
        <f t="shared" si="410"/>
        <v>6</v>
      </c>
      <c r="L484" s="500" t="str">
        <f t="shared" si="410"/>
        <v>9h-15h</v>
      </c>
      <c r="M484" s="500">
        <f t="shared" si="410"/>
        <v>6</v>
      </c>
      <c r="N484" s="500" t="str">
        <f t="shared" si="410"/>
        <v>9h-15h</v>
      </c>
      <c r="O484" s="500">
        <f t="shared" si="410"/>
        <v>6</v>
      </c>
      <c r="P484" s="500" t="str">
        <f t="shared" si="410"/>
        <v>9h-15h</v>
      </c>
      <c r="Q484" s="501">
        <v>30</v>
      </c>
      <c r="R484" s="502">
        <f t="shared" si="401"/>
        <v>630</v>
      </c>
      <c r="S484" s="503">
        <f t="shared" si="402"/>
        <v>630</v>
      </c>
      <c r="T484" s="503">
        <f t="shared" si="403"/>
        <v>630</v>
      </c>
      <c r="U484" s="503">
        <f t="shared" si="404"/>
        <v>630</v>
      </c>
      <c r="V484" s="502">
        <f t="shared" si="405"/>
        <v>630</v>
      </c>
      <c r="W484" s="503">
        <f t="shared" si="406"/>
        <v>630</v>
      </c>
      <c r="X484" s="503">
        <f t="shared" si="407"/>
        <v>630</v>
      </c>
      <c r="Y484" s="503">
        <f t="shared" si="408"/>
        <v>630</v>
      </c>
      <c r="Z484" s="504">
        <f t="shared" si="411"/>
        <v>1</v>
      </c>
      <c r="AA484" s="504">
        <f t="shared" si="411"/>
        <v>1</v>
      </c>
      <c r="AB484" s="504">
        <f t="shared" si="411"/>
        <v>1</v>
      </c>
      <c r="AC484" s="504">
        <f t="shared" si="411"/>
        <v>1</v>
      </c>
      <c r="AD484" s="96"/>
      <c r="AE484" s="96"/>
      <c r="AF484" s="96"/>
      <c r="AG484" s="96"/>
      <c r="AH484" s="96"/>
      <c r="AI484" s="96"/>
      <c r="AJ484" s="96"/>
      <c r="AK484" s="96"/>
    </row>
    <row r="485" spans="1:37" customFormat="1" ht="15.75" customHeight="1">
      <c r="A485" s="497"/>
      <c r="B485" s="498" t="s">
        <v>1672</v>
      </c>
      <c r="C485" s="499">
        <v>1</v>
      </c>
      <c r="D485" s="499">
        <v>1</v>
      </c>
      <c r="E485" s="499">
        <v>1</v>
      </c>
      <c r="F485" s="499">
        <v>1</v>
      </c>
      <c r="G485" s="500">
        <v>0.1</v>
      </c>
      <c r="H485" s="500">
        <v>0.1</v>
      </c>
      <c r="I485" s="500">
        <v>6</v>
      </c>
      <c r="J485" s="500" t="s">
        <v>1127</v>
      </c>
      <c r="K485" s="500">
        <f t="shared" si="410"/>
        <v>6</v>
      </c>
      <c r="L485" s="500" t="str">
        <f t="shared" si="410"/>
        <v>9h-15h</v>
      </c>
      <c r="M485" s="500">
        <f t="shared" si="410"/>
        <v>6</v>
      </c>
      <c r="N485" s="500" t="str">
        <f t="shared" si="410"/>
        <v>9h-15h</v>
      </c>
      <c r="O485" s="500">
        <f t="shared" si="410"/>
        <v>6</v>
      </c>
      <c r="P485" s="500" t="str">
        <f t="shared" si="410"/>
        <v>9h-15h</v>
      </c>
      <c r="Q485" s="501">
        <v>30</v>
      </c>
      <c r="R485" s="502">
        <f t="shared" si="401"/>
        <v>18.000000000000004</v>
      </c>
      <c r="S485" s="503">
        <f t="shared" si="402"/>
        <v>18.000000000000004</v>
      </c>
      <c r="T485" s="503">
        <f t="shared" si="403"/>
        <v>18.000000000000004</v>
      </c>
      <c r="U485" s="503">
        <f t="shared" si="404"/>
        <v>18.000000000000004</v>
      </c>
      <c r="V485" s="502">
        <f t="shared" si="405"/>
        <v>18.000000000000004</v>
      </c>
      <c r="W485" s="503">
        <f t="shared" si="406"/>
        <v>18.000000000000004</v>
      </c>
      <c r="X485" s="503">
        <f t="shared" si="407"/>
        <v>18.000000000000004</v>
      </c>
      <c r="Y485" s="503">
        <f t="shared" si="408"/>
        <v>18.000000000000004</v>
      </c>
      <c r="Z485" s="504">
        <f t="shared" si="411"/>
        <v>1</v>
      </c>
      <c r="AA485" s="504">
        <f t="shared" si="411"/>
        <v>1</v>
      </c>
      <c r="AB485" s="504">
        <f t="shared" si="411"/>
        <v>1</v>
      </c>
      <c r="AC485" s="504">
        <f t="shared" si="411"/>
        <v>1</v>
      </c>
      <c r="AD485" s="96"/>
      <c r="AE485" s="96"/>
      <c r="AF485" s="96"/>
      <c r="AG485" s="96"/>
      <c r="AH485" s="96"/>
      <c r="AI485" s="96"/>
      <c r="AJ485" s="96"/>
      <c r="AK485" s="96"/>
    </row>
    <row r="486" spans="1:37" customFormat="1" ht="15.75" customHeight="1">
      <c r="A486" s="497"/>
      <c r="B486" s="498" t="s">
        <v>469</v>
      </c>
      <c r="C486" s="499">
        <v>2</v>
      </c>
      <c r="D486" s="499">
        <v>2</v>
      </c>
      <c r="E486" s="499">
        <v>2</v>
      </c>
      <c r="F486" s="499">
        <v>2</v>
      </c>
      <c r="G486" s="500">
        <v>0.3</v>
      </c>
      <c r="H486" s="500">
        <v>0.3</v>
      </c>
      <c r="I486" s="500">
        <v>24</v>
      </c>
      <c r="J486" s="500" t="s">
        <v>996</v>
      </c>
      <c r="K486" s="500">
        <f t="shared" si="410"/>
        <v>24</v>
      </c>
      <c r="L486" s="500" t="str">
        <f t="shared" si="410"/>
        <v>24/24</v>
      </c>
      <c r="M486" s="500">
        <f t="shared" si="410"/>
        <v>24</v>
      </c>
      <c r="N486" s="500" t="str">
        <f t="shared" si="410"/>
        <v>24/24</v>
      </c>
      <c r="O486" s="500">
        <f t="shared" si="410"/>
        <v>24</v>
      </c>
      <c r="P486" s="500" t="str">
        <f t="shared" si="410"/>
        <v>24/24</v>
      </c>
      <c r="Q486" s="501">
        <v>30</v>
      </c>
      <c r="R486" s="502">
        <f t="shared" si="401"/>
        <v>431.99999999999994</v>
      </c>
      <c r="S486" s="503">
        <f t="shared" si="402"/>
        <v>431.99999999999994</v>
      </c>
      <c r="T486" s="503">
        <f t="shared" si="403"/>
        <v>431.99999999999994</v>
      </c>
      <c r="U486" s="503">
        <f t="shared" si="404"/>
        <v>431.99999999999994</v>
      </c>
      <c r="V486" s="502">
        <f t="shared" si="405"/>
        <v>431.99999999999994</v>
      </c>
      <c r="W486" s="503">
        <f t="shared" si="406"/>
        <v>431.99999999999994</v>
      </c>
      <c r="X486" s="503">
        <f t="shared" si="407"/>
        <v>431.99999999999994</v>
      </c>
      <c r="Y486" s="503">
        <f t="shared" si="408"/>
        <v>431.99999999999994</v>
      </c>
      <c r="Z486" s="504">
        <f t="shared" si="411"/>
        <v>1</v>
      </c>
      <c r="AA486" s="504">
        <f t="shared" si="411"/>
        <v>1</v>
      </c>
      <c r="AB486" s="504">
        <f t="shared" si="411"/>
        <v>1</v>
      </c>
      <c r="AC486" s="504">
        <f t="shared" si="411"/>
        <v>1</v>
      </c>
      <c r="AD486" s="96"/>
      <c r="AE486" s="96"/>
      <c r="AF486" s="96"/>
      <c r="AG486" s="96"/>
      <c r="AH486" s="96"/>
      <c r="AI486" s="96"/>
      <c r="AJ486" s="96"/>
      <c r="AK486" s="96"/>
    </row>
    <row r="487" spans="1:37" customFormat="1" ht="15.75" customHeight="1">
      <c r="A487" s="497"/>
      <c r="B487" s="498" t="s">
        <v>1803</v>
      </c>
      <c r="C487" s="499">
        <v>1</v>
      </c>
      <c r="D487" s="499">
        <v>1</v>
      </c>
      <c r="E487" s="499">
        <v>1</v>
      </c>
      <c r="F487" s="499">
        <v>1</v>
      </c>
      <c r="G487" s="500">
        <v>0.1</v>
      </c>
      <c r="H487" s="500">
        <v>0.1</v>
      </c>
      <c r="I487" s="500">
        <v>24</v>
      </c>
      <c r="J487" s="500" t="s">
        <v>996</v>
      </c>
      <c r="K487" s="500">
        <f t="shared" si="410"/>
        <v>24</v>
      </c>
      <c r="L487" s="500" t="str">
        <f t="shared" si="410"/>
        <v>24/24</v>
      </c>
      <c r="M487" s="500">
        <f t="shared" si="410"/>
        <v>24</v>
      </c>
      <c r="N487" s="500" t="str">
        <f t="shared" si="410"/>
        <v>24/24</v>
      </c>
      <c r="O487" s="500">
        <f t="shared" si="410"/>
        <v>24</v>
      </c>
      <c r="P487" s="500" t="str">
        <f t="shared" si="410"/>
        <v>24/24</v>
      </c>
      <c r="Q487" s="501"/>
      <c r="R487" s="502"/>
      <c r="S487" s="503"/>
      <c r="T487" s="503"/>
      <c r="U487" s="503"/>
      <c r="V487" s="502"/>
      <c r="W487" s="503"/>
      <c r="X487" s="503"/>
      <c r="Y487" s="503"/>
      <c r="Z487" s="504"/>
      <c r="AA487" s="504"/>
      <c r="AB487" s="504"/>
      <c r="AC487" s="504"/>
      <c r="AD487" s="96"/>
      <c r="AE487" s="96"/>
      <c r="AF487" s="96"/>
      <c r="AG487" s="96"/>
      <c r="AH487" s="96"/>
      <c r="AI487" s="96"/>
      <c r="AJ487" s="96"/>
      <c r="AK487" s="96"/>
    </row>
    <row r="488" spans="1:37" customFormat="1" ht="15.75" customHeight="1">
      <c r="A488" s="497"/>
      <c r="B488" s="498" t="s">
        <v>728</v>
      </c>
      <c r="C488" s="499">
        <v>1</v>
      </c>
      <c r="D488" s="499">
        <v>1</v>
      </c>
      <c r="E488" s="499">
        <v>1</v>
      </c>
      <c r="F488" s="499">
        <v>1</v>
      </c>
      <c r="G488" s="500">
        <v>2</v>
      </c>
      <c r="H488" s="500">
        <v>2</v>
      </c>
      <c r="I488" s="500">
        <v>24</v>
      </c>
      <c r="J488" s="500" t="s">
        <v>996</v>
      </c>
      <c r="K488" s="500">
        <f t="shared" si="410"/>
        <v>24</v>
      </c>
      <c r="L488" s="500" t="str">
        <f t="shared" si="410"/>
        <v>24/24</v>
      </c>
      <c r="M488" s="500">
        <f t="shared" si="410"/>
        <v>24</v>
      </c>
      <c r="N488" s="500" t="str">
        <f t="shared" si="410"/>
        <v>24/24</v>
      </c>
      <c r="O488" s="500">
        <f t="shared" si="410"/>
        <v>24</v>
      </c>
      <c r="P488" s="500" t="str">
        <f t="shared" si="410"/>
        <v>24/24</v>
      </c>
      <c r="Q488" s="501"/>
      <c r="R488" s="502"/>
      <c r="S488" s="503"/>
      <c r="T488" s="503"/>
      <c r="U488" s="503"/>
      <c r="V488" s="502"/>
      <c r="W488" s="503"/>
      <c r="X488" s="503"/>
      <c r="Y488" s="503"/>
      <c r="Z488" s="504"/>
      <c r="AA488" s="504"/>
      <c r="AB488" s="504"/>
      <c r="AC488" s="504"/>
      <c r="AD488" s="96"/>
      <c r="AE488" s="96"/>
      <c r="AF488" s="96"/>
      <c r="AG488" s="96"/>
      <c r="AH488" s="96"/>
      <c r="AI488" s="96"/>
      <c r="AJ488" s="96"/>
      <c r="AK488" s="96"/>
    </row>
    <row r="489" spans="1:37" customFormat="1" ht="15.75" customHeight="1">
      <c r="A489" s="497"/>
      <c r="B489" s="498" t="s">
        <v>1674</v>
      </c>
      <c r="C489" s="499">
        <v>1</v>
      </c>
      <c r="D489" s="499">
        <v>1</v>
      </c>
      <c r="E489" s="499">
        <v>1</v>
      </c>
      <c r="F489" s="499">
        <v>1</v>
      </c>
      <c r="G489" s="500">
        <v>0.9</v>
      </c>
      <c r="H489" s="500">
        <v>0.9</v>
      </c>
      <c r="I489" s="500">
        <v>24</v>
      </c>
      <c r="J489" s="500" t="s">
        <v>996</v>
      </c>
      <c r="K489" s="500">
        <f t="shared" si="410"/>
        <v>24</v>
      </c>
      <c r="L489" s="500" t="str">
        <f t="shared" si="410"/>
        <v>24/24</v>
      </c>
      <c r="M489" s="500">
        <f t="shared" si="410"/>
        <v>24</v>
      </c>
      <c r="N489" s="500" t="str">
        <f t="shared" si="410"/>
        <v>24/24</v>
      </c>
      <c r="O489" s="500">
        <f t="shared" si="410"/>
        <v>24</v>
      </c>
      <c r="P489" s="500" t="str">
        <f t="shared" si="410"/>
        <v>24/24</v>
      </c>
      <c r="Q489" s="501">
        <v>30</v>
      </c>
      <c r="R489" s="502">
        <f t="shared" ref="R489" si="412">C489*G489*I489*Q489</f>
        <v>648</v>
      </c>
      <c r="S489" s="503">
        <f t="shared" ref="S489" si="413">D489*G489*K489*Q489</f>
        <v>648</v>
      </c>
      <c r="T489" s="503">
        <f t="shared" ref="T489" si="414">E489*G489*M489*Q489</f>
        <v>648</v>
      </c>
      <c r="U489" s="503">
        <f t="shared" ref="U489" si="415">F489*G489*O489*Q489</f>
        <v>648</v>
      </c>
      <c r="V489" s="502">
        <f t="shared" ref="V489" si="416">C489*H489*I489*Q489</f>
        <v>648</v>
      </c>
      <c r="W489" s="503">
        <f t="shared" ref="W489" si="417">D489*H489*K489*Q489</f>
        <v>648</v>
      </c>
      <c r="X489" s="503">
        <f t="shared" ref="X489" si="418">E489*H489*M489*Q489</f>
        <v>648</v>
      </c>
      <c r="Y489" s="503">
        <f t="shared" ref="Y489" si="419">F489*H489*O489*Q489</f>
        <v>648</v>
      </c>
      <c r="Z489" s="504">
        <f t="shared" ref="Z489:AC489" si="420">V489/R489</f>
        <v>1</v>
      </c>
      <c r="AA489" s="504">
        <f t="shared" si="420"/>
        <v>1</v>
      </c>
      <c r="AB489" s="504">
        <f t="shared" si="420"/>
        <v>1</v>
      </c>
      <c r="AC489" s="504">
        <f t="shared" si="420"/>
        <v>1</v>
      </c>
      <c r="AD489" s="96"/>
      <c r="AE489" s="96"/>
      <c r="AF489" s="96"/>
      <c r="AG489" s="96"/>
      <c r="AH489" s="96"/>
      <c r="AI489" s="96"/>
      <c r="AJ489" s="96"/>
      <c r="AK489" s="96"/>
    </row>
    <row r="490" spans="1:37" customFormat="1" ht="15.75" customHeight="1">
      <c r="A490" s="497"/>
      <c r="B490" s="498" t="s">
        <v>1802</v>
      </c>
      <c r="C490" s="499">
        <v>1</v>
      </c>
      <c r="D490" s="499">
        <v>1</v>
      </c>
      <c r="E490" s="499">
        <v>1</v>
      </c>
      <c r="F490" s="499">
        <v>1</v>
      </c>
      <c r="G490" s="500">
        <v>0.8</v>
      </c>
      <c r="H490" s="500">
        <v>0.8</v>
      </c>
      <c r="I490" s="500">
        <v>24</v>
      </c>
      <c r="J490" s="500" t="s">
        <v>996</v>
      </c>
      <c r="K490" s="500">
        <f t="shared" si="410"/>
        <v>24</v>
      </c>
      <c r="L490" s="500" t="str">
        <f t="shared" si="410"/>
        <v>24/24</v>
      </c>
      <c r="M490" s="500">
        <f t="shared" si="410"/>
        <v>24</v>
      </c>
      <c r="N490" s="500" t="str">
        <f t="shared" si="410"/>
        <v>24/24</v>
      </c>
      <c r="O490" s="500">
        <f t="shared" si="410"/>
        <v>24</v>
      </c>
      <c r="P490" s="500" t="str">
        <f t="shared" si="410"/>
        <v>24/24</v>
      </c>
      <c r="Q490" s="501">
        <v>30</v>
      </c>
      <c r="R490" s="502">
        <f t="shared" si="401"/>
        <v>576.00000000000011</v>
      </c>
      <c r="S490" s="503">
        <f t="shared" si="402"/>
        <v>576.00000000000011</v>
      </c>
      <c r="T490" s="503">
        <f t="shared" si="403"/>
        <v>576.00000000000011</v>
      </c>
      <c r="U490" s="503">
        <f t="shared" si="404"/>
        <v>576.00000000000011</v>
      </c>
      <c r="V490" s="502">
        <f t="shared" si="405"/>
        <v>576.00000000000011</v>
      </c>
      <c r="W490" s="503">
        <f t="shared" si="406"/>
        <v>576.00000000000011</v>
      </c>
      <c r="X490" s="503">
        <f t="shared" si="407"/>
        <v>576.00000000000011</v>
      </c>
      <c r="Y490" s="503">
        <f t="shared" si="408"/>
        <v>576.00000000000011</v>
      </c>
      <c r="Z490" s="504">
        <f t="shared" si="411"/>
        <v>1</v>
      </c>
      <c r="AA490" s="504">
        <f t="shared" si="411"/>
        <v>1</v>
      </c>
      <c r="AB490" s="504">
        <f t="shared" si="411"/>
        <v>1</v>
      </c>
      <c r="AC490" s="504">
        <f t="shared" si="411"/>
        <v>1</v>
      </c>
      <c r="AD490" s="96"/>
      <c r="AE490" s="96"/>
      <c r="AF490" s="96"/>
      <c r="AG490" s="96"/>
      <c r="AH490" s="96"/>
      <c r="AI490" s="96"/>
      <c r="AJ490" s="96"/>
      <c r="AK490" s="96"/>
    </row>
    <row r="491" spans="1:37" customFormat="1" ht="15.75" customHeight="1">
      <c r="A491" s="489"/>
      <c r="B491" s="490" t="s">
        <v>1678</v>
      </c>
      <c r="C491" s="491"/>
      <c r="D491" s="491"/>
      <c r="E491" s="491"/>
      <c r="F491" s="491"/>
      <c r="G491" s="492"/>
      <c r="H491" s="492"/>
      <c r="I491" s="492"/>
      <c r="J491" s="492"/>
      <c r="K491" s="492"/>
      <c r="L491" s="492"/>
      <c r="M491" s="492"/>
      <c r="N491" s="492"/>
      <c r="O491" s="492"/>
      <c r="P491" s="492"/>
      <c r="Q491" s="493"/>
      <c r="R491" s="494"/>
      <c r="S491" s="495"/>
      <c r="T491" s="495"/>
      <c r="U491" s="495"/>
      <c r="V491" s="494"/>
      <c r="W491" s="495"/>
      <c r="X491" s="495"/>
      <c r="Y491" s="495"/>
      <c r="Z491" s="496"/>
      <c r="AA491" s="496"/>
      <c r="AB491" s="496"/>
      <c r="AC491" s="496"/>
      <c r="AD491" s="96"/>
      <c r="AE491" s="96"/>
      <c r="AF491" s="96"/>
      <c r="AG491" s="96"/>
      <c r="AH491" s="96"/>
      <c r="AI491" s="96"/>
      <c r="AJ491" s="96"/>
      <c r="AK491" s="96"/>
    </row>
    <row r="492" spans="1:37" customFormat="1" ht="15.75" customHeight="1">
      <c r="A492" s="497"/>
      <c r="B492" s="498" t="s">
        <v>1679</v>
      </c>
      <c r="C492" s="499">
        <v>1</v>
      </c>
      <c r="D492" s="499">
        <v>1</v>
      </c>
      <c r="E492" s="499">
        <v>1</v>
      </c>
      <c r="F492" s="499">
        <v>1</v>
      </c>
      <c r="G492" s="500">
        <v>0.15</v>
      </c>
      <c r="H492" s="500">
        <v>0.15</v>
      </c>
      <c r="I492" s="500">
        <v>24</v>
      </c>
      <c r="J492" s="500" t="s">
        <v>996</v>
      </c>
      <c r="K492" s="500">
        <f t="shared" si="410"/>
        <v>24</v>
      </c>
      <c r="L492" s="500" t="str">
        <f t="shared" si="410"/>
        <v>24/24</v>
      </c>
      <c r="M492" s="500">
        <f t="shared" si="410"/>
        <v>24</v>
      </c>
      <c r="N492" s="500" t="str">
        <f t="shared" si="410"/>
        <v>24/24</v>
      </c>
      <c r="O492" s="500">
        <f t="shared" si="410"/>
        <v>24</v>
      </c>
      <c r="P492" s="500" t="str">
        <f t="shared" si="410"/>
        <v>24/24</v>
      </c>
      <c r="Q492" s="501">
        <v>30</v>
      </c>
      <c r="R492" s="502">
        <f t="shared" si="401"/>
        <v>107.99999999999999</v>
      </c>
      <c r="S492" s="503">
        <f t="shared" si="402"/>
        <v>107.99999999999999</v>
      </c>
      <c r="T492" s="503">
        <f t="shared" si="403"/>
        <v>107.99999999999999</v>
      </c>
      <c r="U492" s="503">
        <f t="shared" si="404"/>
        <v>107.99999999999999</v>
      </c>
      <c r="V492" s="502">
        <f t="shared" si="405"/>
        <v>107.99999999999999</v>
      </c>
      <c r="W492" s="503">
        <f t="shared" si="406"/>
        <v>107.99999999999999</v>
      </c>
      <c r="X492" s="503">
        <f t="shared" si="407"/>
        <v>107.99999999999999</v>
      </c>
      <c r="Y492" s="503">
        <f t="shared" si="408"/>
        <v>107.99999999999999</v>
      </c>
      <c r="Z492" s="504">
        <f t="shared" si="411"/>
        <v>1</v>
      </c>
      <c r="AA492" s="504">
        <f t="shared" si="411"/>
        <v>1</v>
      </c>
      <c r="AB492" s="504">
        <f t="shared" si="411"/>
        <v>1</v>
      </c>
      <c r="AC492" s="504">
        <f t="shared" si="411"/>
        <v>1</v>
      </c>
      <c r="AD492" s="96"/>
      <c r="AE492" s="96"/>
      <c r="AF492" s="96"/>
      <c r="AG492" s="96"/>
      <c r="AH492" s="96"/>
      <c r="AI492" s="96"/>
      <c r="AJ492" s="96"/>
      <c r="AK492" s="96"/>
    </row>
    <row r="493" spans="1:37" customFormat="1" ht="15.75" customHeight="1">
      <c r="A493" s="497"/>
      <c r="B493" s="498" t="s">
        <v>1680</v>
      </c>
      <c r="C493" s="499">
        <v>1</v>
      </c>
      <c r="D493" s="499">
        <v>1</v>
      </c>
      <c r="E493" s="499">
        <v>1</v>
      </c>
      <c r="F493" s="499">
        <v>1</v>
      </c>
      <c r="G493" s="500">
        <v>0.47</v>
      </c>
      <c r="H493" s="500">
        <v>0.47</v>
      </c>
      <c r="I493" s="500">
        <v>24</v>
      </c>
      <c r="J493" s="500" t="s">
        <v>996</v>
      </c>
      <c r="K493" s="500">
        <f t="shared" si="410"/>
        <v>24</v>
      </c>
      <c r="L493" s="500" t="str">
        <f t="shared" si="410"/>
        <v>24/24</v>
      </c>
      <c r="M493" s="500">
        <f t="shared" si="410"/>
        <v>24</v>
      </c>
      <c r="N493" s="500" t="str">
        <f t="shared" si="410"/>
        <v>24/24</v>
      </c>
      <c r="O493" s="500">
        <f t="shared" si="410"/>
        <v>24</v>
      </c>
      <c r="P493" s="500" t="str">
        <f t="shared" si="410"/>
        <v>24/24</v>
      </c>
      <c r="Q493" s="501">
        <v>30</v>
      </c>
      <c r="R493" s="502">
        <f t="shared" si="401"/>
        <v>338.4</v>
      </c>
      <c r="S493" s="503">
        <f t="shared" si="402"/>
        <v>338.4</v>
      </c>
      <c r="T493" s="503">
        <f t="shared" si="403"/>
        <v>338.4</v>
      </c>
      <c r="U493" s="503">
        <f t="shared" si="404"/>
        <v>338.4</v>
      </c>
      <c r="V493" s="502">
        <f t="shared" si="405"/>
        <v>338.4</v>
      </c>
      <c r="W493" s="503">
        <f t="shared" si="406"/>
        <v>338.4</v>
      </c>
      <c r="X493" s="503">
        <f t="shared" si="407"/>
        <v>338.4</v>
      </c>
      <c r="Y493" s="503">
        <f t="shared" si="408"/>
        <v>338.4</v>
      </c>
      <c r="Z493" s="504">
        <f t="shared" si="411"/>
        <v>1</v>
      </c>
      <c r="AA493" s="504">
        <f t="shared" si="411"/>
        <v>1</v>
      </c>
      <c r="AB493" s="504">
        <f t="shared" si="411"/>
        <v>1</v>
      </c>
      <c r="AC493" s="504">
        <f t="shared" si="411"/>
        <v>1</v>
      </c>
      <c r="AD493" s="96"/>
      <c r="AE493" s="96"/>
      <c r="AF493" s="96"/>
      <c r="AG493" s="96"/>
      <c r="AH493" s="96"/>
      <c r="AI493" s="96"/>
      <c r="AJ493" s="96"/>
      <c r="AK493" s="96"/>
    </row>
    <row r="494" spans="1:37" customFormat="1" ht="15.75" customHeight="1">
      <c r="A494" s="497"/>
      <c r="B494" s="498" t="s">
        <v>349</v>
      </c>
      <c r="C494" s="499">
        <v>1</v>
      </c>
      <c r="D494" s="499">
        <v>1</v>
      </c>
      <c r="E494" s="499">
        <v>1</v>
      </c>
      <c r="F494" s="499">
        <v>1</v>
      </c>
      <c r="G494" s="500">
        <v>1.55</v>
      </c>
      <c r="H494" s="500">
        <v>1.55</v>
      </c>
      <c r="I494" s="500">
        <v>6</v>
      </c>
      <c r="J494" s="500" t="s">
        <v>1127</v>
      </c>
      <c r="K494" s="500">
        <f t="shared" si="410"/>
        <v>6</v>
      </c>
      <c r="L494" s="500" t="str">
        <f t="shared" si="410"/>
        <v>9h-15h</v>
      </c>
      <c r="M494" s="500">
        <f t="shared" si="410"/>
        <v>6</v>
      </c>
      <c r="N494" s="500" t="str">
        <f t="shared" si="410"/>
        <v>9h-15h</v>
      </c>
      <c r="O494" s="500">
        <f t="shared" si="410"/>
        <v>6</v>
      </c>
      <c r="P494" s="500" t="str">
        <f t="shared" si="410"/>
        <v>9h-15h</v>
      </c>
      <c r="Q494" s="501">
        <v>30</v>
      </c>
      <c r="R494" s="502">
        <f t="shared" si="401"/>
        <v>279</v>
      </c>
      <c r="S494" s="503">
        <f t="shared" si="402"/>
        <v>279</v>
      </c>
      <c r="T494" s="503">
        <f t="shared" si="403"/>
        <v>279</v>
      </c>
      <c r="U494" s="503">
        <f t="shared" si="404"/>
        <v>279</v>
      </c>
      <c r="V494" s="502">
        <f t="shared" si="405"/>
        <v>279</v>
      </c>
      <c r="W494" s="503">
        <f t="shared" si="406"/>
        <v>279</v>
      </c>
      <c r="X494" s="503">
        <f t="shared" si="407"/>
        <v>279</v>
      </c>
      <c r="Y494" s="503">
        <f t="shared" si="408"/>
        <v>279</v>
      </c>
      <c r="Z494" s="504">
        <f t="shared" si="411"/>
        <v>1</v>
      </c>
      <c r="AA494" s="504">
        <f t="shared" si="411"/>
        <v>1</v>
      </c>
      <c r="AB494" s="504">
        <f t="shared" si="411"/>
        <v>1</v>
      </c>
      <c r="AC494" s="504">
        <f t="shared" si="411"/>
        <v>1</v>
      </c>
      <c r="AD494" s="96"/>
      <c r="AE494" s="96"/>
      <c r="AF494" s="96"/>
      <c r="AG494" s="96"/>
      <c r="AH494" s="96"/>
      <c r="AI494" s="96"/>
      <c r="AJ494" s="96"/>
      <c r="AK494" s="96"/>
    </row>
    <row r="495" spans="1:37" customFormat="1" ht="15.75" customHeight="1">
      <c r="A495" s="497"/>
      <c r="B495" s="498" t="s">
        <v>1669</v>
      </c>
      <c r="C495" s="499">
        <v>1</v>
      </c>
      <c r="D495" s="499">
        <v>1</v>
      </c>
      <c r="E495" s="499">
        <v>1</v>
      </c>
      <c r="F495" s="499">
        <v>1</v>
      </c>
      <c r="G495" s="500">
        <v>1.5</v>
      </c>
      <c r="H495" s="500">
        <v>1.5</v>
      </c>
      <c r="I495" s="500">
        <v>6</v>
      </c>
      <c r="J495" s="500" t="s">
        <v>1127</v>
      </c>
      <c r="K495" s="500">
        <f t="shared" si="410"/>
        <v>6</v>
      </c>
      <c r="L495" s="500" t="str">
        <f t="shared" si="410"/>
        <v>9h-15h</v>
      </c>
      <c r="M495" s="500">
        <f t="shared" si="410"/>
        <v>6</v>
      </c>
      <c r="N495" s="500" t="str">
        <f t="shared" si="410"/>
        <v>9h-15h</v>
      </c>
      <c r="O495" s="500">
        <f t="shared" si="410"/>
        <v>6</v>
      </c>
      <c r="P495" s="500" t="str">
        <f t="shared" si="410"/>
        <v>9h-15h</v>
      </c>
      <c r="Q495" s="501">
        <v>30</v>
      </c>
      <c r="R495" s="502">
        <f t="shared" si="401"/>
        <v>270</v>
      </c>
      <c r="S495" s="503">
        <f t="shared" si="402"/>
        <v>270</v>
      </c>
      <c r="T495" s="503">
        <f t="shared" si="403"/>
        <v>270</v>
      </c>
      <c r="U495" s="503">
        <f t="shared" si="404"/>
        <v>270</v>
      </c>
      <c r="V495" s="502">
        <f t="shared" si="405"/>
        <v>270</v>
      </c>
      <c r="W495" s="503">
        <f t="shared" si="406"/>
        <v>270</v>
      </c>
      <c r="X495" s="503">
        <f t="shared" si="407"/>
        <v>270</v>
      </c>
      <c r="Y495" s="503">
        <f t="shared" si="408"/>
        <v>270</v>
      </c>
      <c r="Z495" s="504">
        <f t="shared" si="411"/>
        <v>1</v>
      </c>
      <c r="AA495" s="504">
        <f t="shared" si="411"/>
        <v>1</v>
      </c>
      <c r="AB495" s="504">
        <f t="shared" si="411"/>
        <v>1</v>
      </c>
      <c r="AC495" s="504">
        <f t="shared" si="411"/>
        <v>1</v>
      </c>
      <c r="AD495" s="96"/>
      <c r="AE495" s="96"/>
      <c r="AF495" s="96"/>
      <c r="AG495" s="96"/>
      <c r="AH495" s="96"/>
      <c r="AI495" s="96"/>
      <c r="AJ495" s="96"/>
      <c r="AK495" s="96"/>
    </row>
    <row r="496" spans="1:37" customFormat="1" ht="15.75" customHeight="1">
      <c r="A496" s="497"/>
      <c r="B496" s="498" t="s">
        <v>1681</v>
      </c>
      <c r="C496" s="499">
        <v>2</v>
      </c>
      <c r="D496" s="499">
        <v>2</v>
      </c>
      <c r="E496" s="499">
        <v>2</v>
      </c>
      <c r="F496" s="499">
        <v>2</v>
      </c>
      <c r="G496" s="500">
        <v>2.1</v>
      </c>
      <c r="H496" s="500">
        <v>2.1</v>
      </c>
      <c r="I496" s="500">
        <v>6</v>
      </c>
      <c r="J496" s="500" t="s">
        <v>1127</v>
      </c>
      <c r="K496" s="500">
        <f t="shared" si="410"/>
        <v>6</v>
      </c>
      <c r="L496" s="500" t="str">
        <f t="shared" si="410"/>
        <v>9h-15h</v>
      </c>
      <c r="M496" s="500">
        <f t="shared" si="410"/>
        <v>6</v>
      </c>
      <c r="N496" s="500" t="str">
        <f t="shared" si="410"/>
        <v>9h-15h</v>
      </c>
      <c r="O496" s="500">
        <f t="shared" si="410"/>
        <v>6</v>
      </c>
      <c r="P496" s="500" t="str">
        <f t="shared" si="410"/>
        <v>9h-15h</v>
      </c>
      <c r="Q496" s="501">
        <v>30</v>
      </c>
      <c r="R496" s="502">
        <f t="shared" si="401"/>
        <v>756.00000000000011</v>
      </c>
      <c r="S496" s="503">
        <f t="shared" si="402"/>
        <v>756.00000000000011</v>
      </c>
      <c r="T496" s="503">
        <f t="shared" si="403"/>
        <v>756.00000000000011</v>
      </c>
      <c r="U496" s="503">
        <f t="shared" si="404"/>
        <v>756.00000000000011</v>
      </c>
      <c r="V496" s="502">
        <f t="shared" si="405"/>
        <v>756.00000000000011</v>
      </c>
      <c r="W496" s="503">
        <f t="shared" si="406"/>
        <v>756.00000000000011</v>
      </c>
      <c r="X496" s="503">
        <f t="shared" si="407"/>
        <v>756.00000000000011</v>
      </c>
      <c r="Y496" s="503">
        <f t="shared" si="408"/>
        <v>756.00000000000011</v>
      </c>
      <c r="Z496" s="504">
        <f t="shared" si="411"/>
        <v>1</v>
      </c>
      <c r="AA496" s="504">
        <f t="shared" si="411"/>
        <v>1</v>
      </c>
      <c r="AB496" s="504">
        <f t="shared" si="411"/>
        <v>1</v>
      </c>
      <c r="AC496" s="504">
        <f t="shared" si="411"/>
        <v>1</v>
      </c>
      <c r="AD496" s="96"/>
      <c r="AE496" s="96"/>
      <c r="AF496" s="96"/>
      <c r="AG496" s="96"/>
      <c r="AH496" s="96"/>
      <c r="AI496" s="96"/>
      <c r="AJ496" s="96"/>
      <c r="AK496" s="96"/>
    </row>
    <row r="497" spans="1:37" customFormat="1" ht="15.75" customHeight="1">
      <c r="A497" s="497"/>
      <c r="B497" s="498" t="s">
        <v>1668</v>
      </c>
      <c r="C497" s="499">
        <v>1</v>
      </c>
      <c r="D497" s="499">
        <v>1</v>
      </c>
      <c r="E497" s="499">
        <v>1</v>
      </c>
      <c r="F497" s="499">
        <v>1</v>
      </c>
      <c r="G497" s="500">
        <v>1.2</v>
      </c>
      <c r="H497" s="500">
        <v>1.2</v>
      </c>
      <c r="I497" s="500">
        <v>6</v>
      </c>
      <c r="J497" s="500" t="s">
        <v>1127</v>
      </c>
      <c r="K497" s="500">
        <f t="shared" si="410"/>
        <v>6</v>
      </c>
      <c r="L497" s="500" t="str">
        <f t="shared" si="410"/>
        <v>9h-15h</v>
      </c>
      <c r="M497" s="500">
        <f t="shared" si="410"/>
        <v>6</v>
      </c>
      <c r="N497" s="500" t="str">
        <f t="shared" si="410"/>
        <v>9h-15h</v>
      </c>
      <c r="O497" s="500">
        <f t="shared" si="410"/>
        <v>6</v>
      </c>
      <c r="P497" s="500" t="str">
        <f t="shared" si="410"/>
        <v>9h-15h</v>
      </c>
      <c r="Q497" s="501">
        <v>30</v>
      </c>
      <c r="R497" s="502">
        <f t="shared" si="401"/>
        <v>215.99999999999997</v>
      </c>
      <c r="S497" s="503">
        <f t="shared" si="402"/>
        <v>215.99999999999997</v>
      </c>
      <c r="T497" s="503">
        <f t="shared" si="403"/>
        <v>215.99999999999997</v>
      </c>
      <c r="U497" s="503">
        <f t="shared" si="404"/>
        <v>215.99999999999997</v>
      </c>
      <c r="V497" s="502">
        <f t="shared" si="405"/>
        <v>215.99999999999997</v>
      </c>
      <c r="W497" s="503">
        <f t="shared" si="406"/>
        <v>215.99999999999997</v>
      </c>
      <c r="X497" s="503">
        <f t="shared" si="407"/>
        <v>215.99999999999997</v>
      </c>
      <c r="Y497" s="503">
        <f t="shared" si="408"/>
        <v>215.99999999999997</v>
      </c>
      <c r="Z497" s="504">
        <f t="shared" si="411"/>
        <v>1</v>
      </c>
      <c r="AA497" s="504">
        <f t="shared" si="411"/>
        <v>1</v>
      </c>
      <c r="AB497" s="504">
        <f t="shared" si="411"/>
        <v>1</v>
      </c>
      <c r="AC497" s="504">
        <f t="shared" si="411"/>
        <v>1</v>
      </c>
      <c r="AD497" s="96"/>
      <c r="AE497" s="96"/>
      <c r="AF497" s="96"/>
      <c r="AG497" s="96"/>
      <c r="AH497" s="96"/>
      <c r="AI497" s="96"/>
      <c r="AJ497" s="96"/>
      <c r="AK497" s="96"/>
    </row>
    <row r="498" spans="1:37" customFormat="1" ht="15.75" customHeight="1">
      <c r="A498" s="497"/>
      <c r="B498" s="498" t="s">
        <v>728</v>
      </c>
      <c r="C498" s="499">
        <v>1</v>
      </c>
      <c r="D498" s="499">
        <v>1</v>
      </c>
      <c r="E498" s="499">
        <v>1</v>
      </c>
      <c r="F498" s="499">
        <v>1</v>
      </c>
      <c r="G498" s="500">
        <v>2</v>
      </c>
      <c r="H498" s="500">
        <v>2</v>
      </c>
      <c r="I498" s="500">
        <v>24</v>
      </c>
      <c r="J498" s="500" t="s">
        <v>996</v>
      </c>
      <c r="K498" s="500">
        <f t="shared" si="410"/>
        <v>24</v>
      </c>
      <c r="L498" s="500" t="str">
        <f t="shared" si="410"/>
        <v>24/24</v>
      </c>
      <c r="M498" s="500">
        <f t="shared" si="410"/>
        <v>24</v>
      </c>
      <c r="N498" s="500" t="str">
        <f t="shared" si="410"/>
        <v>24/24</v>
      </c>
      <c r="O498" s="500">
        <f t="shared" si="410"/>
        <v>24</v>
      </c>
      <c r="P498" s="500" t="str">
        <f t="shared" si="410"/>
        <v>24/24</v>
      </c>
      <c r="Q498" s="501"/>
      <c r="R498" s="502"/>
      <c r="S498" s="503"/>
      <c r="T498" s="503"/>
      <c r="U498" s="503"/>
      <c r="V498" s="502"/>
      <c r="W498" s="503"/>
      <c r="X498" s="503"/>
      <c r="Y498" s="503"/>
      <c r="Z498" s="504"/>
      <c r="AA498" s="504"/>
      <c r="AB498" s="504"/>
      <c r="AC498" s="504"/>
      <c r="AD498" s="96"/>
      <c r="AE498" s="96"/>
      <c r="AF498" s="96"/>
      <c r="AG498" s="96"/>
      <c r="AH498" s="96"/>
      <c r="AI498" s="96"/>
      <c r="AJ498" s="96"/>
      <c r="AK498" s="96"/>
    </row>
    <row r="499" spans="1:37" customFormat="1" ht="15.75" customHeight="1">
      <c r="A499" s="497"/>
      <c r="B499" s="498" t="s">
        <v>469</v>
      </c>
      <c r="C499" s="499">
        <v>6</v>
      </c>
      <c r="D499" s="499">
        <v>6</v>
      </c>
      <c r="E499" s="499">
        <v>6</v>
      </c>
      <c r="F499" s="499">
        <v>6</v>
      </c>
      <c r="G499" s="500">
        <v>0.3</v>
      </c>
      <c r="H499" s="500">
        <v>0.3</v>
      </c>
      <c r="I499" s="500">
        <v>24</v>
      </c>
      <c r="J499" s="500" t="s">
        <v>996</v>
      </c>
      <c r="K499" s="500">
        <f t="shared" si="410"/>
        <v>24</v>
      </c>
      <c r="L499" s="500" t="str">
        <f t="shared" si="410"/>
        <v>24/24</v>
      </c>
      <c r="M499" s="500">
        <f t="shared" si="410"/>
        <v>24</v>
      </c>
      <c r="N499" s="500" t="str">
        <f t="shared" si="410"/>
        <v>24/24</v>
      </c>
      <c r="O499" s="500">
        <f t="shared" si="410"/>
        <v>24</v>
      </c>
      <c r="P499" s="500" t="str">
        <f t="shared" si="410"/>
        <v>24/24</v>
      </c>
      <c r="Q499" s="501">
        <v>30</v>
      </c>
      <c r="R499" s="502">
        <f t="shared" si="401"/>
        <v>1295.9999999999998</v>
      </c>
      <c r="S499" s="503">
        <f t="shared" si="402"/>
        <v>1295.9999999999998</v>
      </c>
      <c r="T499" s="503">
        <f t="shared" si="403"/>
        <v>1295.9999999999998</v>
      </c>
      <c r="U499" s="503">
        <f t="shared" si="404"/>
        <v>1295.9999999999998</v>
      </c>
      <c r="V499" s="502">
        <f t="shared" si="405"/>
        <v>1295.9999999999998</v>
      </c>
      <c r="W499" s="503">
        <f t="shared" si="406"/>
        <v>1295.9999999999998</v>
      </c>
      <c r="X499" s="503">
        <f t="shared" si="407"/>
        <v>1295.9999999999998</v>
      </c>
      <c r="Y499" s="503">
        <f t="shared" si="408"/>
        <v>1295.9999999999998</v>
      </c>
      <c r="Z499" s="504">
        <f t="shared" si="411"/>
        <v>1</v>
      </c>
      <c r="AA499" s="504">
        <f t="shared" si="411"/>
        <v>1</v>
      </c>
      <c r="AB499" s="504">
        <f t="shared" si="411"/>
        <v>1</v>
      </c>
      <c r="AC499" s="504">
        <f t="shared" si="411"/>
        <v>1</v>
      </c>
      <c r="AD499" s="96"/>
      <c r="AE499" s="96"/>
      <c r="AF499" s="96"/>
      <c r="AG499" s="96"/>
      <c r="AH499" s="96"/>
      <c r="AI499" s="96"/>
      <c r="AJ499" s="96"/>
      <c r="AK499" s="96"/>
    </row>
    <row r="500" spans="1:37" customFormat="1" ht="15.75" customHeight="1">
      <c r="A500" s="489"/>
      <c r="B500" s="490" t="s">
        <v>823</v>
      </c>
      <c r="C500" s="491"/>
      <c r="D500" s="491"/>
      <c r="E500" s="491"/>
      <c r="F500" s="491"/>
      <c r="G500" s="492"/>
      <c r="H500" s="492"/>
      <c r="I500" s="492"/>
      <c r="J500" s="492"/>
      <c r="K500" s="492"/>
      <c r="L500" s="492"/>
      <c r="M500" s="492"/>
      <c r="N500" s="492"/>
      <c r="O500" s="492"/>
      <c r="P500" s="492"/>
      <c r="Q500" s="493"/>
      <c r="R500" s="494"/>
      <c r="S500" s="495"/>
      <c r="T500" s="495"/>
      <c r="U500" s="495"/>
      <c r="V500" s="494"/>
      <c r="W500" s="495"/>
      <c r="X500" s="495"/>
      <c r="Y500" s="495"/>
      <c r="Z500" s="496"/>
      <c r="AA500" s="496"/>
      <c r="AB500" s="496"/>
      <c r="AC500" s="496"/>
      <c r="AD500" s="96"/>
      <c r="AE500" s="96"/>
      <c r="AF500" s="96"/>
      <c r="AG500" s="96"/>
      <c r="AH500" s="96"/>
      <c r="AI500" s="96"/>
      <c r="AJ500" s="96"/>
      <c r="AK500" s="96"/>
    </row>
    <row r="501" spans="1:37" customFormat="1" ht="15.75" customHeight="1">
      <c r="A501" s="497"/>
      <c r="B501" s="498" t="s">
        <v>1670</v>
      </c>
      <c r="C501" s="499">
        <v>1</v>
      </c>
      <c r="D501" s="499">
        <v>1</v>
      </c>
      <c r="E501" s="499">
        <v>1</v>
      </c>
      <c r="F501" s="499">
        <v>1</v>
      </c>
      <c r="G501" s="500">
        <v>3.5</v>
      </c>
      <c r="H501" s="500">
        <v>3.5</v>
      </c>
      <c r="I501" s="500">
        <v>6</v>
      </c>
      <c r="J501" s="500" t="s">
        <v>1127</v>
      </c>
      <c r="K501" s="500">
        <f t="shared" si="410"/>
        <v>6</v>
      </c>
      <c r="L501" s="500" t="str">
        <f t="shared" si="410"/>
        <v>9h-15h</v>
      </c>
      <c r="M501" s="500">
        <f t="shared" si="410"/>
        <v>6</v>
      </c>
      <c r="N501" s="500" t="str">
        <f t="shared" si="410"/>
        <v>9h-15h</v>
      </c>
      <c r="O501" s="500">
        <f t="shared" si="410"/>
        <v>6</v>
      </c>
      <c r="P501" s="500" t="str">
        <f t="shared" si="410"/>
        <v>9h-15h</v>
      </c>
      <c r="Q501" s="501">
        <v>30</v>
      </c>
      <c r="R501" s="502">
        <f t="shared" si="401"/>
        <v>630</v>
      </c>
      <c r="S501" s="503">
        <f t="shared" si="402"/>
        <v>630</v>
      </c>
      <c r="T501" s="503">
        <f t="shared" si="403"/>
        <v>630</v>
      </c>
      <c r="U501" s="503">
        <f t="shared" si="404"/>
        <v>630</v>
      </c>
      <c r="V501" s="502">
        <f t="shared" si="405"/>
        <v>630</v>
      </c>
      <c r="W501" s="503">
        <f t="shared" si="406"/>
        <v>630</v>
      </c>
      <c r="X501" s="503">
        <f t="shared" si="407"/>
        <v>630</v>
      </c>
      <c r="Y501" s="503">
        <f t="shared" si="408"/>
        <v>630</v>
      </c>
      <c r="Z501" s="504">
        <f t="shared" si="411"/>
        <v>1</v>
      </c>
      <c r="AA501" s="504">
        <f t="shared" si="411"/>
        <v>1</v>
      </c>
      <c r="AB501" s="504">
        <f t="shared" si="411"/>
        <v>1</v>
      </c>
      <c r="AC501" s="504">
        <f t="shared" si="411"/>
        <v>1</v>
      </c>
      <c r="AD501" s="96"/>
      <c r="AE501" s="96"/>
      <c r="AF501" s="96"/>
      <c r="AG501" s="96"/>
      <c r="AH501" s="96"/>
      <c r="AI501" s="96"/>
      <c r="AJ501" s="96"/>
      <c r="AK501" s="96"/>
    </row>
    <row r="502" spans="1:37" customFormat="1" ht="15.75" customHeight="1">
      <c r="A502" s="497"/>
      <c r="B502" s="498" t="s">
        <v>1682</v>
      </c>
      <c r="C502" s="499">
        <v>1</v>
      </c>
      <c r="D502" s="499">
        <v>1</v>
      </c>
      <c r="E502" s="499">
        <v>1</v>
      </c>
      <c r="F502" s="499">
        <v>1</v>
      </c>
      <c r="G502" s="500">
        <v>0</v>
      </c>
      <c r="H502" s="500">
        <v>0</v>
      </c>
      <c r="I502" s="500">
        <v>6</v>
      </c>
      <c r="J502" s="500" t="s">
        <v>1127</v>
      </c>
      <c r="K502" s="500">
        <f t="shared" si="410"/>
        <v>6</v>
      </c>
      <c r="L502" s="500" t="str">
        <f t="shared" si="410"/>
        <v>9h-15h</v>
      </c>
      <c r="M502" s="500">
        <f t="shared" si="410"/>
        <v>6</v>
      </c>
      <c r="N502" s="500" t="str">
        <f t="shared" si="410"/>
        <v>9h-15h</v>
      </c>
      <c r="O502" s="500">
        <f t="shared" si="410"/>
        <v>6</v>
      </c>
      <c r="P502" s="500" t="str">
        <f t="shared" si="410"/>
        <v>9h-15h</v>
      </c>
      <c r="Q502" s="501">
        <v>30</v>
      </c>
      <c r="R502" s="502">
        <f t="shared" si="401"/>
        <v>0</v>
      </c>
      <c r="S502" s="503">
        <f t="shared" si="402"/>
        <v>0</v>
      </c>
      <c r="T502" s="503">
        <f t="shared" si="403"/>
        <v>0</v>
      </c>
      <c r="U502" s="503">
        <f t="shared" si="404"/>
        <v>0</v>
      </c>
      <c r="V502" s="502">
        <f t="shared" si="405"/>
        <v>0</v>
      </c>
      <c r="W502" s="503">
        <f t="shared" si="406"/>
        <v>0</v>
      </c>
      <c r="X502" s="503">
        <f t="shared" si="407"/>
        <v>0</v>
      </c>
      <c r="Y502" s="503">
        <f t="shared" si="408"/>
        <v>0</v>
      </c>
      <c r="Z502" s="504" t="e">
        <f t="shared" si="411"/>
        <v>#DIV/0!</v>
      </c>
      <c r="AA502" s="504" t="e">
        <f t="shared" si="411"/>
        <v>#DIV/0!</v>
      </c>
      <c r="AB502" s="504" t="e">
        <f t="shared" si="411"/>
        <v>#DIV/0!</v>
      </c>
      <c r="AC502" s="504" t="e">
        <f t="shared" si="411"/>
        <v>#DIV/0!</v>
      </c>
      <c r="AD502" s="96"/>
      <c r="AE502" s="96"/>
      <c r="AF502" s="96"/>
      <c r="AG502" s="96"/>
      <c r="AH502" s="96"/>
      <c r="AI502" s="96"/>
      <c r="AJ502" s="96"/>
      <c r="AK502" s="96"/>
    </row>
    <row r="503" spans="1:37" customFormat="1" ht="15.75" customHeight="1">
      <c r="A503" s="497"/>
      <c r="B503" s="498" t="s">
        <v>1683</v>
      </c>
      <c r="C503" s="499">
        <v>1</v>
      </c>
      <c r="D503" s="499">
        <v>1</v>
      </c>
      <c r="E503" s="499">
        <v>1</v>
      </c>
      <c r="F503" s="499">
        <v>1</v>
      </c>
      <c r="G503" s="500">
        <v>2.93</v>
      </c>
      <c r="H503" s="500">
        <v>2.93</v>
      </c>
      <c r="I503" s="500">
        <v>6</v>
      </c>
      <c r="J503" s="500" t="s">
        <v>1127</v>
      </c>
      <c r="K503" s="500">
        <f t="shared" ref="K503:P518" si="421">I503</f>
        <v>6</v>
      </c>
      <c r="L503" s="500" t="str">
        <f t="shared" si="421"/>
        <v>9h-15h</v>
      </c>
      <c r="M503" s="500">
        <f t="shared" si="421"/>
        <v>6</v>
      </c>
      <c r="N503" s="500" t="str">
        <f t="shared" si="421"/>
        <v>9h-15h</v>
      </c>
      <c r="O503" s="500">
        <f t="shared" si="421"/>
        <v>6</v>
      </c>
      <c r="P503" s="500" t="str">
        <f t="shared" si="421"/>
        <v>9h-15h</v>
      </c>
      <c r="Q503" s="501">
        <v>30</v>
      </c>
      <c r="R503" s="502">
        <f t="shared" si="401"/>
        <v>527.40000000000009</v>
      </c>
      <c r="S503" s="503">
        <f t="shared" si="402"/>
        <v>527.40000000000009</v>
      </c>
      <c r="T503" s="503">
        <f t="shared" si="403"/>
        <v>527.40000000000009</v>
      </c>
      <c r="U503" s="503">
        <f t="shared" si="404"/>
        <v>527.40000000000009</v>
      </c>
      <c r="V503" s="502">
        <f t="shared" si="405"/>
        <v>527.40000000000009</v>
      </c>
      <c r="W503" s="503">
        <f t="shared" si="406"/>
        <v>527.40000000000009</v>
      </c>
      <c r="X503" s="503">
        <f t="shared" si="407"/>
        <v>527.40000000000009</v>
      </c>
      <c r="Y503" s="503">
        <f t="shared" si="408"/>
        <v>527.40000000000009</v>
      </c>
      <c r="Z503" s="504">
        <f t="shared" ref="Z503:AC518" si="422">V503/R503</f>
        <v>1</v>
      </c>
      <c r="AA503" s="504">
        <f t="shared" si="422"/>
        <v>1</v>
      </c>
      <c r="AB503" s="504">
        <f t="shared" si="422"/>
        <v>1</v>
      </c>
      <c r="AC503" s="504">
        <f t="shared" si="422"/>
        <v>1</v>
      </c>
      <c r="AD503" s="96"/>
      <c r="AE503" s="96"/>
      <c r="AF503" s="96"/>
      <c r="AG503" s="96"/>
      <c r="AH503" s="96"/>
      <c r="AI503" s="96"/>
      <c r="AJ503" s="96"/>
      <c r="AK503" s="96"/>
    </row>
    <row r="504" spans="1:37" customFormat="1" ht="15.75" customHeight="1">
      <c r="A504" s="497"/>
      <c r="B504" s="498" t="s">
        <v>1684</v>
      </c>
      <c r="C504" s="499">
        <v>1</v>
      </c>
      <c r="D504" s="499">
        <v>1</v>
      </c>
      <c r="E504" s="499">
        <v>1</v>
      </c>
      <c r="F504" s="499">
        <v>1</v>
      </c>
      <c r="G504" s="500">
        <v>1.4</v>
      </c>
      <c r="H504" s="500">
        <v>1.4</v>
      </c>
      <c r="I504" s="500">
        <v>6</v>
      </c>
      <c r="J504" s="500" t="s">
        <v>1127</v>
      </c>
      <c r="K504" s="500">
        <f t="shared" si="421"/>
        <v>6</v>
      </c>
      <c r="L504" s="500" t="str">
        <f t="shared" si="421"/>
        <v>9h-15h</v>
      </c>
      <c r="M504" s="500">
        <f t="shared" si="421"/>
        <v>6</v>
      </c>
      <c r="N504" s="500" t="str">
        <f t="shared" si="421"/>
        <v>9h-15h</v>
      </c>
      <c r="O504" s="500">
        <f t="shared" si="421"/>
        <v>6</v>
      </c>
      <c r="P504" s="500" t="str">
        <f t="shared" si="421"/>
        <v>9h-15h</v>
      </c>
      <c r="Q504" s="501">
        <v>30</v>
      </c>
      <c r="R504" s="502">
        <f t="shared" si="401"/>
        <v>251.99999999999994</v>
      </c>
      <c r="S504" s="503">
        <f t="shared" si="402"/>
        <v>251.99999999999994</v>
      </c>
      <c r="T504" s="503">
        <f t="shared" si="403"/>
        <v>251.99999999999994</v>
      </c>
      <c r="U504" s="503">
        <f t="shared" si="404"/>
        <v>251.99999999999994</v>
      </c>
      <c r="V504" s="502">
        <f t="shared" si="405"/>
        <v>251.99999999999994</v>
      </c>
      <c r="W504" s="503">
        <f t="shared" si="406"/>
        <v>251.99999999999994</v>
      </c>
      <c r="X504" s="503">
        <f t="shared" si="407"/>
        <v>251.99999999999994</v>
      </c>
      <c r="Y504" s="503">
        <f t="shared" si="408"/>
        <v>251.99999999999994</v>
      </c>
      <c r="Z504" s="504">
        <f t="shared" si="422"/>
        <v>1</v>
      </c>
      <c r="AA504" s="504">
        <f t="shared" si="422"/>
        <v>1</v>
      </c>
      <c r="AB504" s="504">
        <f t="shared" si="422"/>
        <v>1</v>
      </c>
      <c r="AC504" s="504">
        <f t="shared" si="422"/>
        <v>1</v>
      </c>
      <c r="AD504" s="96"/>
      <c r="AE504" s="96"/>
      <c r="AF504" s="96"/>
      <c r="AG504" s="96"/>
      <c r="AH504" s="96"/>
      <c r="AI504" s="96"/>
      <c r="AJ504" s="96"/>
      <c r="AK504" s="96"/>
    </row>
    <row r="505" spans="1:37" customFormat="1" ht="15.75" customHeight="1">
      <c r="A505" s="497"/>
      <c r="B505" s="498" t="s">
        <v>1685</v>
      </c>
      <c r="C505" s="499">
        <v>1</v>
      </c>
      <c r="D505" s="499">
        <v>1</v>
      </c>
      <c r="E505" s="499">
        <v>1</v>
      </c>
      <c r="F505" s="499">
        <v>1</v>
      </c>
      <c r="G505" s="500">
        <v>1.42</v>
      </c>
      <c r="H505" s="500">
        <v>1.42</v>
      </c>
      <c r="I505" s="500">
        <v>24</v>
      </c>
      <c r="J505" s="500" t="s">
        <v>996</v>
      </c>
      <c r="K505" s="500">
        <f t="shared" si="421"/>
        <v>24</v>
      </c>
      <c r="L505" s="500" t="str">
        <f t="shared" si="421"/>
        <v>24/24</v>
      </c>
      <c r="M505" s="500">
        <f t="shared" si="421"/>
        <v>24</v>
      </c>
      <c r="N505" s="500" t="str">
        <f t="shared" si="421"/>
        <v>24/24</v>
      </c>
      <c r="O505" s="500">
        <f t="shared" si="421"/>
        <v>24</v>
      </c>
      <c r="P505" s="500" t="str">
        <f t="shared" si="421"/>
        <v>24/24</v>
      </c>
      <c r="Q505" s="501">
        <v>30</v>
      </c>
      <c r="R505" s="502">
        <f t="shared" si="401"/>
        <v>1022.4</v>
      </c>
      <c r="S505" s="503">
        <f t="shared" si="402"/>
        <v>1022.4</v>
      </c>
      <c r="T505" s="503">
        <f t="shared" si="403"/>
        <v>1022.4</v>
      </c>
      <c r="U505" s="503">
        <f t="shared" si="404"/>
        <v>1022.4</v>
      </c>
      <c r="V505" s="502">
        <f t="shared" si="405"/>
        <v>1022.4</v>
      </c>
      <c r="W505" s="503">
        <f t="shared" si="406"/>
        <v>1022.4</v>
      </c>
      <c r="X505" s="503">
        <f t="shared" si="407"/>
        <v>1022.4</v>
      </c>
      <c r="Y505" s="503">
        <f t="shared" si="408"/>
        <v>1022.4</v>
      </c>
      <c r="Z505" s="504">
        <f t="shared" si="422"/>
        <v>1</v>
      </c>
      <c r="AA505" s="504">
        <f t="shared" si="422"/>
        <v>1</v>
      </c>
      <c r="AB505" s="504">
        <f t="shared" si="422"/>
        <v>1</v>
      </c>
      <c r="AC505" s="504">
        <f t="shared" si="422"/>
        <v>1</v>
      </c>
      <c r="AD505" s="96"/>
      <c r="AE505" s="96"/>
      <c r="AF505" s="96"/>
      <c r="AG505" s="96"/>
      <c r="AH505" s="96"/>
      <c r="AI505" s="96"/>
      <c r="AJ505" s="96"/>
      <c r="AK505" s="96"/>
    </row>
    <row r="506" spans="1:37" customFormat="1" ht="15.75" customHeight="1">
      <c r="A506" s="497"/>
      <c r="B506" s="498" t="s">
        <v>1681</v>
      </c>
      <c r="C506" s="499">
        <v>6</v>
      </c>
      <c r="D506" s="499">
        <v>6</v>
      </c>
      <c r="E506" s="499">
        <v>6</v>
      </c>
      <c r="F506" s="499">
        <v>6</v>
      </c>
      <c r="G506" s="500">
        <v>2.1</v>
      </c>
      <c r="H506" s="500">
        <v>2.1</v>
      </c>
      <c r="I506" s="500">
        <v>6</v>
      </c>
      <c r="J506" s="500" t="s">
        <v>1127</v>
      </c>
      <c r="K506" s="500">
        <f t="shared" si="421"/>
        <v>6</v>
      </c>
      <c r="L506" s="500" t="str">
        <f t="shared" si="421"/>
        <v>9h-15h</v>
      </c>
      <c r="M506" s="500">
        <f t="shared" si="421"/>
        <v>6</v>
      </c>
      <c r="N506" s="500" t="str">
        <f t="shared" si="421"/>
        <v>9h-15h</v>
      </c>
      <c r="O506" s="500">
        <f t="shared" si="421"/>
        <v>6</v>
      </c>
      <c r="P506" s="500" t="str">
        <f t="shared" si="421"/>
        <v>9h-15h</v>
      </c>
      <c r="Q506" s="501">
        <v>30</v>
      </c>
      <c r="R506" s="502">
        <f t="shared" si="401"/>
        <v>2268.0000000000005</v>
      </c>
      <c r="S506" s="503">
        <f t="shared" si="402"/>
        <v>2268.0000000000005</v>
      </c>
      <c r="T506" s="503">
        <f t="shared" si="403"/>
        <v>2268.0000000000005</v>
      </c>
      <c r="U506" s="503">
        <f t="shared" si="404"/>
        <v>2268.0000000000005</v>
      </c>
      <c r="V506" s="502">
        <f t="shared" si="405"/>
        <v>2268.0000000000005</v>
      </c>
      <c r="W506" s="503">
        <f t="shared" si="406"/>
        <v>2268.0000000000005</v>
      </c>
      <c r="X506" s="503">
        <f t="shared" si="407"/>
        <v>2268.0000000000005</v>
      </c>
      <c r="Y506" s="503">
        <f t="shared" si="408"/>
        <v>2268.0000000000005</v>
      </c>
      <c r="Z506" s="504">
        <f t="shared" si="422"/>
        <v>1</v>
      </c>
      <c r="AA506" s="504">
        <f t="shared" si="422"/>
        <v>1</v>
      </c>
      <c r="AB506" s="504">
        <f t="shared" si="422"/>
        <v>1</v>
      </c>
      <c r="AC506" s="504">
        <f t="shared" si="422"/>
        <v>1</v>
      </c>
      <c r="AD506" s="96"/>
      <c r="AE506" s="96"/>
      <c r="AF506" s="96"/>
      <c r="AG506" s="96"/>
      <c r="AH506" s="96"/>
      <c r="AI506" s="96"/>
      <c r="AJ506" s="96"/>
      <c r="AK506" s="96"/>
    </row>
    <row r="507" spans="1:37" customFormat="1" ht="15.75" customHeight="1">
      <c r="A507" s="497"/>
      <c r="B507" s="498" t="s">
        <v>1686</v>
      </c>
      <c r="C507" s="499">
        <v>2</v>
      </c>
      <c r="D507" s="499">
        <v>2</v>
      </c>
      <c r="E507" s="499">
        <v>2</v>
      </c>
      <c r="F507" s="499">
        <v>2</v>
      </c>
      <c r="G507" s="500">
        <v>1.4</v>
      </c>
      <c r="H507" s="500">
        <v>1.4</v>
      </c>
      <c r="I507" s="500">
        <v>6</v>
      </c>
      <c r="J507" s="500" t="s">
        <v>1127</v>
      </c>
      <c r="K507" s="500">
        <f t="shared" si="421"/>
        <v>6</v>
      </c>
      <c r="L507" s="500" t="str">
        <f t="shared" si="421"/>
        <v>9h-15h</v>
      </c>
      <c r="M507" s="500">
        <f t="shared" si="421"/>
        <v>6</v>
      </c>
      <c r="N507" s="500" t="str">
        <f t="shared" si="421"/>
        <v>9h-15h</v>
      </c>
      <c r="O507" s="500">
        <f t="shared" si="421"/>
        <v>6</v>
      </c>
      <c r="P507" s="500" t="str">
        <f t="shared" si="421"/>
        <v>9h-15h</v>
      </c>
      <c r="Q507" s="501">
        <v>30</v>
      </c>
      <c r="R507" s="502">
        <f t="shared" si="401"/>
        <v>503.99999999999989</v>
      </c>
      <c r="S507" s="503">
        <f t="shared" si="402"/>
        <v>503.99999999999989</v>
      </c>
      <c r="T507" s="503">
        <f t="shared" si="403"/>
        <v>503.99999999999989</v>
      </c>
      <c r="U507" s="503">
        <f t="shared" si="404"/>
        <v>503.99999999999989</v>
      </c>
      <c r="V507" s="502">
        <f t="shared" si="405"/>
        <v>503.99999999999989</v>
      </c>
      <c r="W507" s="503">
        <f t="shared" si="406"/>
        <v>503.99999999999989</v>
      </c>
      <c r="X507" s="503">
        <f t="shared" si="407"/>
        <v>503.99999999999989</v>
      </c>
      <c r="Y507" s="503">
        <f t="shared" si="408"/>
        <v>503.99999999999989</v>
      </c>
      <c r="Z507" s="504">
        <f t="shared" si="422"/>
        <v>1</v>
      </c>
      <c r="AA507" s="504">
        <f t="shared" si="422"/>
        <v>1</v>
      </c>
      <c r="AB507" s="504">
        <f t="shared" si="422"/>
        <v>1</v>
      </c>
      <c r="AC507" s="504">
        <f t="shared" si="422"/>
        <v>1</v>
      </c>
      <c r="AD507" s="96"/>
      <c r="AE507" s="96"/>
      <c r="AF507" s="96"/>
      <c r="AG507" s="96"/>
      <c r="AH507" s="96"/>
      <c r="AI507" s="96"/>
      <c r="AJ507" s="96"/>
      <c r="AK507" s="96"/>
    </row>
    <row r="508" spans="1:37" customFormat="1" ht="15.75" customHeight="1">
      <c r="A508" s="497"/>
      <c r="B508" s="498" t="s">
        <v>1687</v>
      </c>
      <c r="C508" s="499">
        <v>1</v>
      </c>
      <c r="D508" s="499">
        <v>1</v>
      </c>
      <c r="E508" s="499">
        <v>1</v>
      </c>
      <c r="F508" s="499">
        <v>1</v>
      </c>
      <c r="G508" s="500">
        <v>1.2</v>
      </c>
      <c r="H508" s="500">
        <v>1.2</v>
      </c>
      <c r="I508" s="500">
        <v>24</v>
      </c>
      <c r="J508" s="500" t="s">
        <v>996</v>
      </c>
      <c r="K508" s="500">
        <f t="shared" si="421"/>
        <v>24</v>
      </c>
      <c r="L508" s="500" t="str">
        <f t="shared" si="421"/>
        <v>24/24</v>
      </c>
      <c r="M508" s="500">
        <f t="shared" si="421"/>
        <v>24</v>
      </c>
      <c r="N508" s="500" t="str">
        <f t="shared" si="421"/>
        <v>24/24</v>
      </c>
      <c r="O508" s="500">
        <f t="shared" si="421"/>
        <v>24</v>
      </c>
      <c r="P508" s="500" t="str">
        <f t="shared" si="421"/>
        <v>24/24</v>
      </c>
      <c r="Q508" s="501">
        <v>30</v>
      </c>
      <c r="R508" s="502">
        <f t="shared" si="401"/>
        <v>863.99999999999989</v>
      </c>
      <c r="S508" s="503">
        <f t="shared" si="402"/>
        <v>863.99999999999989</v>
      </c>
      <c r="T508" s="503">
        <f t="shared" si="403"/>
        <v>863.99999999999989</v>
      </c>
      <c r="U508" s="503">
        <f t="shared" si="404"/>
        <v>863.99999999999989</v>
      </c>
      <c r="V508" s="502">
        <f t="shared" si="405"/>
        <v>863.99999999999989</v>
      </c>
      <c r="W508" s="503">
        <f t="shared" si="406"/>
        <v>863.99999999999989</v>
      </c>
      <c r="X508" s="503">
        <f t="shared" si="407"/>
        <v>863.99999999999989</v>
      </c>
      <c r="Y508" s="503">
        <f t="shared" si="408"/>
        <v>863.99999999999989</v>
      </c>
      <c r="Z508" s="504">
        <f t="shared" si="422"/>
        <v>1</v>
      </c>
      <c r="AA508" s="504">
        <f t="shared" si="422"/>
        <v>1</v>
      </c>
      <c r="AB508" s="504">
        <f t="shared" si="422"/>
        <v>1</v>
      </c>
      <c r="AC508" s="504">
        <f t="shared" si="422"/>
        <v>1</v>
      </c>
      <c r="AD508" s="96"/>
      <c r="AE508" s="96"/>
      <c r="AF508" s="96"/>
      <c r="AG508" s="96"/>
      <c r="AH508" s="96"/>
      <c r="AI508" s="96"/>
      <c r="AJ508" s="96"/>
      <c r="AK508" s="96"/>
    </row>
    <row r="509" spans="1:37" customFormat="1" ht="15.75" customHeight="1">
      <c r="A509" s="497"/>
      <c r="B509" s="498" t="s">
        <v>344</v>
      </c>
      <c r="C509" s="499">
        <v>1</v>
      </c>
      <c r="D509" s="499">
        <v>1</v>
      </c>
      <c r="E509" s="499">
        <v>1</v>
      </c>
      <c r="F509" s="499">
        <v>1</v>
      </c>
      <c r="G509" s="500">
        <v>9</v>
      </c>
      <c r="H509" s="500">
        <v>9</v>
      </c>
      <c r="I509" s="500">
        <v>6</v>
      </c>
      <c r="J509" s="500" t="s">
        <v>1127</v>
      </c>
      <c r="K509" s="500">
        <f t="shared" si="421"/>
        <v>6</v>
      </c>
      <c r="L509" s="500" t="str">
        <f t="shared" si="421"/>
        <v>9h-15h</v>
      </c>
      <c r="M509" s="500">
        <f t="shared" si="421"/>
        <v>6</v>
      </c>
      <c r="N509" s="500" t="str">
        <f t="shared" si="421"/>
        <v>9h-15h</v>
      </c>
      <c r="O509" s="500">
        <f t="shared" si="421"/>
        <v>6</v>
      </c>
      <c r="P509" s="500" t="str">
        <f t="shared" si="421"/>
        <v>9h-15h</v>
      </c>
      <c r="Q509" s="501">
        <v>30</v>
      </c>
      <c r="R509" s="502">
        <f t="shared" si="401"/>
        <v>1620</v>
      </c>
      <c r="S509" s="503">
        <f t="shared" si="402"/>
        <v>1620</v>
      </c>
      <c r="T509" s="503">
        <f t="shared" si="403"/>
        <v>1620</v>
      </c>
      <c r="U509" s="503">
        <f t="shared" si="404"/>
        <v>1620</v>
      </c>
      <c r="V509" s="502">
        <f t="shared" si="405"/>
        <v>1620</v>
      </c>
      <c r="W509" s="503">
        <f t="shared" si="406"/>
        <v>1620</v>
      </c>
      <c r="X509" s="503">
        <f t="shared" si="407"/>
        <v>1620</v>
      </c>
      <c r="Y509" s="503">
        <f t="shared" si="408"/>
        <v>1620</v>
      </c>
      <c r="Z509" s="504">
        <f t="shared" si="422"/>
        <v>1</v>
      </c>
      <c r="AA509" s="504">
        <f t="shared" si="422"/>
        <v>1</v>
      </c>
      <c r="AB509" s="504">
        <f t="shared" si="422"/>
        <v>1</v>
      </c>
      <c r="AC509" s="504">
        <f t="shared" si="422"/>
        <v>1</v>
      </c>
      <c r="AD509" s="96"/>
      <c r="AE509" s="96"/>
      <c r="AF509" s="96"/>
      <c r="AG509" s="96"/>
      <c r="AH509" s="96"/>
      <c r="AI509" s="96"/>
      <c r="AJ509" s="96"/>
      <c r="AK509" s="96"/>
    </row>
    <row r="510" spans="1:37" customFormat="1" ht="15.75" customHeight="1">
      <c r="A510" s="497"/>
      <c r="B510" s="498" t="s">
        <v>1688</v>
      </c>
      <c r="C510" s="499">
        <v>1</v>
      </c>
      <c r="D510" s="499">
        <v>1</v>
      </c>
      <c r="E510" s="499">
        <v>1</v>
      </c>
      <c r="F510" s="499">
        <v>1</v>
      </c>
      <c r="G510" s="500">
        <v>8.5</v>
      </c>
      <c r="H510" s="500">
        <v>8.5</v>
      </c>
      <c r="I510" s="500">
        <v>24</v>
      </c>
      <c r="J510" s="500" t="s">
        <v>996</v>
      </c>
      <c r="K510" s="500">
        <f t="shared" si="421"/>
        <v>24</v>
      </c>
      <c r="L510" s="500" t="str">
        <f t="shared" si="421"/>
        <v>24/24</v>
      </c>
      <c r="M510" s="500">
        <f t="shared" si="421"/>
        <v>24</v>
      </c>
      <c r="N510" s="500" t="str">
        <f t="shared" si="421"/>
        <v>24/24</v>
      </c>
      <c r="O510" s="500">
        <f t="shared" si="421"/>
        <v>24</v>
      </c>
      <c r="P510" s="500" t="str">
        <f t="shared" si="421"/>
        <v>24/24</v>
      </c>
      <c r="Q510" s="501">
        <v>30</v>
      </c>
      <c r="R510" s="502">
        <f t="shared" si="401"/>
        <v>6120</v>
      </c>
      <c r="S510" s="503">
        <f t="shared" si="402"/>
        <v>6120</v>
      </c>
      <c r="T510" s="503">
        <f t="shared" si="403"/>
        <v>6120</v>
      </c>
      <c r="U510" s="503">
        <f t="shared" si="404"/>
        <v>6120</v>
      </c>
      <c r="V510" s="502">
        <f t="shared" si="405"/>
        <v>6120</v>
      </c>
      <c r="W510" s="503">
        <f t="shared" si="406"/>
        <v>6120</v>
      </c>
      <c r="X510" s="503">
        <f t="shared" si="407"/>
        <v>6120</v>
      </c>
      <c r="Y510" s="503">
        <f t="shared" si="408"/>
        <v>6120</v>
      </c>
      <c r="Z510" s="504">
        <f t="shared" si="422"/>
        <v>1</v>
      </c>
      <c r="AA510" s="504">
        <f t="shared" si="422"/>
        <v>1</v>
      </c>
      <c r="AB510" s="504">
        <f t="shared" si="422"/>
        <v>1</v>
      </c>
      <c r="AC510" s="504">
        <f t="shared" si="422"/>
        <v>1</v>
      </c>
      <c r="AD510" s="96"/>
      <c r="AE510" s="96"/>
      <c r="AF510" s="96"/>
      <c r="AG510" s="96"/>
      <c r="AH510" s="96"/>
      <c r="AI510" s="96"/>
      <c r="AJ510" s="96"/>
      <c r="AK510" s="96"/>
    </row>
    <row r="511" spans="1:37" customFormat="1" ht="15.75" customHeight="1">
      <c r="A511" s="497"/>
      <c r="B511" s="498" t="s">
        <v>1689</v>
      </c>
      <c r="C511" s="499">
        <v>1</v>
      </c>
      <c r="D511" s="499">
        <v>1</v>
      </c>
      <c r="E511" s="499">
        <v>1</v>
      </c>
      <c r="F511" s="499">
        <v>1</v>
      </c>
      <c r="G511" s="500">
        <v>1.7</v>
      </c>
      <c r="H511" s="500">
        <v>1.7</v>
      </c>
      <c r="I511" s="500">
        <v>24</v>
      </c>
      <c r="J511" s="500" t="s">
        <v>996</v>
      </c>
      <c r="K511" s="500">
        <f t="shared" si="421"/>
        <v>24</v>
      </c>
      <c r="L511" s="500" t="str">
        <f t="shared" si="421"/>
        <v>24/24</v>
      </c>
      <c r="M511" s="500">
        <f t="shared" si="421"/>
        <v>24</v>
      </c>
      <c r="N511" s="500" t="str">
        <f t="shared" si="421"/>
        <v>24/24</v>
      </c>
      <c r="O511" s="500">
        <f t="shared" si="421"/>
        <v>24</v>
      </c>
      <c r="P511" s="500" t="str">
        <f t="shared" si="421"/>
        <v>24/24</v>
      </c>
      <c r="Q511" s="501">
        <v>30</v>
      </c>
      <c r="R511" s="502">
        <f t="shared" si="401"/>
        <v>1224</v>
      </c>
      <c r="S511" s="503">
        <f t="shared" si="402"/>
        <v>1224</v>
      </c>
      <c r="T511" s="503">
        <f t="shared" si="403"/>
        <v>1224</v>
      </c>
      <c r="U511" s="503">
        <f t="shared" si="404"/>
        <v>1224</v>
      </c>
      <c r="V511" s="502">
        <f t="shared" si="405"/>
        <v>1224</v>
      </c>
      <c r="W511" s="503">
        <f t="shared" si="406"/>
        <v>1224</v>
      </c>
      <c r="X511" s="503">
        <f t="shared" si="407"/>
        <v>1224</v>
      </c>
      <c r="Y511" s="503">
        <f t="shared" si="408"/>
        <v>1224</v>
      </c>
      <c r="Z511" s="504">
        <f t="shared" si="422"/>
        <v>1</v>
      </c>
      <c r="AA511" s="504">
        <f t="shared" si="422"/>
        <v>1</v>
      </c>
      <c r="AB511" s="504">
        <f t="shared" si="422"/>
        <v>1</v>
      </c>
      <c r="AC511" s="504">
        <f t="shared" si="422"/>
        <v>1</v>
      </c>
      <c r="AD511" s="96"/>
      <c r="AE511" s="96"/>
      <c r="AF511" s="96"/>
      <c r="AG511" s="96"/>
      <c r="AH511" s="96"/>
      <c r="AI511" s="96"/>
      <c r="AJ511" s="96"/>
      <c r="AK511" s="96"/>
    </row>
    <row r="512" spans="1:37" customFormat="1" ht="15.75" customHeight="1">
      <c r="A512" s="497"/>
      <c r="B512" s="498" t="s">
        <v>469</v>
      </c>
      <c r="C512" s="499">
        <v>8</v>
      </c>
      <c r="D512" s="499">
        <v>8</v>
      </c>
      <c r="E512" s="499">
        <v>8</v>
      </c>
      <c r="F512" s="499">
        <v>8</v>
      </c>
      <c r="G512" s="500">
        <v>0.3</v>
      </c>
      <c r="H512" s="500">
        <v>0.3</v>
      </c>
      <c r="I512" s="500">
        <v>24</v>
      </c>
      <c r="J512" s="500" t="s">
        <v>996</v>
      </c>
      <c r="K512" s="500">
        <f t="shared" si="421"/>
        <v>24</v>
      </c>
      <c r="L512" s="500" t="str">
        <f t="shared" si="421"/>
        <v>24/24</v>
      </c>
      <c r="M512" s="500">
        <f t="shared" si="421"/>
        <v>24</v>
      </c>
      <c r="N512" s="500" t="str">
        <f t="shared" si="421"/>
        <v>24/24</v>
      </c>
      <c r="O512" s="500">
        <f t="shared" si="421"/>
        <v>24</v>
      </c>
      <c r="P512" s="500" t="str">
        <f t="shared" si="421"/>
        <v>24/24</v>
      </c>
      <c r="Q512" s="501">
        <v>30</v>
      </c>
      <c r="R512" s="502">
        <f t="shared" si="401"/>
        <v>1727.9999999999998</v>
      </c>
      <c r="S512" s="503">
        <f t="shared" si="402"/>
        <v>1727.9999999999998</v>
      </c>
      <c r="T512" s="503">
        <f t="shared" si="403"/>
        <v>1727.9999999999998</v>
      </c>
      <c r="U512" s="503">
        <f t="shared" si="404"/>
        <v>1727.9999999999998</v>
      </c>
      <c r="V512" s="502">
        <f t="shared" si="405"/>
        <v>1727.9999999999998</v>
      </c>
      <c r="W512" s="503">
        <f t="shared" si="406"/>
        <v>1727.9999999999998</v>
      </c>
      <c r="X512" s="503">
        <f t="shared" si="407"/>
        <v>1727.9999999999998</v>
      </c>
      <c r="Y512" s="503">
        <f t="shared" si="408"/>
        <v>1727.9999999999998</v>
      </c>
      <c r="Z512" s="504">
        <f t="shared" si="422"/>
        <v>1</v>
      </c>
      <c r="AA512" s="504">
        <f t="shared" si="422"/>
        <v>1</v>
      </c>
      <c r="AB512" s="504">
        <f t="shared" si="422"/>
        <v>1</v>
      </c>
      <c r="AC512" s="504">
        <f t="shared" si="422"/>
        <v>1</v>
      </c>
      <c r="AD512" s="96"/>
      <c r="AE512" s="96"/>
      <c r="AF512" s="96"/>
      <c r="AG512" s="96"/>
      <c r="AH512" s="96"/>
      <c r="AI512" s="96"/>
      <c r="AJ512" s="96"/>
      <c r="AK512" s="96"/>
    </row>
    <row r="513" spans="1:37" customFormat="1" ht="15.75" customHeight="1">
      <c r="A513" s="497"/>
      <c r="B513" s="498" t="s">
        <v>1802</v>
      </c>
      <c r="C513" s="499">
        <v>2</v>
      </c>
      <c r="D513" s="499">
        <v>2</v>
      </c>
      <c r="E513" s="499">
        <v>2</v>
      </c>
      <c r="F513" s="499">
        <v>2</v>
      </c>
      <c r="G513" s="500">
        <v>0.8</v>
      </c>
      <c r="H513" s="500">
        <v>0.8</v>
      </c>
      <c r="I513" s="500">
        <v>24</v>
      </c>
      <c r="J513" s="500" t="s">
        <v>996</v>
      </c>
      <c r="K513" s="500">
        <f t="shared" si="421"/>
        <v>24</v>
      </c>
      <c r="L513" s="500" t="str">
        <f t="shared" si="421"/>
        <v>24/24</v>
      </c>
      <c r="M513" s="500">
        <f t="shared" si="421"/>
        <v>24</v>
      </c>
      <c r="N513" s="500" t="str">
        <f t="shared" si="421"/>
        <v>24/24</v>
      </c>
      <c r="O513" s="500">
        <f t="shared" si="421"/>
        <v>24</v>
      </c>
      <c r="P513" s="500" t="str">
        <f t="shared" si="421"/>
        <v>24/24</v>
      </c>
      <c r="Q513" s="501">
        <v>30</v>
      </c>
      <c r="R513" s="502">
        <f t="shared" si="401"/>
        <v>1152.0000000000002</v>
      </c>
      <c r="S513" s="503">
        <f t="shared" si="402"/>
        <v>1152.0000000000002</v>
      </c>
      <c r="T513" s="503">
        <f t="shared" si="403"/>
        <v>1152.0000000000002</v>
      </c>
      <c r="U513" s="503">
        <f t="shared" si="404"/>
        <v>1152.0000000000002</v>
      </c>
      <c r="V513" s="502">
        <f t="shared" si="405"/>
        <v>1152.0000000000002</v>
      </c>
      <c r="W513" s="503">
        <f t="shared" si="406"/>
        <v>1152.0000000000002</v>
      </c>
      <c r="X513" s="503">
        <f t="shared" si="407"/>
        <v>1152.0000000000002</v>
      </c>
      <c r="Y513" s="503">
        <f t="shared" si="408"/>
        <v>1152.0000000000002</v>
      </c>
      <c r="Z513" s="504">
        <f t="shared" si="422"/>
        <v>1</v>
      </c>
      <c r="AA513" s="504">
        <f t="shared" si="422"/>
        <v>1</v>
      </c>
      <c r="AB513" s="504">
        <f t="shared" si="422"/>
        <v>1</v>
      </c>
      <c r="AC513" s="504">
        <f t="shared" si="422"/>
        <v>1</v>
      </c>
      <c r="AD513" s="96"/>
      <c r="AE513" s="96"/>
      <c r="AF513" s="96"/>
      <c r="AG513" s="96"/>
      <c r="AH513" s="96"/>
      <c r="AI513" s="96"/>
      <c r="AJ513" s="96"/>
      <c r="AK513" s="96"/>
    </row>
    <row r="514" spans="1:37" customFormat="1" ht="15.75" customHeight="1">
      <c r="A514" s="497"/>
      <c r="B514" s="498" t="s">
        <v>1674</v>
      </c>
      <c r="C514" s="499">
        <v>6</v>
      </c>
      <c r="D514" s="499">
        <v>6</v>
      </c>
      <c r="E514" s="499">
        <v>6</v>
      </c>
      <c r="F514" s="499">
        <v>6</v>
      </c>
      <c r="G514" s="500">
        <v>0.9</v>
      </c>
      <c r="H514" s="500">
        <v>0.9</v>
      </c>
      <c r="I514" s="500">
        <v>24</v>
      </c>
      <c r="J514" s="500" t="s">
        <v>996</v>
      </c>
      <c r="K514" s="500">
        <f t="shared" si="421"/>
        <v>24</v>
      </c>
      <c r="L514" s="500" t="str">
        <f t="shared" si="421"/>
        <v>24/24</v>
      </c>
      <c r="M514" s="500">
        <f t="shared" si="421"/>
        <v>24</v>
      </c>
      <c r="N514" s="500" t="str">
        <f t="shared" si="421"/>
        <v>24/24</v>
      </c>
      <c r="O514" s="500">
        <f t="shared" si="421"/>
        <v>24</v>
      </c>
      <c r="P514" s="500" t="str">
        <f t="shared" si="421"/>
        <v>24/24</v>
      </c>
      <c r="Q514" s="501">
        <v>30</v>
      </c>
      <c r="R514" s="502">
        <f t="shared" si="401"/>
        <v>3888.0000000000009</v>
      </c>
      <c r="S514" s="503">
        <f t="shared" si="402"/>
        <v>3888.0000000000009</v>
      </c>
      <c r="T514" s="503">
        <f t="shared" si="403"/>
        <v>3888.0000000000009</v>
      </c>
      <c r="U514" s="503">
        <f t="shared" si="404"/>
        <v>3888.0000000000009</v>
      </c>
      <c r="V514" s="502">
        <f t="shared" si="405"/>
        <v>3888.0000000000009</v>
      </c>
      <c r="W514" s="503">
        <f t="shared" si="406"/>
        <v>3888.0000000000009</v>
      </c>
      <c r="X514" s="503">
        <f t="shared" si="407"/>
        <v>3888.0000000000009</v>
      </c>
      <c r="Y514" s="503">
        <f t="shared" si="408"/>
        <v>3888.0000000000009</v>
      </c>
      <c r="Z514" s="504">
        <f t="shared" si="422"/>
        <v>1</v>
      </c>
      <c r="AA514" s="504">
        <f t="shared" si="422"/>
        <v>1</v>
      </c>
      <c r="AB514" s="504">
        <f t="shared" si="422"/>
        <v>1</v>
      </c>
      <c r="AC514" s="504">
        <f t="shared" si="422"/>
        <v>1</v>
      </c>
      <c r="AD514" s="96"/>
      <c r="AE514" s="96"/>
      <c r="AF514" s="96"/>
      <c r="AG514" s="96"/>
      <c r="AH514" s="96"/>
      <c r="AI514" s="96"/>
      <c r="AJ514" s="96"/>
      <c r="AK514" s="96"/>
    </row>
    <row r="515" spans="1:37" customFormat="1" ht="15.75" customHeight="1">
      <c r="A515" s="489"/>
      <c r="B515" s="490" t="s">
        <v>227</v>
      </c>
      <c r="C515" s="491"/>
      <c r="D515" s="491"/>
      <c r="E515" s="491"/>
      <c r="F515" s="491"/>
      <c r="G515" s="492"/>
      <c r="H515" s="492"/>
      <c r="I515" s="492"/>
      <c r="J515" s="492"/>
      <c r="K515" s="492"/>
      <c r="L515" s="492"/>
      <c r="M515" s="492"/>
      <c r="N515" s="492"/>
      <c r="O515" s="492"/>
      <c r="P515" s="492"/>
      <c r="Q515" s="493"/>
      <c r="R515" s="494"/>
      <c r="S515" s="495"/>
      <c r="T515" s="495"/>
      <c r="U515" s="495"/>
      <c r="V515" s="494"/>
      <c r="W515" s="495"/>
      <c r="X515" s="495"/>
      <c r="Y515" s="495"/>
      <c r="Z515" s="496"/>
      <c r="AA515" s="496"/>
      <c r="AB515" s="496"/>
      <c r="AC515" s="496"/>
      <c r="AD515" s="96"/>
      <c r="AE515" s="96"/>
      <c r="AF515" s="96"/>
      <c r="AG515" s="96"/>
      <c r="AH515" s="96"/>
      <c r="AI515" s="96"/>
      <c r="AJ515" s="96"/>
      <c r="AK515" s="96"/>
    </row>
    <row r="516" spans="1:37" customFormat="1" ht="15.75" customHeight="1">
      <c r="A516" s="497"/>
      <c r="B516" s="498" t="s">
        <v>1690</v>
      </c>
      <c r="C516" s="499">
        <v>1</v>
      </c>
      <c r="D516" s="499">
        <v>1</v>
      </c>
      <c r="E516" s="499">
        <v>1</v>
      </c>
      <c r="F516" s="499">
        <v>1</v>
      </c>
      <c r="G516" s="500">
        <v>2.2000000000000002</v>
      </c>
      <c r="H516" s="500">
        <v>2.2000000000000002</v>
      </c>
      <c r="I516" s="500">
        <v>24</v>
      </c>
      <c r="J516" s="500" t="s">
        <v>996</v>
      </c>
      <c r="K516" s="500">
        <f t="shared" si="421"/>
        <v>24</v>
      </c>
      <c r="L516" s="500" t="str">
        <f t="shared" si="421"/>
        <v>24/24</v>
      </c>
      <c r="M516" s="500">
        <f t="shared" si="421"/>
        <v>24</v>
      </c>
      <c r="N516" s="500" t="str">
        <f t="shared" si="421"/>
        <v>24/24</v>
      </c>
      <c r="O516" s="500">
        <f t="shared" si="421"/>
        <v>24</v>
      </c>
      <c r="P516" s="500" t="str">
        <f t="shared" si="421"/>
        <v>24/24</v>
      </c>
      <c r="Q516" s="501">
        <v>30</v>
      </c>
      <c r="R516" s="502">
        <f t="shared" si="401"/>
        <v>1584.0000000000002</v>
      </c>
      <c r="S516" s="503">
        <f t="shared" si="402"/>
        <v>1584.0000000000002</v>
      </c>
      <c r="T516" s="503">
        <f t="shared" si="403"/>
        <v>1584.0000000000002</v>
      </c>
      <c r="U516" s="503">
        <f t="shared" si="404"/>
        <v>1584.0000000000002</v>
      </c>
      <c r="V516" s="502">
        <f t="shared" si="405"/>
        <v>1584.0000000000002</v>
      </c>
      <c r="W516" s="503">
        <f t="shared" si="406"/>
        <v>1584.0000000000002</v>
      </c>
      <c r="X516" s="503">
        <f t="shared" si="407"/>
        <v>1584.0000000000002</v>
      </c>
      <c r="Y516" s="503">
        <f t="shared" si="408"/>
        <v>1584.0000000000002</v>
      </c>
      <c r="Z516" s="504">
        <f t="shared" si="422"/>
        <v>1</v>
      </c>
      <c r="AA516" s="504">
        <f t="shared" si="422"/>
        <v>1</v>
      </c>
      <c r="AB516" s="504">
        <f t="shared" si="422"/>
        <v>1</v>
      </c>
      <c r="AC516" s="504">
        <f t="shared" si="422"/>
        <v>1</v>
      </c>
      <c r="AD516" s="96"/>
      <c r="AE516" s="96"/>
      <c r="AF516" s="96"/>
      <c r="AG516" s="96"/>
      <c r="AH516" s="96"/>
      <c r="AI516" s="96"/>
      <c r="AJ516" s="96"/>
      <c r="AK516" s="96"/>
    </row>
    <row r="517" spans="1:37" customFormat="1" ht="15.75" customHeight="1">
      <c r="A517" s="497"/>
      <c r="B517" s="498" t="s">
        <v>1691</v>
      </c>
      <c r="C517" s="499">
        <v>1</v>
      </c>
      <c r="D517" s="499">
        <v>1</v>
      </c>
      <c r="E517" s="499">
        <v>1</v>
      </c>
      <c r="F517" s="499">
        <v>1</v>
      </c>
      <c r="G517" s="500">
        <v>8.5</v>
      </c>
      <c r="H517" s="500">
        <v>8.5</v>
      </c>
      <c r="I517" s="500">
        <v>24</v>
      </c>
      <c r="J517" s="500" t="s">
        <v>996</v>
      </c>
      <c r="K517" s="500">
        <f t="shared" si="421"/>
        <v>24</v>
      </c>
      <c r="L517" s="500" t="str">
        <f t="shared" si="421"/>
        <v>24/24</v>
      </c>
      <c r="M517" s="500">
        <f t="shared" si="421"/>
        <v>24</v>
      </c>
      <c r="N517" s="500" t="str">
        <f t="shared" si="421"/>
        <v>24/24</v>
      </c>
      <c r="O517" s="500">
        <f t="shared" si="421"/>
        <v>24</v>
      </c>
      <c r="P517" s="500" t="str">
        <f t="shared" si="421"/>
        <v>24/24</v>
      </c>
      <c r="Q517" s="501">
        <v>30</v>
      </c>
      <c r="R517" s="502">
        <f t="shared" si="401"/>
        <v>6120</v>
      </c>
      <c r="S517" s="503">
        <f t="shared" si="402"/>
        <v>6120</v>
      </c>
      <c r="T517" s="503">
        <f t="shared" si="403"/>
        <v>6120</v>
      </c>
      <c r="U517" s="503">
        <f t="shared" si="404"/>
        <v>6120</v>
      </c>
      <c r="V517" s="502">
        <f t="shared" si="405"/>
        <v>6120</v>
      </c>
      <c r="W517" s="503">
        <f t="shared" si="406"/>
        <v>6120</v>
      </c>
      <c r="X517" s="503">
        <f t="shared" si="407"/>
        <v>6120</v>
      </c>
      <c r="Y517" s="503">
        <f t="shared" si="408"/>
        <v>6120</v>
      </c>
      <c r="Z517" s="504">
        <f t="shared" si="422"/>
        <v>1</v>
      </c>
      <c r="AA517" s="504">
        <f t="shared" si="422"/>
        <v>1</v>
      </c>
      <c r="AB517" s="504">
        <f t="shared" si="422"/>
        <v>1</v>
      </c>
      <c r="AC517" s="504">
        <f t="shared" si="422"/>
        <v>1</v>
      </c>
      <c r="AD517" s="96"/>
      <c r="AE517" s="96"/>
      <c r="AF517" s="96"/>
      <c r="AG517" s="96"/>
      <c r="AH517" s="96"/>
      <c r="AI517" s="96"/>
      <c r="AJ517" s="96"/>
      <c r="AK517" s="96"/>
    </row>
    <row r="518" spans="1:37" customFormat="1" ht="15.75" customHeight="1">
      <c r="A518" s="497"/>
      <c r="B518" s="498" t="s">
        <v>1692</v>
      </c>
      <c r="C518" s="499">
        <v>1</v>
      </c>
      <c r="D518" s="499">
        <v>1</v>
      </c>
      <c r="E518" s="499">
        <v>1</v>
      </c>
      <c r="F518" s="499">
        <v>1</v>
      </c>
      <c r="G518" s="500">
        <v>0.72</v>
      </c>
      <c r="H518" s="500">
        <v>0.72</v>
      </c>
      <c r="I518" s="500">
        <v>24</v>
      </c>
      <c r="J518" s="500" t="s">
        <v>996</v>
      </c>
      <c r="K518" s="500">
        <f t="shared" si="421"/>
        <v>24</v>
      </c>
      <c r="L518" s="500" t="str">
        <f t="shared" si="421"/>
        <v>24/24</v>
      </c>
      <c r="M518" s="500">
        <f t="shared" si="421"/>
        <v>24</v>
      </c>
      <c r="N518" s="500" t="str">
        <f t="shared" si="421"/>
        <v>24/24</v>
      </c>
      <c r="O518" s="500">
        <f t="shared" si="421"/>
        <v>24</v>
      </c>
      <c r="P518" s="500" t="str">
        <f t="shared" si="421"/>
        <v>24/24</v>
      </c>
      <c r="Q518" s="501">
        <v>30</v>
      </c>
      <c r="R518" s="502">
        <f t="shared" si="401"/>
        <v>518.40000000000009</v>
      </c>
      <c r="S518" s="503">
        <f t="shared" si="402"/>
        <v>518.40000000000009</v>
      </c>
      <c r="T518" s="503">
        <f t="shared" si="403"/>
        <v>518.40000000000009</v>
      </c>
      <c r="U518" s="503">
        <f t="shared" si="404"/>
        <v>518.40000000000009</v>
      </c>
      <c r="V518" s="502">
        <f t="shared" si="405"/>
        <v>518.40000000000009</v>
      </c>
      <c r="W518" s="503">
        <f t="shared" si="406"/>
        <v>518.40000000000009</v>
      </c>
      <c r="X518" s="503">
        <f t="shared" si="407"/>
        <v>518.40000000000009</v>
      </c>
      <c r="Y518" s="503">
        <f t="shared" si="408"/>
        <v>518.40000000000009</v>
      </c>
      <c r="Z518" s="504">
        <f t="shared" si="422"/>
        <v>1</v>
      </c>
      <c r="AA518" s="504">
        <f t="shared" si="422"/>
        <v>1</v>
      </c>
      <c r="AB518" s="504">
        <f t="shared" si="422"/>
        <v>1</v>
      </c>
      <c r="AC518" s="504">
        <f t="shared" si="422"/>
        <v>1</v>
      </c>
      <c r="AD518" s="96"/>
      <c r="AE518" s="96"/>
      <c r="AF518" s="96"/>
      <c r="AG518" s="96"/>
      <c r="AH518" s="96"/>
      <c r="AI518" s="96"/>
      <c r="AJ518" s="96"/>
      <c r="AK518" s="96"/>
    </row>
    <row r="519" spans="1:37" customFormat="1" ht="15.75" customHeight="1">
      <c r="A519" s="489"/>
      <c r="B519" s="490" t="s">
        <v>1693</v>
      </c>
      <c r="C519" s="491"/>
      <c r="D519" s="491"/>
      <c r="E519" s="491"/>
      <c r="F519" s="491"/>
      <c r="G519" s="492"/>
      <c r="H519" s="492"/>
      <c r="I519" s="492"/>
      <c r="J519" s="492"/>
      <c r="K519" s="492"/>
      <c r="L519" s="492"/>
      <c r="M519" s="492"/>
      <c r="N519" s="492"/>
      <c r="O519" s="492"/>
      <c r="P519" s="492"/>
      <c r="Q519" s="493"/>
      <c r="R519" s="494"/>
      <c r="S519" s="495"/>
      <c r="T519" s="495"/>
      <c r="U519" s="495"/>
      <c r="V519" s="494"/>
      <c r="W519" s="495"/>
      <c r="X519" s="495"/>
      <c r="Y519" s="495"/>
      <c r="Z519" s="496"/>
      <c r="AA519" s="496"/>
      <c r="AB519" s="496"/>
      <c r="AC519" s="496"/>
      <c r="AD519" s="96"/>
      <c r="AE519" s="96"/>
      <c r="AF519" s="96"/>
      <c r="AG519" s="96"/>
      <c r="AH519" s="96"/>
      <c r="AI519" s="96"/>
      <c r="AJ519" s="96"/>
      <c r="AK519" s="96"/>
    </row>
    <row r="520" spans="1:37" customFormat="1" ht="15.75" customHeight="1">
      <c r="A520" s="497"/>
      <c r="B520" s="498" t="s">
        <v>1691</v>
      </c>
      <c r="C520" s="499">
        <v>1</v>
      </c>
      <c r="D520" s="499">
        <v>1</v>
      </c>
      <c r="E520" s="499">
        <v>1</v>
      </c>
      <c r="F520" s="499">
        <v>1</v>
      </c>
      <c r="G520" s="500">
        <v>8.5</v>
      </c>
      <c r="H520" s="500">
        <v>8.5</v>
      </c>
      <c r="I520" s="500">
        <v>24</v>
      </c>
      <c r="J520" s="500" t="s">
        <v>996</v>
      </c>
      <c r="K520" s="500">
        <f t="shared" ref="K520:P520" si="423">I520</f>
        <v>24</v>
      </c>
      <c r="L520" s="500" t="str">
        <f t="shared" si="423"/>
        <v>24/24</v>
      </c>
      <c r="M520" s="500">
        <f t="shared" si="423"/>
        <v>24</v>
      </c>
      <c r="N520" s="500" t="str">
        <f t="shared" si="423"/>
        <v>24/24</v>
      </c>
      <c r="O520" s="500">
        <f t="shared" si="423"/>
        <v>24</v>
      </c>
      <c r="P520" s="500" t="str">
        <f t="shared" si="423"/>
        <v>24/24</v>
      </c>
      <c r="Q520" s="501">
        <v>30</v>
      </c>
      <c r="R520" s="502">
        <f t="shared" ref="R520" si="424">C520*G520*I520*Q520</f>
        <v>6120</v>
      </c>
      <c r="S520" s="503">
        <f t="shared" ref="S520" si="425">D520*G520*K520*Q520</f>
        <v>6120</v>
      </c>
      <c r="T520" s="503">
        <f t="shared" ref="T520" si="426">E520*G520*M520*Q520</f>
        <v>6120</v>
      </c>
      <c r="U520" s="503">
        <f t="shared" ref="U520" si="427">F520*G520*O520*Q520</f>
        <v>6120</v>
      </c>
      <c r="V520" s="502">
        <f t="shared" ref="V520" si="428">C520*H520*I520*Q520</f>
        <v>6120</v>
      </c>
      <c r="W520" s="503">
        <f t="shared" ref="W520" si="429">D520*H520*K520*Q520</f>
        <v>6120</v>
      </c>
      <c r="X520" s="503">
        <f t="shared" ref="X520" si="430">E520*H520*M520*Q520</f>
        <v>6120</v>
      </c>
      <c r="Y520" s="503">
        <f t="shared" ref="Y520" si="431">F520*H520*O520*Q520</f>
        <v>6120</v>
      </c>
      <c r="Z520" s="504">
        <f t="shared" ref="Z520:AC520" si="432">V520/R520</f>
        <v>1</v>
      </c>
      <c r="AA520" s="504">
        <f t="shared" si="432"/>
        <v>1</v>
      </c>
      <c r="AB520" s="504">
        <f t="shared" si="432"/>
        <v>1</v>
      </c>
      <c r="AC520" s="504">
        <f t="shared" si="432"/>
        <v>1</v>
      </c>
      <c r="AD520" s="96"/>
      <c r="AE520" s="96"/>
      <c r="AF520" s="96"/>
      <c r="AG520" s="96"/>
      <c r="AH520" s="96"/>
      <c r="AI520" s="96"/>
      <c r="AJ520" s="96"/>
      <c r="AK520" s="96"/>
    </row>
    <row r="521" spans="1:37" s="96" customFormat="1">
      <c r="A521" s="276" t="s">
        <v>408</v>
      </c>
      <c r="B521" s="443" t="s">
        <v>824</v>
      </c>
      <c r="C521" s="130"/>
      <c r="D521" s="129"/>
      <c r="E521" s="129"/>
      <c r="F521" s="129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</row>
    <row r="522" spans="1:37" s="96" customFormat="1">
      <c r="A522" s="276"/>
      <c r="B522" s="443" t="s">
        <v>825</v>
      </c>
      <c r="C522" s="130"/>
      <c r="D522" s="129"/>
      <c r="E522" s="129"/>
      <c r="F522" s="129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</row>
    <row r="523" spans="1:37" s="96" customFormat="1">
      <c r="A523" s="92">
        <v>1</v>
      </c>
      <c r="B523" s="143" t="s">
        <v>826</v>
      </c>
      <c r="C523" s="130">
        <v>73</v>
      </c>
      <c r="D523" s="130">
        <v>73</v>
      </c>
      <c r="E523" s="130">
        <v>73</v>
      </c>
      <c r="F523" s="130">
        <v>73</v>
      </c>
      <c r="G523" s="148">
        <v>2.4</v>
      </c>
      <c r="H523" s="148">
        <v>2.4</v>
      </c>
      <c r="I523" s="148">
        <v>5</v>
      </c>
      <c r="J523" s="148" t="s">
        <v>1136</v>
      </c>
      <c r="K523" s="148">
        <v>5</v>
      </c>
      <c r="L523" s="148" t="s">
        <v>1136</v>
      </c>
      <c r="M523" s="148">
        <v>5</v>
      </c>
      <c r="N523" s="148" t="s">
        <v>1136</v>
      </c>
      <c r="O523" s="148">
        <v>5</v>
      </c>
      <c r="P523" s="148" t="s">
        <v>1136</v>
      </c>
      <c r="Q523" s="136">
        <v>30</v>
      </c>
      <c r="R523" s="146">
        <f t="shared" ref="R523:R529" si="433">D523*G523*K523*Q523</f>
        <v>26280</v>
      </c>
      <c r="S523" s="146">
        <f t="shared" ref="S523:S529" si="434">E523*G523*M523*Q523</f>
        <v>26280</v>
      </c>
      <c r="T523" s="146">
        <f t="shared" ref="T523:T529" si="435">F523*G523*O523*Q523</f>
        <v>26280</v>
      </c>
      <c r="U523" s="145">
        <f t="shared" ref="U523:U529" si="436">C523*H523*I523*Q523</f>
        <v>26280</v>
      </c>
      <c r="V523" s="146">
        <f t="shared" ref="V523:V529" si="437">E523*H523*M523*Q523</f>
        <v>26280</v>
      </c>
      <c r="W523" s="146">
        <f t="shared" ref="W523:W529" si="438">F523*H523*O523*Q523</f>
        <v>26280</v>
      </c>
      <c r="X523" s="147" t="e">
        <f>U523/#REF!</f>
        <v>#REF!</v>
      </c>
      <c r="Y523" s="147" t="e">
        <f>#REF!/R523</f>
        <v>#REF!</v>
      </c>
      <c r="Z523" s="147">
        <f t="shared" ref="Z523:Z529" si="439">W523/T523</f>
        <v>1</v>
      </c>
      <c r="AA523" s="147"/>
      <c r="AB523" s="147"/>
      <c r="AC523" s="147"/>
    </row>
    <row r="524" spans="1:37" s="96" customFormat="1">
      <c r="A524" s="92">
        <v>2</v>
      </c>
      <c r="B524" s="143" t="s">
        <v>827</v>
      </c>
      <c r="C524" s="130">
        <v>73</v>
      </c>
      <c r="D524" s="129">
        <v>73</v>
      </c>
      <c r="E524" s="129">
        <v>73</v>
      </c>
      <c r="F524" s="129">
        <v>73</v>
      </c>
      <c r="G524" s="148">
        <v>0.6</v>
      </c>
      <c r="H524" s="148">
        <v>0.6</v>
      </c>
      <c r="I524" s="148">
        <v>5</v>
      </c>
      <c r="J524" s="148" t="s">
        <v>1136</v>
      </c>
      <c r="K524" s="148">
        <v>5</v>
      </c>
      <c r="L524" s="148" t="s">
        <v>1136</v>
      </c>
      <c r="M524" s="148">
        <v>5</v>
      </c>
      <c r="N524" s="148" t="s">
        <v>1136</v>
      </c>
      <c r="O524" s="148">
        <v>5</v>
      </c>
      <c r="P524" s="148" t="s">
        <v>1136</v>
      </c>
      <c r="Q524" s="136">
        <v>30</v>
      </c>
      <c r="R524" s="146">
        <f t="shared" si="433"/>
        <v>6570</v>
      </c>
      <c r="S524" s="146">
        <f t="shared" si="434"/>
        <v>6570</v>
      </c>
      <c r="T524" s="146">
        <f t="shared" si="435"/>
        <v>6570</v>
      </c>
      <c r="U524" s="145">
        <f t="shared" si="436"/>
        <v>6570</v>
      </c>
      <c r="V524" s="146">
        <f t="shared" si="437"/>
        <v>6570</v>
      </c>
      <c r="W524" s="146">
        <f t="shared" si="438"/>
        <v>6570</v>
      </c>
      <c r="X524" s="147" t="e">
        <f>U524/#REF!</f>
        <v>#REF!</v>
      </c>
      <c r="Y524" s="147" t="e">
        <f>#REF!/R524</f>
        <v>#REF!</v>
      </c>
      <c r="Z524" s="147">
        <f t="shared" si="439"/>
        <v>1</v>
      </c>
      <c r="AA524" s="147"/>
      <c r="AB524" s="147"/>
      <c r="AC524" s="147"/>
    </row>
    <row r="525" spans="1:37" s="96" customFormat="1">
      <c r="A525" s="92">
        <v>3</v>
      </c>
      <c r="B525" s="143" t="s">
        <v>828</v>
      </c>
      <c r="C525" s="130">
        <v>6</v>
      </c>
      <c r="D525" s="129">
        <v>6</v>
      </c>
      <c r="E525" s="129">
        <v>6</v>
      </c>
      <c r="F525" s="129">
        <v>6</v>
      </c>
      <c r="G525" s="148">
        <v>1.6</v>
      </c>
      <c r="H525" s="148">
        <v>1.6</v>
      </c>
      <c r="I525" s="148">
        <v>5</v>
      </c>
      <c r="J525" s="148" t="s">
        <v>1136</v>
      </c>
      <c r="K525" s="148">
        <v>5</v>
      </c>
      <c r="L525" s="148" t="s">
        <v>1136</v>
      </c>
      <c r="M525" s="148">
        <v>5</v>
      </c>
      <c r="N525" s="148" t="s">
        <v>1136</v>
      </c>
      <c r="O525" s="148">
        <v>5</v>
      </c>
      <c r="P525" s="148" t="s">
        <v>1136</v>
      </c>
      <c r="Q525" s="136">
        <v>30</v>
      </c>
      <c r="R525" s="146">
        <f t="shared" si="433"/>
        <v>1440.0000000000002</v>
      </c>
      <c r="S525" s="146">
        <f t="shared" si="434"/>
        <v>1440.0000000000002</v>
      </c>
      <c r="T525" s="146">
        <f t="shared" si="435"/>
        <v>1440.0000000000002</v>
      </c>
      <c r="U525" s="145">
        <f t="shared" si="436"/>
        <v>1440.0000000000002</v>
      </c>
      <c r="V525" s="146">
        <f t="shared" si="437"/>
        <v>1440.0000000000002</v>
      </c>
      <c r="W525" s="146">
        <f t="shared" si="438"/>
        <v>1440.0000000000002</v>
      </c>
      <c r="X525" s="147" t="e">
        <f>U525/#REF!</f>
        <v>#REF!</v>
      </c>
      <c r="Y525" s="147" t="e">
        <f>#REF!/R525</f>
        <v>#REF!</v>
      </c>
      <c r="Z525" s="147">
        <f t="shared" si="439"/>
        <v>1</v>
      </c>
      <c r="AA525" s="147"/>
      <c r="AB525" s="147"/>
      <c r="AC525" s="147"/>
    </row>
    <row r="526" spans="1:37" s="96" customFormat="1" ht="45">
      <c r="A526" s="92">
        <v>4</v>
      </c>
      <c r="B526" s="143" t="s">
        <v>829</v>
      </c>
      <c r="C526" s="130">
        <v>1</v>
      </c>
      <c r="D526" s="129">
        <v>1</v>
      </c>
      <c r="E526" s="129">
        <v>1</v>
      </c>
      <c r="F526" s="129">
        <v>1</v>
      </c>
      <c r="G526" s="148"/>
      <c r="H526" s="148"/>
      <c r="I526" s="148">
        <v>5</v>
      </c>
      <c r="J526" s="148" t="s">
        <v>1137</v>
      </c>
      <c r="K526" s="148">
        <v>5</v>
      </c>
      <c r="L526" s="148" t="s">
        <v>1137</v>
      </c>
      <c r="M526" s="148">
        <v>5</v>
      </c>
      <c r="N526" s="148" t="s">
        <v>1137</v>
      </c>
      <c r="O526" s="148">
        <v>5</v>
      </c>
      <c r="P526" s="148" t="s">
        <v>1137</v>
      </c>
      <c r="Q526" s="136">
        <v>30</v>
      </c>
      <c r="R526" s="146">
        <f t="shared" si="433"/>
        <v>0</v>
      </c>
      <c r="S526" s="146">
        <f t="shared" si="434"/>
        <v>0</v>
      </c>
      <c r="T526" s="146">
        <f t="shared" si="435"/>
        <v>0</v>
      </c>
      <c r="U526" s="145">
        <f t="shared" si="436"/>
        <v>0</v>
      </c>
      <c r="V526" s="146">
        <f t="shared" si="437"/>
        <v>0</v>
      </c>
      <c r="W526" s="146">
        <f t="shared" si="438"/>
        <v>0</v>
      </c>
      <c r="X526" s="147" t="e">
        <f>U526/#REF!</f>
        <v>#REF!</v>
      </c>
      <c r="Y526" s="147" t="e">
        <f>#REF!/R526</f>
        <v>#REF!</v>
      </c>
      <c r="Z526" s="147" t="e">
        <f t="shared" si="439"/>
        <v>#DIV/0!</v>
      </c>
      <c r="AA526" s="147"/>
      <c r="AB526" s="147"/>
      <c r="AC526" s="147"/>
    </row>
    <row r="527" spans="1:37" s="96" customFormat="1">
      <c r="A527" s="92">
        <v>5</v>
      </c>
      <c r="B527" s="143" t="s">
        <v>733</v>
      </c>
      <c r="C527" s="130">
        <v>1</v>
      </c>
      <c r="D527" s="129">
        <v>1</v>
      </c>
      <c r="E527" s="129">
        <v>1</v>
      </c>
      <c r="F527" s="129">
        <v>1</v>
      </c>
      <c r="G527" s="148"/>
      <c r="H527" s="148"/>
      <c r="I527" s="148">
        <v>5</v>
      </c>
      <c r="J527" s="148" t="s">
        <v>1136</v>
      </c>
      <c r="K527" s="148">
        <v>5</v>
      </c>
      <c r="L527" s="148" t="s">
        <v>1136</v>
      </c>
      <c r="M527" s="148">
        <v>5</v>
      </c>
      <c r="N527" s="148" t="s">
        <v>1136</v>
      </c>
      <c r="O527" s="148">
        <v>5</v>
      </c>
      <c r="P527" s="148" t="s">
        <v>1136</v>
      </c>
      <c r="Q527" s="136">
        <v>30</v>
      </c>
      <c r="R527" s="146">
        <f t="shared" si="433"/>
        <v>0</v>
      </c>
      <c r="S527" s="146">
        <f t="shared" si="434"/>
        <v>0</v>
      </c>
      <c r="T527" s="146">
        <f t="shared" si="435"/>
        <v>0</v>
      </c>
      <c r="U527" s="145">
        <f t="shared" si="436"/>
        <v>0</v>
      </c>
      <c r="V527" s="146">
        <f t="shared" si="437"/>
        <v>0</v>
      </c>
      <c r="W527" s="146">
        <f t="shared" si="438"/>
        <v>0</v>
      </c>
      <c r="X527" s="147" t="e">
        <f>U527/#REF!</f>
        <v>#REF!</v>
      </c>
      <c r="Y527" s="147" t="e">
        <f>#REF!/R527</f>
        <v>#REF!</v>
      </c>
      <c r="Z527" s="147" t="e">
        <f t="shared" si="439"/>
        <v>#DIV/0!</v>
      </c>
      <c r="AA527" s="147"/>
      <c r="AB527" s="147"/>
      <c r="AC527" s="147"/>
    </row>
    <row r="528" spans="1:37" s="96" customFormat="1">
      <c r="A528" s="92">
        <v>6</v>
      </c>
      <c r="B528" s="143" t="s">
        <v>830</v>
      </c>
      <c r="C528" s="130">
        <v>1</v>
      </c>
      <c r="D528" s="129">
        <v>1</v>
      </c>
      <c r="E528" s="129">
        <v>1</v>
      </c>
      <c r="F528" s="129">
        <v>1</v>
      </c>
      <c r="G528" s="148">
        <v>3.74</v>
      </c>
      <c r="H528" s="148">
        <v>3.74</v>
      </c>
      <c r="I528" s="148">
        <v>24</v>
      </c>
      <c r="J528" s="148" t="s">
        <v>996</v>
      </c>
      <c r="K528" s="148">
        <v>24</v>
      </c>
      <c r="L528" s="148" t="s">
        <v>996</v>
      </c>
      <c r="M528" s="148">
        <v>24</v>
      </c>
      <c r="N528" s="148" t="s">
        <v>996</v>
      </c>
      <c r="O528" s="148">
        <v>24</v>
      </c>
      <c r="P528" s="148" t="s">
        <v>996</v>
      </c>
      <c r="Q528" s="136">
        <v>30</v>
      </c>
      <c r="R528" s="146">
        <f t="shared" si="433"/>
        <v>2692.8</v>
      </c>
      <c r="S528" s="146">
        <f t="shared" si="434"/>
        <v>2692.8</v>
      </c>
      <c r="T528" s="146">
        <f t="shared" si="435"/>
        <v>2692.8</v>
      </c>
      <c r="U528" s="145">
        <f t="shared" si="436"/>
        <v>2692.8</v>
      </c>
      <c r="V528" s="146">
        <f t="shared" si="437"/>
        <v>2692.8</v>
      </c>
      <c r="W528" s="146">
        <f t="shared" si="438"/>
        <v>2692.8</v>
      </c>
      <c r="X528" s="147" t="e">
        <f>U528/#REF!</f>
        <v>#REF!</v>
      </c>
      <c r="Y528" s="147" t="e">
        <f>#REF!/R528</f>
        <v>#REF!</v>
      </c>
      <c r="Z528" s="147">
        <f t="shared" si="439"/>
        <v>1</v>
      </c>
      <c r="AA528" s="147"/>
      <c r="AB528" s="147"/>
      <c r="AC528" s="147"/>
    </row>
    <row r="529" spans="1:37" s="96" customFormat="1">
      <c r="A529" s="92">
        <v>7</v>
      </c>
      <c r="B529" s="143" t="s">
        <v>831</v>
      </c>
      <c r="C529" s="130">
        <v>2</v>
      </c>
      <c r="D529" s="129">
        <v>2</v>
      </c>
      <c r="E529" s="129">
        <v>2</v>
      </c>
      <c r="F529" s="129">
        <v>2</v>
      </c>
      <c r="G529" s="148">
        <v>0.25</v>
      </c>
      <c r="H529" s="148">
        <v>0.25</v>
      </c>
      <c r="I529" s="148">
        <v>5</v>
      </c>
      <c r="J529" s="148" t="s">
        <v>1136</v>
      </c>
      <c r="K529" s="148">
        <v>5</v>
      </c>
      <c r="L529" s="148" t="s">
        <v>1136</v>
      </c>
      <c r="M529" s="148">
        <v>5</v>
      </c>
      <c r="N529" s="148" t="s">
        <v>1136</v>
      </c>
      <c r="O529" s="148">
        <v>5</v>
      </c>
      <c r="P529" s="148" t="s">
        <v>1136</v>
      </c>
      <c r="Q529" s="136">
        <v>30</v>
      </c>
      <c r="R529" s="146">
        <f t="shared" si="433"/>
        <v>75</v>
      </c>
      <c r="S529" s="146">
        <f t="shared" si="434"/>
        <v>75</v>
      </c>
      <c r="T529" s="146">
        <f t="shared" si="435"/>
        <v>75</v>
      </c>
      <c r="U529" s="145">
        <f t="shared" si="436"/>
        <v>75</v>
      </c>
      <c r="V529" s="146">
        <f t="shared" si="437"/>
        <v>75</v>
      </c>
      <c r="W529" s="146">
        <f t="shared" si="438"/>
        <v>75</v>
      </c>
      <c r="X529" s="147" t="e">
        <f>U529/#REF!</f>
        <v>#REF!</v>
      </c>
      <c r="Y529" s="147" t="e">
        <f>#REF!/R529</f>
        <v>#REF!</v>
      </c>
      <c r="Z529" s="147">
        <f t="shared" si="439"/>
        <v>1</v>
      </c>
      <c r="AA529" s="147"/>
      <c r="AB529" s="147"/>
      <c r="AC529" s="147"/>
    </row>
    <row r="530" spans="1:37" s="96" customFormat="1">
      <c r="A530" s="276"/>
      <c r="B530" s="443" t="s">
        <v>832</v>
      </c>
      <c r="C530" s="130"/>
      <c r="D530" s="129"/>
      <c r="E530" s="129"/>
      <c r="F530" s="129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47"/>
      <c r="AC530" s="147"/>
    </row>
    <row r="531" spans="1:37" s="96" customFormat="1">
      <c r="A531" s="92">
        <v>1</v>
      </c>
      <c r="B531" s="143" t="s">
        <v>561</v>
      </c>
      <c r="C531" s="130">
        <v>1</v>
      </c>
      <c r="D531" s="129">
        <v>1</v>
      </c>
      <c r="E531" s="129">
        <v>1</v>
      </c>
      <c r="F531" s="129">
        <v>1</v>
      </c>
      <c r="G531" s="148">
        <v>1.05</v>
      </c>
      <c r="H531" s="148">
        <v>1.05</v>
      </c>
      <c r="I531" s="148">
        <v>24</v>
      </c>
      <c r="J531" s="148" t="s">
        <v>996</v>
      </c>
      <c r="K531" s="148">
        <v>24</v>
      </c>
      <c r="L531" s="148" t="s">
        <v>996</v>
      </c>
      <c r="M531" s="148">
        <v>24</v>
      </c>
      <c r="N531" s="148" t="s">
        <v>996</v>
      </c>
      <c r="O531" s="148">
        <v>24</v>
      </c>
      <c r="P531" s="148" t="s">
        <v>996</v>
      </c>
      <c r="Q531" s="136">
        <v>30</v>
      </c>
      <c r="R531" s="146">
        <f>D531*G531*K531*Q531</f>
        <v>756.00000000000011</v>
      </c>
      <c r="S531" s="146">
        <f>E531*G531*M531*Q531</f>
        <v>756.00000000000011</v>
      </c>
      <c r="T531" s="146">
        <f>F531*G531*O531*Q531</f>
        <v>756.00000000000011</v>
      </c>
      <c r="U531" s="145">
        <f>C531*H531*I531*Q531</f>
        <v>756.00000000000011</v>
      </c>
      <c r="V531" s="146">
        <f>E531*H531*M531*Q531</f>
        <v>756.00000000000011</v>
      </c>
      <c r="W531" s="146">
        <f>F531*H531*O531*Q531</f>
        <v>756.00000000000011</v>
      </c>
      <c r="X531" s="147" t="e">
        <f>U531/#REF!</f>
        <v>#REF!</v>
      </c>
      <c r="Y531" s="147" t="e">
        <f>#REF!/R531</f>
        <v>#REF!</v>
      </c>
      <c r="Z531" s="147">
        <f>W531/T531</f>
        <v>1</v>
      </c>
      <c r="AA531" s="147"/>
      <c r="AB531" s="147"/>
      <c r="AC531" s="147"/>
    </row>
    <row r="532" spans="1:37" s="96" customFormat="1">
      <c r="A532" s="92">
        <v>2</v>
      </c>
      <c r="B532" s="143" t="s">
        <v>830</v>
      </c>
      <c r="C532" s="130">
        <v>1</v>
      </c>
      <c r="D532" s="129">
        <v>1</v>
      </c>
      <c r="E532" s="129">
        <v>1</v>
      </c>
      <c r="F532" s="129">
        <v>1</v>
      </c>
      <c r="G532" s="148">
        <v>3.74</v>
      </c>
      <c r="H532" s="148">
        <v>3.74</v>
      </c>
      <c r="I532" s="148">
        <v>24</v>
      </c>
      <c r="J532" s="148" t="s">
        <v>996</v>
      </c>
      <c r="K532" s="148">
        <v>24</v>
      </c>
      <c r="L532" s="148" t="s">
        <v>996</v>
      </c>
      <c r="M532" s="148">
        <v>24</v>
      </c>
      <c r="N532" s="148" t="s">
        <v>996</v>
      </c>
      <c r="O532" s="148">
        <v>24</v>
      </c>
      <c r="P532" s="148" t="s">
        <v>996</v>
      </c>
      <c r="Q532" s="136">
        <v>30</v>
      </c>
      <c r="R532" s="146">
        <f>D532*G532*K532*Q532</f>
        <v>2692.8</v>
      </c>
      <c r="S532" s="146">
        <f>E532*G532*M532*Q532</f>
        <v>2692.8</v>
      </c>
      <c r="T532" s="146">
        <f>F532*G532*O532*Q532</f>
        <v>2692.8</v>
      </c>
      <c r="U532" s="145">
        <f>C532*H532*I532*Q532</f>
        <v>2692.8</v>
      </c>
      <c r="V532" s="146">
        <f>E532*H532*M532*Q532</f>
        <v>2692.8</v>
      </c>
      <c r="W532" s="146">
        <f>F532*H532*O532*Q532</f>
        <v>2692.8</v>
      </c>
      <c r="X532" s="147" t="e">
        <f>U532/#REF!</f>
        <v>#REF!</v>
      </c>
      <c r="Y532" s="147" t="e">
        <f>#REF!/R532</f>
        <v>#REF!</v>
      </c>
      <c r="Z532" s="147">
        <f>W532/T532</f>
        <v>1</v>
      </c>
      <c r="AA532" s="147"/>
      <c r="AB532" s="147"/>
      <c r="AC532" s="147"/>
    </row>
    <row r="533" spans="1:37" s="96" customFormat="1">
      <c r="A533" s="92">
        <v>3</v>
      </c>
      <c r="B533" s="143" t="s">
        <v>833</v>
      </c>
      <c r="C533" s="130">
        <v>1</v>
      </c>
      <c r="D533" s="129">
        <v>1</v>
      </c>
      <c r="E533" s="129">
        <v>1</v>
      </c>
      <c r="F533" s="129">
        <v>1</v>
      </c>
      <c r="G533" s="148">
        <v>0.1</v>
      </c>
      <c r="H533" s="148">
        <v>0.1</v>
      </c>
      <c r="I533" s="148">
        <v>8</v>
      </c>
      <c r="J533" s="148" t="s">
        <v>1120</v>
      </c>
      <c r="K533" s="148">
        <v>8</v>
      </c>
      <c r="L533" s="148" t="s">
        <v>1120</v>
      </c>
      <c r="M533" s="148">
        <v>8</v>
      </c>
      <c r="N533" s="148" t="s">
        <v>1120</v>
      </c>
      <c r="O533" s="148">
        <v>8</v>
      </c>
      <c r="P533" s="148" t="s">
        <v>1120</v>
      </c>
      <c r="Q533" s="136">
        <v>30</v>
      </c>
      <c r="R533" s="146">
        <f>D533*G533*K533*Q533</f>
        <v>24</v>
      </c>
      <c r="S533" s="146">
        <f>E533*G533*M533*Q533</f>
        <v>24</v>
      </c>
      <c r="T533" s="146">
        <f>F533*G533*O533*Q533</f>
        <v>24</v>
      </c>
      <c r="U533" s="145">
        <f>C533*H533*I533*Q533</f>
        <v>24</v>
      </c>
      <c r="V533" s="146">
        <f>E533*H533*M533*Q533</f>
        <v>24</v>
      </c>
      <c r="W533" s="146">
        <f>F533*H533*O533*Q533</f>
        <v>24</v>
      </c>
      <c r="X533" s="147" t="e">
        <f>U533/#REF!</f>
        <v>#REF!</v>
      </c>
      <c r="Y533" s="147" t="e">
        <f>#REF!/R533</f>
        <v>#REF!</v>
      </c>
      <c r="Z533" s="147">
        <f>W533/T533</f>
        <v>1</v>
      </c>
      <c r="AA533" s="147"/>
      <c r="AB533" s="147"/>
      <c r="AC533" s="147"/>
    </row>
    <row r="534" spans="1:37" s="96" customFormat="1">
      <c r="A534" s="92">
        <v>5</v>
      </c>
      <c r="B534" s="143" t="s">
        <v>698</v>
      </c>
      <c r="C534" s="130">
        <v>1</v>
      </c>
      <c r="D534" s="129">
        <v>1</v>
      </c>
      <c r="E534" s="129">
        <v>1</v>
      </c>
      <c r="F534" s="129">
        <v>1</v>
      </c>
      <c r="G534" s="148"/>
      <c r="H534" s="148"/>
      <c r="I534" s="148">
        <v>8</v>
      </c>
      <c r="J534" s="148" t="s">
        <v>1120</v>
      </c>
      <c r="K534" s="148">
        <v>8</v>
      </c>
      <c r="L534" s="148" t="s">
        <v>1120</v>
      </c>
      <c r="M534" s="148">
        <v>8</v>
      </c>
      <c r="N534" s="148" t="s">
        <v>1120</v>
      </c>
      <c r="O534" s="148">
        <v>8</v>
      </c>
      <c r="P534" s="148" t="s">
        <v>1120</v>
      </c>
      <c r="Q534" s="136">
        <v>30</v>
      </c>
      <c r="R534" s="146">
        <f>D534*G534*K534*Q534</f>
        <v>0</v>
      </c>
      <c r="S534" s="146">
        <f>E534*G534*M534*Q534</f>
        <v>0</v>
      </c>
      <c r="T534" s="146">
        <f>F534*G534*O534*Q534</f>
        <v>0</v>
      </c>
      <c r="U534" s="145">
        <f>C534*H534*I534*Q534</f>
        <v>0</v>
      </c>
      <c r="V534" s="146">
        <f>E534*H534*M534*Q534</f>
        <v>0</v>
      </c>
      <c r="W534" s="146">
        <f>F534*H534*O534*Q534</f>
        <v>0</v>
      </c>
      <c r="X534" s="147" t="e">
        <f>U534/#REF!</f>
        <v>#REF!</v>
      </c>
      <c r="Y534" s="147" t="e">
        <f>#REF!/R534</f>
        <v>#REF!</v>
      </c>
      <c r="Z534" s="147" t="e">
        <f>W534/T534</f>
        <v>#DIV/0!</v>
      </c>
      <c r="AA534" s="147"/>
      <c r="AB534" s="147"/>
      <c r="AC534" s="147"/>
    </row>
    <row r="535" spans="1:37" s="96" customFormat="1">
      <c r="A535" s="92">
        <v>6</v>
      </c>
      <c r="B535" s="143" t="s">
        <v>557</v>
      </c>
      <c r="C535" s="130">
        <v>1</v>
      </c>
      <c r="D535" s="129">
        <v>1</v>
      </c>
      <c r="E535" s="129">
        <v>1</v>
      </c>
      <c r="F535" s="129">
        <v>1</v>
      </c>
      <c r="G535" s="148"/>
      <c r="H535" s="148"/>
      <c r="I535" s="148">
        <v>6</v>
      </c>
      <c r="J535" s="148" t="s">
        <v>1138</v>
      </c>
      <c r="K535" s="148">
        <v>8</v>
      </c>
      <c r="L535" s="148" t="s">
        <v>1120</v>
      </c>
      <c r="M535" s="148">
        <v>8</v>
      </c>
      <c r="N535" s="148" t="s">
        <v>1120</v>
      </c>
      <c r="O535" s="148">
        <v>8</v>
      </c>
      <c r="P535" s="148" t="s">
        <v>1120</v>
      </c>
      <c r="Q535" s="136">
        <v>30</v>
      </c>
      <c r="R535" s="146">
        <f>D535*G535*K535*Q535</f>
        <v>0</v>
      </c>
      <c r="S535" s="146">
        <f>E535*G535*M535*Q535</f>
        <v>0</v>
      </c>
      <c r="T535" s="146">
        <f>F535*G535*O535*Q535</f>
        <v>0</v>
      </c>
      <c r="U535" s="145">
        <f>C535*H535*I535*Q535</f>
        <v>0</v>
      </c>
      <c r="V535" s="146">
        <f>E535*H535*M535*Q535</f>
        <v>0</v>
      </c>
      <c r="W535" s="146">
        <f>F535*H535*O535*Q535</f>
        <v>0</v>
      </c>
      <c r="X535" s="147" t="e">
        <f>U535/#REF!</f>
        <v>#REF!</v>
      </c>
      <c r="Y535" s="147" t="e">
        <f>#REF!/R535</f>
        <v>#REF!</v>
      </c>
      <c r="Z535" s="147" t="e">
        <f>W535/T535</f>
        <v>#DIV/0!</v>
      </c>
      <c r="AA535" s="147"/>
      <c r="AB535" s="147"/>
      <c r="AC535" s="147"/>
    </row>
    <row r="536" spans="1:37" s="591" customFormat="1">
      <c r="A536" s="583">
        <v>7</v>
      </c>
      <c r="B536" s="584" t="s">
        <v>719</v>
      </c>
      <c r="C536" s="585">
        <v>1</v>
      </c>
      <c r="D536" s="585">
        <v>1</v>
      </c>
      <c r="E536" s="585">
        <v>1</v>
      </c>
      <c r="F536" s="585">
        <v>1</v>
      </c>
      <c r="G536" s="586">
        <v>0.21</v>
      </c>
      <c r="H536" s="586">
        <v>0.21</v>
      </c>
      <c r="I536" s="586">
        <v>24</v>
      </c>
      <c r="J536" s="586" t="s">
        <v>996</v>
      </c>
      <c r="K536" s="586">
        <v>24</v>
      </c>
      <c r="L536" s="586" t="s">
        <v>996</v>
      </c>
      <c r="M536" s="586">
        <v>24</v>
      </c>
      <c r="N536" s="586" t="s">
        <v>996</v>
      </c>
      <c r="O536" s="586">
        <v>24</v>
      </c>
      <c r="P536" s="586" t="s">
        <v>996</v>
      </c>
      <c r="Q536" s="587">
        <v>30</v>
      </c>
      <c r="R536" s="588">
        <f t="shared" ref="R536" si="440">C536*G536*I536*Q536</f>
        <v>151.19999999999999</v>
      </c>
      <c r="S536" s="589">
        <f t="shared" ref="S536" si="441">D536*G536*K536*Q536</f>
        <v>151.19999999999999</v>
      </c>
      <c r="T536" s="589">
        <f t="shared" ref="T536" si="442">E536*G536*M536*Q536</f>
        <v>151.19999999999999</v>
      </c>
      <c r="U536" s="589">
        <f t="shared" ref="U536" si="443">F536*G536*O536*Q536</f>
        <v>151.19999999999999</v>
      </c>
      <c r="V536" s="588">
        <f t="shared" ref="V536" si="444">C536*H536*I536*Q536</f>
        <v>151.19999999999999</v>
      </c>
      <c r="W536" s="589">
        <f t="shared" ref="W536" si="445">D536*H536*K536*Q536</f>
        <v>151.19999999999999</v>
      </c>
      <c r="X536" s="589">
        <f t="shared" ref="X536" si="446">E536*H536*M536*Q536</f>
        <v>151.19999999999999</v>
      </c>
      <c r="Y536" s="589">
        <f t="shared" ref="Y536" si="447">F536*H536*O536*Q536</f>
        <v>151.19999999999999</v>
      </c>
      <c r="Z536" s="590">
        <f t="shared" ref="Z536" si="448">V536/R536</f>
        <v>1</v>
      </c>
      <c r="AA536" s="590">
        <f t="shared" ref="AA536" si="449">W536/S536</f>
        <v>1</v>
      </c>
      <c r="AB536" s="590">
        <f t="shared" ref="AB536" si="450">X536/T536</f>
        <v>1</v>
      </c>
      <c r="AC536" s="590">
        <f t="shared" ref="AC536" si="451">Y536/U536</f>
        <v>1</v>
      </c>
      <c r="AD536" s="96"/>
      <c r="AE536" s="96"/>
      <c r="AF536" s="96"/>
      <c r="AG536" s="96"/>
      <c r="AH536" s="96"/>
      <c r="AI536" s="96"/>
      <c r="AJ536" s="96"/>
      <c r="AK536" s="96"/>
    </row>
    <row r="537" spans="1:37" s="96" customFormat="1">
      <c r="A537" s="276"/>
      <c r="B537" s="443" t="s">
        <v>834</v>
      </c>
      <c r="C537" s="130"/>
      <c r="D537" s="129"/>
      <c r="E537" s="129"/>
      <c r="F537" s="129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47"/>
      <c r="AC537" s="147"/>
    </row>
    <row r="538" spans="1:37" s="96" customFormat="1">
      <c r="A538" s="92">
        <v>1</v>
      </c>
      <c r="B538" s="143" t="s">
        <v>835</v>
      </c>
      <c r="C538" s="130">
        <v>1</v>
      </c>
      <c r="D538" s="129">
        <v>1</v>
      </c>
      <c r="E538" s="129">
        <v>1</v>
      </c>
      <c r="F538" s="129">
        <v>1</v>
      </c>
      <c r="G538" s="148">
        <v>5</v>
      </c>
      <c r="H538" s="148">
        <v>5</v>
      </c>
      <c r="I538" s="148">
        <v>6</v>
      </c>
      <c r="J538" s="148" t="s">
        <v>1120</v>
      </c>
      <c r="K538" s="148">
        <v>6</v>
      </c>
      <c r="L538" s="148" t="s">
        <v>1120</v>
      </c>
      <c r="M538" s="148">
        <v>6</v>
      </c>
      <c r="N538" s="148" t="s">
        <v>1120</v>
      </c>
      <c r="O538" s="148">
        <v>6</v>
      </c>
      <c r="P538" s="148" t="s">
        <v>1120</v>
      </c>
      <c r="Q538" s="136">
        <v>30</v>
      </c>
      <c r="R538" s="146">
        <f t="shared" ref="R538:R545" si="452">D538*G538*K538*Q538</f>
        <v>900</v>
      </c>
      <c r="S538" s="146">
        <f t="shared" ref="S538:S545" si="453">E538*G538*M538*Q538</f>
        <v>900</v>
      </c>
      <c r="T538" s="146">
        <f t="shared" ref="T538:T545" si="454">F538*G538*O538*Q538</f>
        <v>900</v>
      </c>
      <c r="U538" s="145">
        <f t="shared" ref="U538:U545" si="455">C538*H538*I538*Q538</f>
        <v>900</v>
      </c>
      <c r="V538" s="146">
        <f t="shared" ref="V538:V545" si="456">E538*H538*M538*Q538</f>
        <v>900</v>
      </c>
      <c r="W538" s="146">
        <f t="shared" ref="W538:W545" si="457">F538*H538*O538*Q538</f>
        <v>900</v>
      </c>
      <c r="X538" s="147" t="e">
        <f>U538/#REF!</f>
        <v>#REF!</v>
      </c>
      <c r="Y538" s="147" t="e">
        <f>#REF!/R538</f>
        <v>#REF!</v>
      </c>
      <c r="Z538" s="147">
        <f t="shared" ref="Z538:Z545" si="458">W538/T538</f>
        <v>1</v>
      </c>
      <c r="AA538" s="147"/>
      <c r="AB538" s="147"/>
      <c r="AC538" s="147"/>
    </row>
    <row r="539" spans="1:37" s="96" customFormat="1">
      <c r="A539" s="92">
        <v>2</v>
      </c>
      <c r="B539" s="143" t="s">
        <v>836</v>
      </c>
      <c r="C539" s="130">
        <v>1</v>
      </c>
      <c r="D539" s="129">
        <v>1</v>
      </c>
      <c r="E539" s="129">
        <v>1</v>
      </c>
      <c r="F539" s="129">
        <v>1</v>
      </c>
      <c r="G539" s="148">
        <v>3</v>
      </c>
      <c r="H539" s="148">
        <v>3</v>
      </c>
      <c r="I539" s="148">
        <v>24</v>
      </c>
      <c r="J539" s="148" t="s">
        <v>996</v>
      </c>
      <c r="K539" s="148">
        <v>24</v>
      </c>
      <c r="L539" s="148" t="s">
        <v>996</v>
      </c>
      <c r="M539" s="148">
        <v>24</v>
      </c>
      <c r="N539" s="148" t="s">
        <v>996</v>
      </c>
      <c r="O539" s="148">
        <v>24</v>
      </c>
      <c r="P539" s="148" t="s">
        <v>996</v>
      </c>
      <c r="Q539" s="136">
        <v>30</v>
      </c>
      <c r="R539" s="146">
        <f t="shared" si="452"/>
        <v>2160</v>
      </c>
      <c r="S539" s="146">
        <f t="shared" si="453"/>
        <v>2160</v>
      </c>
      <c r="T539" s="146">
        <f t="shared" si="454"/>
        <v>2160</v>
      </c>
      <c r="U539" s="145">
        <f t="shared" si="455"/>
        <v>2160</v>
      </c>
      <c r="V539" s="146">
        <f t="shared" si="456"/>
        <v>2160</v>
      </c>
      <c r="W539" s="146">
        <f t="shared" si="457"/>
        <v>2160</v>
      </c>
      <c r="X539" s="147" t="e">
        <f>U539/#REF!</f>
        <v>#REF!</v>
      </c>
      <c r="Y539" s="147" t="e">
        <f>#REF!/R539</f>
        <v>#REF!</v>
      </c>
      <c r="Z539" s="147">
        <f t="shared" si="458"/>
        <v>1</v>
      </c>
      <c r="AA539" s="147"/>
      <c r="AB539" s="147"/>
      <c r="AC539" s="147"/>
    </row>
    <row r="540" spans="1:37" s="96" customFormat="1">
      <c r="A540" s="92">
        <v>3</v>
      </c>
      <c r="B540" s="143" t="s">
        <v>837</v>
      </c>
      <c r="C540" s="130">
        <v>1</v>
      </c>
      <c r="D540" s="130">
        <v>1</v>
      </c>
      <c r="E540" s="130">
        <v>1</v>
      </c>
      <c r="F540" s="130">
        <v>1</v>
      </c>
      <c r="G540" s="148">
        <v>1.6</v>
      </c>
      <c r="H540" s="148">
        <v>1.6</v>
      </c>
      <c r="I540" s="148">
        <v>24</v>
      </c>
      <c r="J540" s="148" t="s">
        <v>996</v>
      </c>
      <c r="K540" s="148">
        <v>24</v>
      </c>
      <c r="L540" s="148" t="s">
        <v>996</v>
      </c>
      <c r="M540" s="148">
        <v>24</v>
      </c>
      <c r="N540" s="148" t="s">
        <v>996</v>
      </c>
      <c r="O540" s="148">
        <v>24</v>
      </c>
      <c r="P540" s="148" t="s">
        <v>996</v>
      </c>
      <c r="Q540" s="136">
        <v>30</v>
      </c>
      <c r="R540" s="146">
        <f t="shared" si="452"/>
        <v>1152.0000000000002</v>
      </c>
      <c r="S540" s="146">
        <f t="shared" si="453"/>
        <v>1152.0000000000002</v>
      </c>
      <c r="T540" s="146">
        <f t="shared" si="454"/>
        <v>1152.0000000000002</v>
      </c>
      <c r="U540" s="145">
        <f t="shared" si="455"/>
        <v>1152.0000000000002</v>
      </c>
      <c r="V540" s="146">
        <f t="shared" si="456"/>
        <v>1152.0000000000002</v>
      </c>
      <c r="W540" s="146">
        <f t="shared" si="457"/>
        <v>1152.0000000000002</v>
      </c>
      <c r="X540" s="147" t="e">
        <f>U540/#REF!</f>
        <v>#REF!</v>
      </c>
      <c r="Y540" s="147" t="e">
        <f>#REF!/R540</f>
        <v>#REF!</v>
      </c>
      <c r="Z540" s="147">
        <f t="shared" si="458"/>
        <v>1</v>
      </c>
      <c r="AA540" s="147"/>
      <c r="AB540" s="147"/>
      <c r="AC540" s="147"/>
    </row>
    <row r="541" spans="1:37" s="96" customFormat="1">
      <c r="A541" s="92">
        <v>5</v>
      </c>
      <c r="B541" s="143" t="s">
        <v>838</v>
      </c>
      <c r="C541" s="130">
        <v>2</v>
      </c>
      <c r="D541" s="129">
        <v>2</v>
      </c>
      <c r="E541" s="129">
        <v>2</v>
      </c>
      <c r="F541" s="129">
        <v>2</v>
      </c>
      <c r="G541" s="148">
        <v>3.74</v>
      </c>
      <c r="H541" s="148">
        <v>3.74</v>
      </c>
      <c r="I541" s="148">
        <v>24</v>
      </c>
      <c r="J541" s="148" t="s">
        <v>996</v>
      </c>
      <c r="K541" s="148">
        <v>24</v>
      </c>
      <c r="L541" s="148" t="s">
        <v>996</v>
      </c>
      <c r="M541" s="148">
        <v>24</v>
      </c>
      <c r="N541" s="148" t="s">
        <v>996</v>
      </c>
      <c r="O541" s="148">
        <v>24</v>
      </c>
      <c r="P541" s="148" t="s">
        <v>996</v>
      </c>
      <c r="Q541" s="136">
        <v>30</v>
      </c>
      <c r="R541" s="146">
        <f t="shared" si="452"/>
        <v>5385.6</v>
      </c>
      <c r="S541" s="146">
        <f t="shared" si="453"/>
        <v>5385.6</v>
      </c>
      <c r="T541" s="146">
        <f t="shared" si="454"/>
        <v>5385.6</v>
      </c>
      <c r="U541" s="145">
        <f t="shared" si="455"/>
        <v>5385.6</v>
      </c>
      <c r="V541" s="146">
        <f t="shared" si="456"/>
        <v>5385.6</v>
      </c>
      <c r="W541" s="146">
        <f t="shared" si="457"/>
        <v>5385.6</v>
      </c>
      <c r="X541" s="147" t="e">
        <f>U541/#REF!</f>
        <v>#REF!</v>
      </c>
      <c r="Y541" s="147" t="e">
        <f>#REF!/R541</f>
        <v>#REF!</v>
      </c>
      <c r="Z541" s="147">
        <f t="shared" si="458"/>
        <v>1</v>
      </c>
      <c r="AA541" s="147"/>
      <c r="AB541" s="147"/>
      <c r="AC541" s="147"/>
    </row>
    <row r="542" spans="1:37" s="96" customFormat="1">
      <c r="A542" s="92">
        <v>6</v>
      </c>
      <c r="B542" s="143" t="s">
        <v>830</v>
      </c>
      <c r="C542" s="130">
        <v>1</v>
      </c>
      <c r="D542" s="130">
        <v>1</v>
      </c>
      <c r="E542" s="130">
        <v>1</v>
      </c>
      <c r="F542" s="130">
        <v>1</v>
      </c>
      <c r="G542" s="148">
        <v>3.74</v>
      </c>
      <c r="H542" s="148">
        <v>3.74</v>
      </c>
      <c r="I542" s="148">
        <v>24</v>
      </c>
      <c r="J542" s="148" t="s">
        <v>996</v>
      </c>
      <c r="K542" s="148">
        <v>24</v>
      </c>
      <c r="L542" s="148" t="s">
        <v>996</v>
      </c>
      <c r="M542" s="148">
        <v>24</v>
      </c>
      <c r="N542" s="148" t="s">
        <v>996</v>
      </c>
      <c r="O542" s="148">
        <v>24</v>
      </c>
      <c r="P542" s="148" t="s">
        <v>996</v>
      </c>
      <c r="Q542" s="136">
        <v>30</v>
      </c>
      <c r="R542" s="146">
        <f t="shared" si="452"/>
        <v>2692.8</v>
      </c>
      <c r="S542" s="146">
        <f t="shared" si="453"/>
        <v>2692.8</v>
      </c>
      <c r="T542" s="146">
        <f t="shared" si="454"/>
        <v>2692.8</v>
      </c>
      <c r="U542" s="145">
        <f t="shared" si="455"/>
        <v>2692.8</v>
      </c>
      <c r="V542" s="146">
        <f t="shared" si="456"/>
        <v>2692.8</v>
      </c>
      <c r="W542" s="146">
        <f t="shared" si="457"/>
        <v>2692.8</v>
      </c>
      <c r="X542" s="147" t="e">
        <f>U542/#REF!</f>
        <v>#REF!</v>
      </c>
      <c r="Y542" s="147" t="e">
        <f>#REF!/R542</f>
        <v>#REF!</v>
      </c>
      <c r="Z542" s="147">
        <f t="shared" si="458"/>
        <v>1</v>
      </c>
      <c r="AA542" s="147"/>
      <c r="AB542" s="147"/>
      <c r="AC542" s="147"/>
    </row>
    <row r="543" spans="1:37" s="96" customFormat="1">
      <c r="A543" s="92">
        <v>7</v>
      </c>
      <c r="B543" s="143" t="s">
        <v>561</v>
      </c>
      <c r="C543" s="130">
        <v>1</v>
      </c>
      <c r="D543" s="130">
        <v>1</v>
      </c>
      <c r="E543" s="130">
        <v>1</v>
      </c>
      <c r="F543" s="130">
        <v>1</v>
      </c>
      <c r="G543" s="148">
        <v>1.05</v>
      </c>
      <c r="H543" s="148">
        <v>1.05</v>
      </c>
      <c r="I543" s="148">
        <v>24</v>
      </c>
      <c r="J543" s="148" t="s">
        <v>996</v>
      </c>
      <c r="K543" s="148">
        <v>24</v>
      </c>
      <c r="L543" s="148" t="s">
        <v>996</v>
      </c>
      <c r="M543" s="148">
        <v>24</v>
      </c>
      <c r="N543" s="148" t="s">
        <v>996</v>
      </c>
      <c r="O543" s="148">
        <v>24</v>
      </c>
      <c r="P543" s="148" t="s">
        <v>996</v>
      </c>
      <c r="Q543" s="136">
        <v>30</v>
      </c>
      <c r="R543" s="146">
        <f t="shared" si="452"/>
        <v>756.00000000000011</v>
      </c>
      <c r="S543" s="146">
        <f t="shared" si="453"/>
        <v>756.00000000000011</v>
      </c>
      <c r="T543" s="146">
        <f t="shared" si="454"/>
        <v>756.00000000000011</v>
      </c>
      <c r="U543" s="145">
        <f t="shared" si="455"/>
        <v>756.00000000000011</v>
      </c>
      <c r="V543" s="146">
        <f t="shared" si="456"/>
        <v>756.00000000000011</v>
      </c>
      <c r="W543" s="146">
        <f t="shared" si="457"/>
        <v>756.00000000000011</v>
      </c>
      <c r="X543" s="147" t="e">
        <f>U543/#REF!</f>
        <v>#REF!</v>
      </c>
      <c r="Y543" s="147" t="e">
        <f>#REF!/R543</f>
        <v>#REF!</v>
      </c>
      <c r="Z543" s="147">
        <f t="shared" si="458"/>
        <v>1</v>
      </c>
      <c r="AA543" s="147"/>
      <c r="AB543" s="147"/>
      <c r="AC543" s="147"/>
    </row>
    <row r="544" spans="1:37" s="96" customFormat="1">
      <c r="A544" s="92">
        <v>9</v>
      </c>
      <c r="B544" s="143" t="s">
        <v>733</v>
      </c>
      <c r="C544" s="130">
        <v>1</v>
      </c>
      <c r="D544" s="130">
        <v>1</v>
      </c>
      <c r="E544" s="130">
        <v>1</v>
      </c>
      <c r="F544" s="130">
        <v>1</v>
      </c>
      <c r="G544" s="148"/>
      <c r="H544" s="148"/>
      <c r="I544" s="148">
        <v>8</v>
      </c>
      <c r="J544" s="148" t="s">
        <v>1120</v>
      </c>
      <c r="K544" s="148">
        <v>8</v>
      </c>
      <c r="L544" s="148" t="s">
        <v>1120</v>
      </c>
      <c r="M544" s="148">
        <v>8</v>
      </c>
      <c r="N544" s="148" t="s">
        <v>1120</v>
      </c>
      <c r="O544" s="148">
        <v>8</v>
      </c>
      <c r="P544" s="148" t="s">
        <v>1120</v>
      </c>
      <c r="Q544" s="136">
        <v>30</v>
      </c>
      <c r="R544" s="146">
        <f t="shared" si="452"/>
        <v>0</v>
      </c>
      <c r="S544" s="146">
        <f t="shared" si="453"/>
        <v>0</v>
      </c>
      <c r="T544" s="146">
        <f t="shared" si="454"/>
        <v>0</v>
      </c>
      <c r="U544" s="145">
        <f t="shared" si="455"/>
        <v>0</v>
      </c>
      <c r="V544" s="146">
        <f t="shared" si="456"/>
        <v>0</v>
      </c>
      <c r="W544" s="146">
        <f t="shared" si="457"/>
        <v>0</v>
      </c>
      <c r="X544" s="147" t="e">
        <f>U544/#REF!</f>
        <v>#REF!</v>
      </c>
      <c r="Y544" s="147" t="e">
        <f>#REF!/R544</f>
        <v>#REF!</v>
      </c>
      <c r="Z544" s="147" t="e">
        <f t="shared" si="458"/>
        <v>#DIV/0!</v>
      </c>
      <c r="AA544" s="147"/>
      <c r="AB544" s="147"/>
      <c r="AC544" s="147"/>
    </row>
    <row r="545" spans="1:29" s="96" customFormat="1">
      <c r="A545" s="92">
        <v>10</v>
      </c>
      <c r="B545" s="143" t="s">
        <v>839</v>
      </c>
      <c r="C545" s="130">
        <v>1</v>
      </c>
      <c r="D545" s="130">
        <v>1</v>
      </c>
      <c r="E545" s="130">
        <v>1</v>
      </c>
      <c r="F545" s="130">
        <v>1</v>
      </c>
      <c r="G545" s="148"/>
      <c r="H545" s="148"/>
      <c r="I545" s="148">
        <v>6</v>
      </c>
      <c r="J545" s="148" t="s">
        <v>1138</v>
      </c>
      <c r="K545" s="148">
        <v>6</v>
      </c>
      <c r="L545" s="148" t="s">
        <v>1138</v>
      </c>
      <c r="M545" s="148">
        <v>6</v>
      </c>
      <c r="N545" s="148" t="s">
        <v>1138</v>
      </c>
      <c r="O545" s="148">
        <v>6</v>
      </c>
      <c r="P545" s="148" t="s">
        <v>1138</v>
      </c>
      <c r="Q545" s="136">
        <v>30</v>
      </c>
      <c r="R545" s="146">
        <f t="shared" si="452"/>
        <v>0</v>
      </c>
      <c r="S545" s="146">
        <f t="shared" si="453"/>
        <v>0</v>
      </c>
      <c r="T545" s="146">
        <f t="shared" si="454"/>
        <v>0</v>
      </c>
      <c r="U545" s="145">
        <f t="shared" si="455"/>
        <v>0</v>
      </c>
      <c r="V545" s="146">
        <f t="shared" si="456"/>
        <v>0</v>
      </c>
      <c r="W545" s="146">
        <f t="shared" si="457"/>
        <v>0</v>
      </c>
      <c r="X545" s="147" t="e">
        <f>U545/#REF!</f>
        <v>#REF!</v>
      </c>
      <c r="Y545" s="147" t="e">
        <f>#REF!/R545</f>
        <v>#REF!</v>
      </c>
      <c r="Z545" s="147" t="e">
        <f t="shared" si="458"/>
        <v>#DIV/0!</v>
      </c>
      <c r="AA545" s="147"/>
      <c r="AB545" s="147"/>
      <c r="AC545" s="147"/>
    </row>
    <row r="546" spans="1:29" s="96" customFormat="1">
      <c r="A546" s="276"/>
      <c r="B546" s="443" t="s">
        <v>840</v>
      </c>
      <c r="C546" s="130"/>
      <c r="D546" s="130"/>
      <c r="E546" s="130"/>
      <c r="F546" s="130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47"/>
    </row>
    <row r="547" spans="1:29" s="96" customFormat="1">
      <c r="A547" s="92">
        <v>1</v>
      </c>
      <c r="B547" s="143" t="s">
        <v>841</v>
      </c>
      <c r="C547" s="130">
        <v>1</v>
      </c>
      <c r="D547" s="130">
        <v>1</v>
      </c>
      <c r="E547" s="130">
        <v>1</v>
      </c>
      <c r="F547" s="130">
        <v>1</v>
      </c>
      <c r="G547" s="148">
        <v>3</v>
      </c>
      <c r="H547" s="148">
        <v>3</v>
      </c>
      <c r="I547" s="148">
        <v>24</v>
      </c>
      <c r="J547" s="148" t="s">
        <v>996</v>
      </c>
      <c r="K547" s="148">
        <v>24</v>
      </c>
      <c r="L547" s="148" t="s">
        <v>996</v>
      </c>
      <c r="M547" s="148">
        <v>24</v>
      </c>
      <c r="N547" s="148" t="s">
        <v>996</v>
      </c>
      <c r="O547" s="148">
        <v>24</v>
      </c>
      <c r="P547" s="148" t="s">
        <v>996</v>
      </c>
      <c r="Q547" s="136">
        <v>30</v>
      </c>
      <c r="R547" s="146">
        <f t="shared" ref="R547:R553" si="459">D547*G547*K547*Q547</f>
        <v>2160</v>
      </c>
      <c r="S547" s="146">
        <f t="shared" ref="S547:S553" si="460">E547*G547*M547*Q547</f>
        <v>2160</v>
      </c>
      <c r="T547" s="146">
        <f t="shared" ref="T547:T553" si="461">F547*G547*O547*Q547</f>
        <v>2160</v>
      </c>
      <c r="U547" s="145">
        <f t="shared" ref="U547:U553" si="462">C547*H547*I547*Q547</f>
        <v>2160</v>
      </c>
      <c r="V547" s="146">
        <f t="shared" ref="V547:V553" si="463">E547*H547*M547*Q547</f>
        <v>2160</v>
      </c>
      <c r="W547" s="146">
        <f t="shared" ref="W547:W553" si="464">F547*H547*O547*Q547</f>
        <v>2160</v>
      </c>
      <c r="X547" s="147" t="e">
        <f>U547/#REF!</f>
        <v>#REF!</v>
      </c>
      <c r="Y547" s="147" t="e">
        <f>#REF!/R547</f>
        <v>#REF!</v>
      </c>
      <c r="Z547" s="147">
        <f t="shared" ref="Z547:Z553" si="465">W547/T547</f>
        <v>1</v>
      </c>
      <c r="AA547" s="147"/>
      <c r="AB547" s="147"/>
      <c r="AC547" s="147"/>
    </row>
    <row r="548" spans="1:29" s="96" customFormat="1">
      <c r="A548" s="92">
        <v>2</v>
      </c>
      <c r="B548" s="143" t="s">
        <v>455</v>
      </c>
      <c r="C548" s="130">
        <v>1</v>
      </c>
      <c r="D548" s="130">
        <v>1</v>
      </c>
      <c r="E548" s="130">
        <v>1</v>
      </c>
      <c r="F548" s="130">
        <v>1</v>
      </c>
      <c r="G548" s="148">
        <v>8.1</v>
      </c>
      <c r="H548" s="148">
        <v>8.1</v>
      </c>
      <c r="I548" s="148">
        <v>4</v>
      </c>
      <c r="J548" s="148" t="s">
        <v>1120</v>
      </c>
      <c r="K548" s="148">
        <v>8</v>
      </c>
      <c r="L548" s="148" t="s">
        <v>1120</v>
      </c>
      <c r="M548" s="148">
        <v>4</v>
      </c>
      <c r="N548" s="148" t="s">
        <v>1120</v>
      </c>
      <c r="O548" s="148">
        <v>4</v>
      </c>
      <c r="P548" s="148" t="s">
        <v>1120</v>
      </c>
      <c r="Q548" s="136">
        <v>30</v>
      </c>
      <c r="R548" s="146">
        <f t="shared" si="459"/>
        <v>1944</v>
      </c>
      <c r="S548" s="146">
        <f t="shared" si="460"/>
        <v>972</v>
      </c>
      <c r="T548" s="146">
        <f t="shared" si="461"/>
        <v>972</v>
      </c>
      <c r="U548" s="145">
        <f t="shared" si="462"/>
        <v>972</v>
      </c>
      <c r="V548" s="146">
        <f t="shared" si="463"/>
        <v>972</v>
      </c>
      <c r="W548" s="146">
        <f t="shared" si="464"/>
        <v>972</v>
      </c>
      <c r="X548" s="147" t="e">
        <f>U548/#REF!</f>
        <v>#REF!</v>
      </c>
      <c r="Y548" s="147" t="e">
        <f>#REF!/R548</f>
        <v>#REF!</v>
      </c>
      <c r="Z548" s="147">
        <f t="shared" si="465"/>
        <v>1</v>
      </c>
      <c r="AA548" s="147"/>
      <c r="AB548" s="147"/>
      <c r="AC548" s="147"/>
    </row>
    <row r="549" spans="1:29" s="96" customFormat="1">
      <c r="A549" s="92">
        <v>3</v>
      </c>
      <c r="B549" s="143" t="s">
        <v>835</v>
      </c>
      <c r="C549" s="130">
        <v>1</v>
      </c>
      <c r="D549" s="130">
        <v>1</v>
      </c>
      <c r="E549" s="130">
        <v>1</v>
      </c>
      <c r="F549" s="130">
        <v>1</v>
      </c>
      <c r="G549" s="148">
        <v>5</v>
      </c>
      <c r="H549" s="148">
        <v>5</v>
      </c>
      <c r="I549" s="148">
        <v>8</v>
      </c>
      <c r="J549" s="148" t="s">
        <v>1120</v>
      </c>
      <c r="K549" s="148">
        <v>4</v>
      </c>
      <c r="L549" s="148" t="s">
        <v>1120</v>
      </c>
      <c r="M549" s="148">
        <v>8</v>
      </c>
      <c r="N549" s="148" t="s">
        <v>1120</v>
      </c>
      <c r="O549" s="148">
        <v>8</v>
      </c>
      <c r="P549" s="148" t="s">
        <v>1120</v>
      </c>
      <c r="Q549" s="136">
        <v>30</v>
      </c>
      <c r="R549" s="146">
        <f t="shared" si="459"/>
        <v>600</v>
      </c>
      <c r="S549" s="146">
        <f t="shared" si="460"/>
        <v>1200</v>
      </c>
      <c r="T549" s="146">
        <f t="shared" si="461"/>
        <v>1200</v>
      </c>
      <c r="U549" s="145">
        <f t="shared" si="462"/>
        <v>1200</v>
      </c>
      <c r="V549" s="146">
        <f t="shared" si="463"/>
        <v>1200</v>
      </c>
      <c r="W549" s="146">
        <f t="shared" si="464"/>
        <v>1200</v>
      </c>
      <c r="X549" s="147" t="e">
        <f>U549/#REF!</f>
        <v>#REF!</v>
      </c>
      <c r="Y549" s="147" t="e">
        <f>#REF!/R549</f>
        <v>#REF!</v>
      </c>
      <c r="Z549" s="147">
        <f t="shared" si="465"/>
        <v>1</v>
      </c>
      <c r="AA549" s="147"/>
      <c r="AB549" s="147"/>
      <c r="AC549" s="147"/>
    </row>
    <row r="550" spans="1:29" s="96" customFormat="1">
      <c r="A550" s="92">
        <v>4</v>
      </c>
      <c r="B550" s="143" t="s">
        <v>842</v>
      </c>
      <c r="C550" s="130">
        <v>1</v>
      </c>
      <c r="D550" s="130">
        <v>1</v>
      </c>
      <c r="E550" s="130">
        <v>1</v>
      </c>
      <c r="F550" s="130">
        <v>1</v>
      </c>
      <c r="G550" s="148">
        <v>3.74</v>
      </c>
      <c r="H550" s="148">
        <v>3.74</v>
      </c>
      <c r="I550" s="148">
        <v>24</v>
      </c>
      <c r="J550" s="148" t="s">
        <v>996</v>
      </c>
      <c r="K550" s="148">
        <v>24</v>
      </c>
      <c r="L550" s="148" t="s">
        <v>996</v>
      </c>
      <c r="M550" s="148">
        <v>24</v>
      </c>
      <c r="N550" s="148" t="s">
        <v>996</v>
      </c>
      <c r="O550" s="148">
        <v>24</v>
      </c>
      <c r="P550" s="148" t="s">
        <v>996</v>
      </c>
      <c r="Q550" s="136">
        <v>30</v>
      </c>
      <c r="R550" s="146">
        <f t="shared" si="459"/>
        <v>2692.8</v>
      </c>
      <c r="S550" s="146">
        <f t="shared" si="460"/>
        <v>2692.8</v>
      </c>
      <c r="T550" s="146">
        <f t="shared" si="461"/>
        <v>2692.8</v>
      </c>
      <c r="U550" s="145">
        <f t="shared" si="462"/>
        <v>2692.8</v>
      </c>
      <c r="V550" s="146">
        <f t="shared" si="463"/>
        <v>2692.8</v>
      </c>
      <c r="W550" s="146">
        <f t="shared" si="464"/>
        <v>2692.8</v>
      </c>
      <c r="X550" s="147" t="e">
        <f>U550/#REF!</f>
        <v>#REF!</v>
      </c>
      <c r="Y550" s="147" t="e">
        <f>#REF!/R550</f>
        <v>#REF!</v>
      </c>
      <c r="Z550" s="147">
        <f t="shared" si="465"/>
        <v>1</v>
      </c>
      <c r="AA550" s="147"/>
      <c r="AB550" s="147"/>
      <c r="AC550" s="147"/>
    </row>
    <row r="551" spans="1:29" s="96" customFormat="1">
      <c r="A551" s="92">
        <v>5</v>
      </c>
      <c r="B551" s="143" t="s">
        <v>843</v>
      </c>
      <c r="C551" s="130">
        <v>1</v>
      </c>
      <c r="D551" s="130">
        <v>1</v>
      </c>
      <c r="E551" s="130">
        <v>1</v>
      </c>
      <c r="F551" s="130">
        <v>1</v>
      </c>
      <c r="G551" s="148"/>
      <c r="H551" s="148"/>
      <c r="I551" s="148">
        <v>8</v>
      </c>
      <c r="J551" s="148" t="s">
        <v>1120</v>
      </c>
      <c r="K551" s="148">
        <v>8</v>
      </c>
      <c r="L551" s="148" t="s">
        <v>1120</v>
      </c>
      <c r="M551" s="148">
        <v>8</v>
      </c>
      <c r="N551" s="148" t="s">
        <v>1120</v>
      </c>
      <c r="O551" s="148">
        <v>8</v>
      </c>
      <c r="P551" s="148" t="s">
        <v>1120</v>
      </c>
      <c r="Q551" s="136">
        <v>30</v>
      </c>
      <c r="R551" s="146">
        <f t="shared" si="459"/>
        <v>0</v>
      </c>
      <c r="S551" s="146">
        <f t="shared" si="460"/>
        <v>0</v>
      </c>
      <c r="T551" s="146">
        <f t="shared" si="461"/>
        <v>0</v>
      </c>
      <c r="U551" s="145">
        <f t="shared" si="462"/>
        <v>0</v>
      </c>
      <c r="V551" s="146">
        <f t="shared" si="463"/>
        <v>0</v>
      </c>
      <c r="W551" s="146">
        <f t="shared" si="464"/>
        <v>0</v>
      </c>
      <c r="X551" s="147" t="e">
        <f>U551/#REF!</f>
        <v>#REF!</v>
      </c>
      <c r="Y551" s="147" t="e">
        <f>#REF!/R551</f>
        <v>#REF!</v>
      </c>
      <c r="Z551" s="147" t="e">
        <f t="shared" si="465"/>
        <v>#DIV/0!</v>
      </c>
      <c r="AA551" s="147"/>
      <c r="AB551" s="147"/>
      <c r="AC551" s="147"/>
    </row>
    <row r="552" spans="1:29" s="96" customFormat="1">
      <c r="A552" s="92">
        <v>6</v>
      </c>
      <c r="B552" s="143" t="s">
        <v>733</v>
      </c>
      <c r="C552" s="130">
        <v>1</v>
      </c>
      <c r="D552" s="130">
        <v>1</v>
      </c>
      <c r="E552" s="130">
        <v>1</v>
      </c>
      <c r="F552" s="130">
        <v>1</v>
      </c>
      <c r="G552" s="148"/>
      <c r="H552" s="148"/>
      <c r="I552" s="148">
        <v>8</v>
      </c>
      <c r="J552" s="148" t="s">
        <v>1120</v>
      </c>
      <c r="K552" s="148">
        <v>8</v>
      </c>
      <c r="L552" s="148" t="s">
        <v>1120</v>
      </c>
      <c r="M552" s="148">
        <v>8</v>
      </c>
      <c r="N552" s="148" t="s">
        <v>1120</v>
      </c>
      <c r="O552" s="148">
        <v>8</v>
      </c>
      <c r="P552" s="148" t="s">
        <v>1120</v>
      </c>
      <c r="Q552" s="136">
        <v>30</v>
      </c>
      <c r="R552" s="146">
        <f t="shared" si="459"/>
        <v>0</v>
      </c>
      <c r="S552" s="146">
        <f t="shared" si="460"/>
        <v>0</v>
      </c>
      <c r="T552" s="146">
        <f t="shared" si="461"/>
        <v>0</v>
      </c>
      <c r="U552" s="145">
        <f t="shared" si="462"/>
        <v>0</v>
      </c>
      <c r="V552" s="146">
        <f t="shared" si="463"/>
        <v>0</v>
      </c>
      <c r="W552" s="146">
        <f t="shared" si="464"/>
        <v>0</v>
      </c>
      <c r="X552" s="147" t="e">
        <f>U552/#REF!</f>
        <v>#REF!</v>
      </c>
      <c r="Y552" s="147" t="e">
        <f>#REF!/R552</f>
        <v>#REF!</v>
      </c>
      <c r="Z552" s="147" t="e">
        <f t="shared" si="465"/>
        <v>#DIV/0!</v>
      </c>
      <c r="AA552" s="147"/>
      <c r="AB552" s="147"/>
      <c r="AC552" s="147"/>
    </row>
    <row r="553" spans="1:29" s="96" customFormat="1">
      <c r="A553" s="92">
        <v>7</v>
      </c>
      <c r="B553" s="143" t="s">
        <v>557</v>
      </c>
      <c r="C553" s="130">
        <v>1</v>
      </c>
      <c r="D553" s="130">
        <v>1</v>
      </c>
      <c r="E553" s="130">
        <v>1</v>
      </c>
      <c r="F553" s="130">
        <v>1</v>
      </c>
      <c r="G553" s="148"/>
      <c r="H553" s="148"/>
      <c r="I553" s="148">
        <v>8</v>
      </c>
      <c r="J553" s="148" t="s">
        <v>1120</v>
      </c>
      <c r="K553" s="148">
        <v>8</v>
      </c>
      <c r="L553" s="148" t="s">
        <v>1120</v>
      </c>
      <c r="M553" s="148">
        <v>8</v>
      </c>
      <c r="N553" s="148" t="s">
        <v>1120</v>
      </c>
      <c r="O553" s="148">
        <v>8</v>
      </c>
      <c r="P553" s="148" t="s">
        <v>1120</v>
      </c>
      <c r="Q553" s="136">
        <v>30</v>
      </c>
      <c r="R553" s="146">
        <f t="shared" si="459"/>
        <v>0</v>
      </c>
      <c r="S553" s="146">
        <f t="shared" si="460"/>
        <v>0</v>
      </c>
      <c r="T553" s="146">
        <f t="shared" si="461"/>
        <v>0</v>
      </c>
      <c r="U553" s="145">
        <f t="shared" si="462"/>
        <v>0</v>
      </c>
      <c r="V553" s="146">
        <f t="shared" si="463"/>
        <v>0</v>
      </c>
      <c r="W553" s="146">
        <f t="shared" si="464"/>
        <v>0</v>
      </c>
      <c r="X553" s="147" t="e">
        <f>U553/#REF!</f>
        <v>#REF!</v>
      </c>
      <c r="Y553" s="147" t="e">
        <f>#REF!/R553</f>
        <v>#REF!</v>
      </c>
      <c r="Z553" s="147" t="e">
        <f t="shared" si="465"/>
        <v>#DIV/0!</v>
      </c>
      <c r="AA553" s="147"/>
      <c r="AB553" s="147"/>
      <c r="AC553" s="147"/>
    </row>
    <row r="554" spans="1:29" s="96" customFormat="1">
      <c r="A554" s="276" t="s">
        <v>408</v>
      </c>
      <c r="B554" s="443" t="s">
        <v>844</v>
      </c>
      <c r="C554" s="133"/>
      <c r="D554" s="133"/>
      <c r="E554" s="133"/>
      <c r="F554" s="133"/>
      <c r="G554" s="445"/>
      <c r="H554" s="445"/>
      <c r="I554" s="445"/>
      <c r="J554" s="445"/>
      <c r="K554" s="445"/>
      <c r="L554" s="445"/>
      <c r="M554" s="445"/>
      <c r="N554" s="445"/>
      <c r="O554" s="445"/>
      <c r="P554" s="445"/>
      <c r="Q554" s="445"/>
      <c r="AC554" s="446"/>
    </row>
    <row r="555" spans="1:29" s="96" customFormat="1">
      <c r="A555" s="92">
        <v>1</v>
      </c>
      <c r="B555" s="143" t="s">
        <v>835</v>
      </c>
      <c r="C555" s="130">
        <v>1</v>
      </c>
      <c r="D555" s="130">
        <v>1</v>
      </c>
      <c r="E555" s="130">
        <v>1</v>
      </c>
      <c r="F555" s="130">
        <v>1</v>
      </c>
      <c r="G555" s="148">
        <v>5</v>
      </c>
      <c r="H555" s="148">
        <v>5</v>
      </c>
      <c r="I555" s="148"/>
      <c r="J555" s="148"/>
      <c r="K555" s="148">
        <v>8</v>
      </c>
      <c r="L555" s="148" t="s">
        <v>1120</v>
      </c>
      <c r="M555" s="148">
        <v>8</v>
      </c>
      <c r="N555" s="148" t="s">
        <v>1120</v>
      </c>
      <c r="O555" s="148">
        <v>8</v>
      </c>
      <c r="P555" s="148" t="s">
        <v>1120</v>
      </c>
      <c r="Q555" s="136">
        <v>30</v>
      </c>
      <c r="R555" s="146">
        <f>D555*G555*K555*Q555</f>
        <v>1200</v>
      </c>
      <c r="S555" s="146">
        <f>E555*G555*M555*Q555</f>
        <v>1200</v>
      </c>
      <c r="T555" s="146">
        <f>F555*G555*O555*Q555</f>
        <v>1200</v>
      </c>
      <c r="U555" s="145">
        <f>C555*H555*I555*Q555</f>
        <v>0</v>
      </c>
      <c r="V555" s="146">
        <f>E555*H555*M555*Q555</f>
        <v>1200</v>
      </c>
      <c r="W555" s="146">
        <f>F555*H555*O555*Q555</f>
        <v>1200</v>
      </c>
      <c r="X555" s="147" t="e">
        <f>U555/#REF!</f>
        <v>#REF!</v>
      </c>
      <c r="Y555" s="147" t="e">
        <f>#REF!/R555</f>
        <v>#REF!</v>
      </c>
      <c r="Z555" s="147">
        <f>W555/T555</f>
        <v>1</v>
      </c>
      <c r="AA555" s="147"/>
      <c r="AB555" s="147"/>
      <c r="AC555" s="147"/>
    </row>
    <row r="556" spans="1:29" s="96" customFormat="1">
      <c r="A556" s="92">
        <v>2</v>
      </c>
      <c r="B556" s="143" t="s">
        <v>341</v>
      </c>
      <c r="C556" s="130">
        <v>2</v>
      </c>
      <c r="D556" s="130">
        <v>2</v>
      </c>
      <c r="E556" s="130">
        <v>2</v>
      </c>
      <c r="F556" s="130">
        <v>2</v>
      </c>
      <c r="G556" s="148">
        <v>3.74</v>
      </c>
      <c r="H556" s="148">
        <v>3.74</v>
      </c>
      <c r="I556" s="148"/>
      <c r="J556" s="148"/>
      <c r="K556" s="148">
        <v>24</v>
      </c>
      <c r="L556" s="148" t="s">
        <v>996</v>
      </c>
      <c r="M556" s="148">
        <v>24</v>
      </c>
      <c r="N556" s="148" t="s">
        <v>996</v>
      </c>
      <c r="O556" s="148">
        <v>24</v>
      </c>
      <c r="P556" s="148" t="s">
        <v>996</v>
      </c>
      <c r="Q556" s="136">
        <v>30</v>
      </c>
      <c r="R556" s="146">
        <f>D556*G556*K556*Q556</f>
        <v>5385.6</v>
      </c>
      <c r="S556" s="146">
        <f>E556*G556*M556*Q556</f>
        <v>5385.6</v>
      </c>
      <c r="T556" s="146">
        <f>F556*G556*O556*Q556</f>
        <v>5385.6</v>
      </c>
      <c r="U556" s="145">
        <f>C556*H556*I556*Q556</f>
        <v>0</v>
      </c>
      <c r="V556" s="146">
        <f>E556*H556*M556*Q556</f>
        <v>5385.6</v>
      </c>
      <c r="W556" s="146">
        <f>F556*H556*O556*Q556</f>
        <v>5385.6</v>
      </c>
      <c r="X556" s="147" t="e">
        <f>U556/#REF!</f>
        <v>#REF!</v>
      </c>
      <c r="Y556" s="147" t="e">
        <f>#REF!/R556</f>
        <v>#REF!</v>
      </c>
      <c r="Z556" s="147">
        <f>W556/T556</f>
        <v>1</v>
      </c>
      <c r="AA556" s="147"/>
      <c r="AB556" s="147"/>
      <c r="AC556" s="147"/>
    </row>
    <row r="557" spans="1:29" s="96" customFormat="1">
      <c r="A557" s="92">
        <v>5</v>
      </c>
      <c r="B557" s="143" t="s">
        <v>733</v>
      </c>
      <c r="C557" s="130">
        <v>1</v>
      </c>
      <c r="D557" s="130">
        <v>1</v>
      </c>
      <c r="E557" s="130">
        <v>1</v>
      </c>
      <c r="F557" s="130">
        <v>1</v>
      </c>
      <c r="G557" s="148"/>
      <c r="H557" s="148"/>
      <c r="I557" s="148"/>
      <c r="J557" s="148"/>
      <c r="K557" s="148">
        <v>8</v>
      </c>
      <c r="L557" s="148" t="s">
        <v>1120</v>
      </c>
      <c r="M557" s="148">
        <v>8</v>
      </c>
      <c r="N557" s="148" t="s">
        <v>1120</v>
      </c>
      <c r="O557" s="148">
        <v>8</v>
      </c>
      <c r="P557" s="148" t="s">
        <v>1120</v>
      </c>
      <c r="Q557" s="136">
        <v>30</v>
      </c>
      <c r="R557" s="146">
        <f>D557*G557*K557*Q557</f>
        <v>0</v>
      </c>
      <c r="S557" s="146">
        <f>E557*G557*M557*Q557</f>
        <v>0</v>
      </c>
      <c r="T557" s="146">
        <f>F557*G557*O557*Q557</f>
        <v>0</v>
      </c>
      <c r="U557" s="145">
        <f>C557*H557*I557*Q557</f>
        <v>0</v>
      </c>
      <c r="V557" s="146">
        <f>E557*H557*M557*Q557</f>
        <v>0</v>
      </c>
      <c r="W557" s="146">
        <f>F557*H557*O557*Q557</f>
        <v>0</v>
      </c>
      <c r="X557" s="147" t="e">
        <f>U557/#REF!</f>
        <v>#REF!</v>
      </c>
      <c r="Y557" s="147" t="e">
        <f>#REF!/R557</f>
        <v>#REF!</v>
      </c>
      <c r="Z557" s="147" t="e">
        <f>W557/T557</f>
        <v>#DIV/0!</v>
      </c>
      <c r="AA557" s="147"/>
      <c r="AB557" s="147"/>
      <c r="AC557" s="147"/>
    </row>
    <row r="558" spans="1:29" s="96" customFormat="1">
      <c r="A558" s="92">
        <v>6</v>
      </c>
      <c r="B558" s="143" t="s">
        <v>558</v>
      </c>
      <c r="C558" s="130">
        <v>1</v>
      </c>
      <c r="D558" s="130">
        <v>1</v>
      </c>
      <c r="E558" s="130">
        <v>1</v>
      </c>
      <c r="F558" s="130">
        <v>1</v>
      </c>
      <c r="G558" s="148"/>
      <c r="H558" s="148"/>
      <c r="I558" s="148"/>
      <c r="J558" s="148"/>
      <c r="K558" s="148">
        <v>8</v>
      </c>
      <c r="L558" s="148" t="s">
        <v>1120</v>
      </c>
      <c r="M558" s="148">
        <v>8</v>
      </c>
      <c r="N558" s="148" t="s">
        <v>1120</v>
      </c>
      <c r="O558" s="148">
        <v>8</v>
      </c>
      <c r="P558" s="148" t="s">
        <v>1120</v>
      </c>
      <c r="Q558" s="136">
        <v>30</v>
      </c>
      <c r="R558" s="146">
        <f>D558*G558*K558*Q558</f>
        <v>0</v>
      </c>
      <c r="S558" s="146">
        <f>E558*G558*M558*Q558</f>
        <v>0</v>
      </c>
      <c r="T558" s="146">
        <f>F558*G558*O558*Q558</f>
        <v>0</v>
      </c>
      <c r="U558" s="145">
        <f>C558*H558*I558*Q558</f>
        <v>0</v>
      </c>
      <c r="V558" s="146">
        <f>E558*H558*M558*Q558</f>
        <v>0</v>
      </c>
      <c r="W558" s="146">
        <f>F558*H558*O558*Q558</f>
        <v>0</v>
      </c>
      <c r="X558" s="147" t="e">
        <f>U558/#REF!</f>
        <v>#REF!</v>
      </c>
      <c r="Y558" s="147" t="e">
        <f>#REF!/R558</f>
        <v>#REF!</v>
      </c>
      <c r="Z558" s="147" t="e">
        <f>W558/T558</f>
        <v>#DIV/0!</v>
      </c>
      <c r="AA558" s="147"/>
      <c r="AB558" s="147"/>
      <c r="AC558" s="147"/>
    </row>
    <row r="559" spans="1:29" s="96" customFormat="1">
      <c r="A559" s="92"/>
      <c r="B559" s="143"/>
      <c r="C559" s="130"/>
      <c r="D559" s="130"/>
      <c r="E559" s="130"/>
      <c r="F559" s="130"/>
      <c r="G559" s="148"/>
      <c r="H559" s="148"/>
      <c r="I559" s="148"/>
      <c r="J559" s="148"/>
      <c r="K559" s="148">
        <v>8</v>
      </c>
      <c r="L559" s="148" t="s">
        <v>1120</v>
      </c>
      <c r="M559" s="148">
        <v>8</v>
      </c>
      <c r="N559" s="148" t="s">
        <v>1120</v>
      </c>
      <c r="O559" s="148">
        <v>8</v>
      </c>
      <c r="P559" s="148" t="s">
        <v>1120</v>
      </c>
      <c r="Q559" s="136">
        <v>30</v>
      </c>
      <c r="R559" s="146">
        <f>D559*G559*K559*Q559</f>
        <v>0</v>
      </c>
      <c r="S559" s="146">
        <f>E559*G559*M559*Q559</f>
        <v>0</v>
      </c>
      <c r="T559" s="146">
        <f>F559*G559*O559*Q559</f>
        <v>0</v>
      </c>
      <c r="U559" s="145">
        <f>C559*H559*I559*Q559</f>
        <v>0</v>
      </c>
      <c r="V559" s="146">
        <f>E559*H559*M559*Q559</f>
        <v>0</v>
      </c>
      <c r="W559" s="146">
        <f>F559*H559*O559*Q559</f>
        <v>0</v>
      </c>
      <c r="X559" s="147" t="e">
        <f>U559/#REF!</f>
        <v>#REF!</v>
      </c>
      <c r="Y559" s="147" t="e">
        <f>#REF!/R559</f>
        <v>#REF!</v>
      </c>
      <c r="Z559" s="147" t="e">
        <f>W559/T559</f>
        <v>#DIV/0!</v>
      </c>
      <c r="AA559" s="147"/>
      <c r="AB559" s="147"/>
      <c r="AC559" s="147"/>
    </row>
    <row r="560" spans="1:29" s="96" customFormat="1">
      <c r="A560" s="276" t="s">
        <v>408</v>
      </c>
      <c r="B560" s="443" t="s">
        <v>1139</v>
      </c>
      <c r="C560" s="133"/>
      <c r="D560" s="133"/>
      <c r="E560" s="133"/>
      <c r="F560" s="133"/>
      <c r="G560" s="445"/>
      <c r="H560" s="445"/>
      <c r="I560" s="445"/>
      <c r="J560" s="445"/>
      <c r="K560" s="445"/>
      <c r="L560" s="445"/>
      <c r="M560" s="445"/>
      <c r="N560" s="445"/>
      <c r="O560" s="445"/>
      <c r="P560" s="445"/>
      <c r="Q560" s="445"/>
      <c r="AB560" s="446"/>
      <c r="AC560" s="446"/>
    </row>
    <row r="561" spans="1:29" s="96" customFormat="1">
      <c r="A561" s="276"/>
      <c r="B561" s="443" t="s">
        <v>1140</v>
      </c>
      <c r="C561" s="133"/>
      <c r="D561" s="133"/>
      <c r="E561" s="133"/>
      <c r="F561" s="133"/>
      <c r="G561" s="445"/>
      <c r="H561" s="445"/>
      <c r="I561" s="445"/>
      <c r="J561" s="445"/>
      <c r="K561" s="445"/>
      <c r="L561" s="445"/>
      <c r="M561" s="445"/>
      <c r="N561" s="445"/>
      <c r="O561" s="445"/>
      <c r="P561" s="445"/>
      <c r="Q561" s="447"/>
      <c r="AB561" s="446"/>
      <c r="AC561" s="446"/>
    </row>
    <row r="562" spans="1:29" s="96" customFormat="1" ht="30">
      <c r="A562" s="92"/>
      <c r="B562" s="212" t="s">
        <v>1141</v>
      </c>
      <c r="C562" s="448"/>
      <c r="D562" s="448">
        <v>1</v>
      </c>
      <c r="E562" s="448">
        <v>1</v>
      </c>
      <c r="F562" s="448">
        <v>1</v>
      </c>
      <c r="G562" s="449" t="s">
        <v>1142</v>
      </c>
      <c r="H562" s="449" t="s">
        <v>1142</v>
      </c>
      <c r="I562" s="148"/>
      <c r="J562" s="148"/>
      <c r="K562" s="148">
        <v>24</v>
      </c>
      <c r="L562" s="148" t="s">
        <v>996</v>
      </c>
      <c r="M562" s="148">
        <v>24</v>
      </c>
      <c r="N562" s="148" t="s">
        <v>996</v>
      </c>
      <c r="O562" s="148">
        <v>24</v>
      </c>
      <c r="P562" s="148" t="s">
        <v>996</v>
      </c>
      <c r="Q562" s="136">
        <v>30</v>
      </c>
      <c r="R562" s="146">
        <f t="shared" ref="R562:R593" si="466">D562*G562*K562*Q562</f>
        <v>2422.8000000000002</v>
      </c>
      <c r="S562" s="146">
        <f t="shared" ref="S562:S593" si="467">E562*G562*M562*Q562</f>
        <v>2422.8000000000002</v>
      </c>
      <c r="T562" s="146">
        <f t="shared" ref="T562:T593" si="468">F562*G562*O562*Q562</f>
        <v>2422.8000000000002</v>
      </c>
      <c r="U562" s="145">
        <f t="shared" ref="U562:U593" si="469">C562*H562*I562*Q562</f>
        <v>0</v>
      </c>
      <c r="V562" s="146">
        <f t="shared" ref="V562:V593" si="470">E562*H562*M562*Q562</f>
        <v>2422.8000000000002</v>
      </c>
      <c r="W562" s="146">
        <f t="shared" ref="W562:W593" si="471">F562*H562*O562*Q562</f>
        <v>2422.8000000000002</v>
      </c>
      <c r="X562" s="147" t="e">
        <f>U562/#REF!</f>
        <v>#REF!</v>
      </c>
      <c r="Y562" s="147" t="e">
        <f>#REF!/R562</f>
        <v>#REF!</v>
      </c>
      <c r="Z562" s="147">
        <f t="shared" ref="Z562:Z593" si="472">W562/T562</f>
        <v>1</v>
      </c>
      <c r="AA562" s="147"/>
      <c r="AB562" s="147"/>
      <c r="AC562" s="147"/>
    </row>
    <row r="563" spans="1:29" s="96" customFormat="1" ht="30">
      <c r="A563" s="92"/>
      <c r="B563" s="212" t="s">
        <v>1143</v>
      </c>
      <c r="C563" s="448"/>
      <c r="D563" s="448">
        <v>1</v>
      </c>
      <c r="E563" s="448">
        <v>1</v>
      </c>
      <c r="F563" s="448">
        <v>1</v>
      </c>
      <c r="G563" s="449" t="s">
        <v>1144</v>
      </c>
      <c r="H563" s="449" t="s">
        <v>1144</v>
      </c>
      <c r="I563" s="148"/>
      <c r="J563" s="148"/>
      <c r="K563" s="148">
        <v>24</v>
      </c>
      <c r="L563" s="148" t="s">
        <v>996</v>
      </c>
      <c r="M563" s="148">
        <v>24</v>
      </c>
      <c r="N563" s="148" t="s">
        <v>996</v>
      </c>
      <c r="O563" s="148">
        <v>24</v>
      </c>
      <c r="P563" s="148" t="s">
        <v>996</v>
      </c>
      <c r="Q563" s="136">
        <v>30</v>
      </c>
      <c r="R563" s="146">
        <f t="shared" si="466"/>
        <v>144.00000000000003</v>
      </c>
      <c r="S563" s="146">
        <f t="shared" si="467"/>
        <v>144.00000000000003</v>
      </c>
      <c r="T563" s="146">
        <f t="shared" si="468"/>
        <v>144.00000000000003</v>
      </c>
      <c r="U563" s="145">
        <f t="shared" si="469"/>
        <v>0</v>
      </c>
      <c r="V563" s="146">
        <f t="shared" si="470"/>
        <v>144.00000000000003</v>
      </c>
      <c r="W563" s="146">
        <f t="shared" si="471"/>
        <v>144.00000000000003</v>
      </c>
      <c r="X563" s="147" t="e">
        <f>U563/#REF!</f>
        <v>#REF!</v>
      </c>
      <c r="Y563" s="147" t="e">
        <f>#REF!/R563</f>
        <v>#REF!</v>
      </c>
      <c r="Z563" s="147">
        <f t="shared" si="472"/>
        <v>1</v>
      </c>
      <c r="AA563" s="147"/>
      <c r="AB563" s="147"/>
      <c r="AC563" s="147"/>
    </row>
    <row r="564" spans="1:29" s="96" customFormat="1" ht="15.75">
      <c r="A564" s="92"/>
      <c r="B564" s="450" t="s">
        <v>1145</v>
      </c>
      <c r="C564" s="448"/>
      <c r="D564" s="448">
        <v>1</v>
      </c>
      <c r="E564" s="448">
        <v>1</v>
      </c>
      <c r="F564" s="448">
        <v>1</v>
      </c>
      <c r="G564" s="449" t="s">
        <v>1146</v>
      </c>
      <c r="H564" s="449" t="s">
        <v>1146</v>
      </c>
      <c r="I564" s="148"/>
      <c r="J564" s="148"/>
      <c r="K564" s="148">
        <v>24</v>
      </c>
      <c r="L564" s="148" t="s">
        <v>996</v>
      </c>
      <c r="M564" s="148">
        <v>24</v>
      </c>
      <c r="N564" s="148" t="s">
        <v>996</v>
      </c>
      <c r="O564" s="148">
        <v>24</v>
      </c>
      <c r="P564" s="148" t="s">
        <v>996</v>
      </c>
      <c r="Q564" s="136">
        <v>30</v>
      </c>
      <c r="R564" s="146">
        <f t="shared" si="466"/>
        <v>6480</v>
      </c>
      <c r="S564" s="146">
        <f t="shared" si="467"/>
        <v>6480</v>
      </c>
      <c r="T564" s="146">
        <f t="shared" si="468"/>
        <v>6480</v>
      </c>
      <c r="U564" s="145">
        <f t="shared" si="469"/>
        <v>0</v>
      </c>
      <c r="V564" s="146">
        <f t="shared" si="470"/>
        <v>6480</v>
      </c>
      <c r="W564" s="146">
        <f t="shared" si="471"/>
        <v>6480</v>
      </c>
      <c r="X564" s="147" t="e">
        <f>U564/#REF!</f>
        <v>#REF!</v>
      </c>
      <c r="Y564" s="147" t="e">
        <f>#REF!/R564</f>
        <v>#REF!</v>
      </c>
      <c r="Z564" s="147">
        <f t="shared" si="472"/>
        <v>1</v>
      </c>
      <c r="AA564" s="147"/>
      <c r="AB564" s="147"/>
      <c r="AC564" s="147"/>
    </row>
    <row r="565" spans="1:29" s="96" customFormat="1" ht="15.75">
      <c r="A565" s="92"/>
      <c r="B565" s="212" t="s">
        <v>1147</v>
      </c>
      <c r="C565" s="448"/>
      <c r="D565" s="448">
        <v>1</v>
      </c>
      <c r="E565" s="448">
        <v>1</v>
      </c>
      <c r="F565" s="448">
        <v>1</v>
      </c>
      <c r="G565" s="449" t="s">
        <v>1148</v>
      </c>
      <c r="H565" s="449" t="s">
        <v>1148</v>
      </c>
      <c r="I565" s="148"/>
      <c r="J565" s="148"/>
      <c r="K565" s="148">
        <v>24</v>
      </c>
      <c r="L565" s="148" t="s">
        <v>996</v>
      </c>
      <c r="M565" s="148">
        <v>24</v>
      </c>
      <c r="N565" s="148" t="s">
        <v>996</v>
      </c>
      <c r="O565" s="148">
        <v>24</v>
      </c>
      <c r="P565" s="148" t="s">
        <v>996</v>
      </c>
      <c r="Q565" s="136">
        <v>30</v>
      </c>
      <c r="R565" s="146">
        <f t="shared" si="466"/>
        <v>2692.8</v>
      </c>
      <c r="S565" s="146">
        <f t="shared" si="467"/>
        <v>2692.8</v>
      </c>
      <c r="T565" s="146">
        <f t="shared" si="468"/>
        <v>2692.8</v>
      </c>
      <c r="U565" s="145">
        <f t="shared" si="469"/>
        <v>0</v>
      </c>
      <c r="V565" s="146">
        <f t="shared" si="470"/>
        <v>2692.8</v>
      </c>
      <c r="W565" s="146">
        <f t="shared" si="471"/>
        <v>2692.8</v>
      </c>
      <c r="X565" s="147" t="e">
        <f>U565/#REF!</f>
        <v>#REF!</v>
      </c>
      <c r="Y565" s="147" t="e">
        <f>#REF!/R565</f>
        <v>#REF!</v>
      </c>
      <c r="Z565" s="147">
        <f t="shared" si="472"/>
        <v>1</v>
      </c>
      <c r="AA565" s="147"/>
      <c r="AB565" s="147"/>
      <c r="AC565" s="147"/>
    </row>
    <row r="566" spans="1:29" s="96" customFormat="1" ht="15.75">
      <c r="A566" s="92"/>
      <c r="B566" s="212" t="s">
        <v>1149</v>
      </c>
      <c r="C566" s="448"/>
      <c r="D566" s="448">
        <v>2</v>
      </c>
      <c r="E566" s="448">
        <v>2</v>
      </c>
      <c r="F566" s="448">
        <v>2</v>
      </c>
      <c r="G566" s="449" t="s">
        <v>1150</v>
      </c>
      <c r="H566" s="449" t="s">
        <v>1150</v>
      </c>
      <c r="I566" s="148"/>
      <c r="J566" s="148"/>
      <c r="K566" s="148">
        <v>24</v>
      </c>
      <c r="L566" s="148" t="s">
        <v>996</v>
      </c>
      <c r="M566" s="148">
        <v>24</v>
      </c>
      <c r="N566" s="148" t="s">
        <v>996</v>
      </c>
      <c r="O566" s="148">
        <v>24</v>
      </c>
      <c r="P566" s="148" t="s">
        <v>996</v>
      </c>
      <c r="Q566" s="136">
        <v>30</v>
      </c>
      <c r="R566" s="146">
        <f t="shared" si="466"/>
        <v>3455.9999999999995</v>
      </c>
      <c r="S566" s="146">
        <f t="shared" si="467"/>
        <v>3455.9999999999995</v>
      </c>
      <c r="T566" s="146">
        <f t="shared" si="468"/>
        <v>3455.9999999999995</v>
      </c>
      <c r="U566" s="145">
        <f t="shared" si="469"/>
        <v>0</v>
      </c>
      <c r="V566" s="146">
        <f t="shared" si="470"/>
        <v>3455.9999999999995</v>
      </c>
      <c r="W566" s="146">
        <f t="shared" si="471"/>
        <v>3455.9999999999995</v>
      </c>
      <c r="X566" s="147" t="e">
        <f>U566/#REF!</f>
        <v>#REF!</v>
      </c>
      <c r="Y566" s="147" t="e">
        <f>#REF!/R566</f>
        <v>#REF!</v>
      </c>
      <c r="Z566" s="147">
        <f t="shared" si="472"/>
        <v>1</v>
      </c>
      <c r="AA566" s="147"/>
      <c r="AB566" s="147"/>
      <c r="AC566" s="147"/>
    </row>
    <row r="567" spans="1:29" s="96" customFormat="1" ht="15.75">
      <c r="A567" s="92"/>
      <c r="B567" s="212" t="s">
        <v>1151</v>
      </c>
      <c r="C567" s="448"/>
      <c r="D567" s="448">
        <v>1</v>
      </c>
      <c r="E567" s="448">
        <v>1</v>
      </c>
      <c r="F567" s="448">
        <v>1</v>
      </c>
      <c r="G567" s="449" t="s">
        <v>1146</v>
      </c>
      <c r="H567" s="449" t="s">
        <v>1146</v>
      </c>
      <c r="I567" s="148"/>
      <c r="J567" s="148"/>
      <c r="K567" s="148">
        <v>24</v>
      </c>
      <c r="L567" s="148" t="s">
        <v>996</v>
      </c>
      <c r="M567" s="148">
        <v>24</v>
      </c>
      <c r="N567" s="148" t="s">
        <v>996</v>
      </c>
      <c r="O567" s="148">
        <v>24</v>
      </c>
      <c r="P567" s="148" t="s">
        <v>996</v>
      </c>
      <c r="Q567" s="136">
        <v>30</v>
      </c>
      <c r="R567" s="146">
        <f t="shared" si="466"/>
        <v>6480</v>
      </c>
      <c r="S567" s="146">
        <f t="shared" si="467"/>
        <v>6480</v>
      </c>
      <c r="T567" s="146">
        <f t="shared" si="468"/>
        <v>6480</v>
      </c>
      <c r="U567" s="145">
        <f t="shared" si="469"/>
        <v>0</v>
      </c>
      <c r="V567" s="146">
        <f t="shared" si="470"/>
        <v>6480</v>
      </c>
      <c r="W567" s="146">
        <f t="shared" si="471"/>
        <v>6480</v>
      </c>
      <c r="X567" s="147" t="e">
        <f>U567/#REF!</f>
        <v>#REF!</v>
      </c>
      <c r="Y567" s="147" t="e">
        <f>#REF!/R567</f>
        <v>#REF!</v>
      </c>
      <c r="Z567" s="147">
        <f t="shared" si="472"/>
        <v>1</v>
      </c>
      <c r="AA567" s="147"/>
      <c r="AB567" s="147"/>
      <c r="AC567" s="147"/>
    </row>
    <row r="568" spans="1:29" s="96" customFormat="1">
      <c r="A568" s="92"/>
      <c r="B568" s="212" t="s">
        <v>671</v>
      </c>
      <c r="C568" s="451"/>
      <c r="D568" s="451">
        <v>1</v>
      </c>
      <c r="E568" s="451">
        <v>1</v>
      </c>
      <c r="F568" s="451">
        <v>1</v>
      </c>
      <c r="G568" s="449" t="s">
        <v>1152</v>
      </c>
      <c r="H568" s="449" t="s">
        <v>1152</v>
      </c>
      <c r="I568" s="148"/>
      <c r="J568" s="148"/>
      <c r="K568" s="148">
        <v>8</v>
      </c>
      <c r="L568" s="148" t="s">
        <v>1120</v>
      </c>
      <c r="M568" s="148">
        <v>8</v>
      </c>
      <c r="N568" s="148" t="s">
        <v>1120</v>
      </c>
      <c r="O568" s="148">
        <v>8</v>
      </c>
      <c r="P568" s="148" t="s">
        <v>1120</v>
      </c>
      <c r="Q568" s="136">
        <v>30</v>
      </c>
      <c r="R568" s="146">
        <f t="shared" si="466"/>
        <v>864</v>
      </c>
      <c r="S568" s="146">
        <f t="shared" si="467"/>
        <v>864</v>
      </c>
      <c r="T568" s="146">
        <f t="shared" si="468"/>
        <v>864</v>
      </c>
      <c r="U568" s="145">
        <f t="shared" si="469"/>
        <v>0</v>
      </c>
      <c r="V568" s="146">
        <f t="shared" si="470"/>
        <v>864</v>
      </c>
      <c r="W568" s="146">
        <f t="shared" si="471"/>
        <v>864</v>
      </c>
      <c r="X568" s="147" t="e">
        <f>U568/#REF!</f>
        <v>#REF!</v>
      </c>
      <c r="Y568" s="147" t="e">
        <f>#REF!/R568</f>
        <v>#REF!</v>
      </c>
      <c r="Z568" s="147">
        <f t="shared" si="472"/>
        <v>1</v>
      </c>
      <c r="AA568" s="147"/>
      <c r="AB568" s="147"/>
      <c r="AC568" s="147"/>
    </row>
    <row r="569" spans="1:29" s="96" customFormat="1">
      <c r="A569" s="92"/>
      <c r="B569" s="212" t="s">
        <v>670</v>
      </c>
      <c r="C569" s="451"/>
      <c r="D569" s="451">
        <v>1</v>
      </c>
      <c r="E569" s="451">
        <v>1</v>
      </c>
      <c r="F569" s="451">
        <v>1</v>
      </c>
      <c r="G569" s="449" t="s">
        <v>1153</v>
      </c>
      <c r="H569" s="449" t="s">
        <v>1153</v>
      </c>
      <c r="I569" s="148"/>
      <c r="J569" s="148"/>
      <c r="K569" s="148">
        <v>8</v>
      </c>
      <c r="L569" s="148" t="s">
        <v>1120</v>
      </c>
      <c r="M569" s="148">
        <v>8</v>
      </c>
      <c r="N569" s="148" t="s">
        <v>1120</v>
      </c>
      <c r="O569" s="148">
        <v>8</v>
      </c>
      <c r="P569" s="148" t="s">
        <v>1120</v>
      </c>
      <c r="Q569" s="136">
        <v>30</v>
      </c>
      <c r="R569" s="146">
        <f t="shared" si="466"/>
        <v>1200</v>
      </c>
      <c r="S569" s="146">
        <f t="shared" si="467"/>
        <v>1200</v>
      </c>
      <c r="T569" s="146">
        <f t="shared" si="468"/>
        <v>1200</v>
      </c>
      <c r="U569" s="145">
        <f t="shared" si="469"/>
        <v>0</v>
      </c>
      <c r="V569" s="146">
        <f t="shared" si="470"/>
        <v>1200</v>
      </c>
      <c r="W569" s="146">
        <f t="shared" si="471"/>
        <v>1200</v>
      </c>
      <c r="X569" s="147" t="e">
        <f>U569/#REF!</f>
        <v>#REF!</v>
      </c>
      <c r="Y569" s="147" t="e">
        <f>#REF!/R569</f>
        <v>#REF!</v>
      </c>
      <c r="Z569" s="147">
        <f t="shared" si="472"/>
        <v>1</v>
      </c>
      <c r="AA569" s="147"/>
      <c r="AB569" s="147"/>
      <c r="AC569" s="147"/>
    </row>
    <row r="570" spans="1:29" s="96" customFormat="1">
      <c r="A570" s="92"/>
      <c r="B570" s="212" t="s">
        <v>1154</v>
      </c>
      <c r="C570" s="451"/>
      <c r="D570" s="451">
        <v>1</v>
      </c>
      <c r="E570" s="451">
        <v>1</v>
      </c>
      <c r="F570" s="451">
        <v>1</v>
      </c>
      <c r="G570" s="449" t="s">
        <v>1155</v>
      </c>
      <c r="H570" s="449" t="s">
        <v>1155</v>
      </c>
      <c r="I570" s="148"/>
      <c r="J570" s="148"/>
      <c r="K570" s="148">
        <v>6</v>
      </c>
      <c r="L570" s="148" t="s">
        <v>1138</v>
      </c>
      <c r="M570" s="148">
        <v>6</v>
      </c>
      <c r="N570" s="148" t="s">
        <v>1138</v>
      </c>
      <c r="O570" s="148">
        <v>6</v>
      </c>
      <c r="P570" s="148" t="s">
        <v>1138</v>
      </c>
      <c r="Q570" s="136">
        <v>30</v>
      </c>
      <c r="R570" s="146">
        <f t="shared" si="466"/>
        <v>149.39999999999998</v>
      </c>
      <c r="S570" s="146">
        <f t="shared" si="467"/>
        <v>149.39999999999998</v>
      </c>
      <c r="T570" s="146">
        <f t="shared" si="468"/>
        <v>149.39999999999998</v>
      </c>
      <c r="U570" s="145">
        <f t="shared" si="469"/>
        <v>0</v>
      </c>
      <c r="V570" s="146">
        <f t="shared" si="470"/>
        <v>149.39999999999998</v>
      </c>
      <c r="W570" s="146">
        <f t="shared" si="471"/>
        <v>149.39999999999998</v>
      </c>
      <c r="X570" s="147" t="e">
        <f>U570/#REF!</f>
        <v>#REF!</v>
      </c>
      <c r="Y570" s="147" t="e">
        <f>#REF!/R570</f>
        <v>#REF!</v>
      </c>
      <c r="Z570" s="147">
        <f t="shared" si="472"/>
        <v>1</v>
      </c>
      <c r="AA570" s="147"/>
      <c r="AB570" s="147"/>
      <c r="AC570" s="147"/>
    </row>
    <row r="571" spans="1:29" s="96" customFormat="1">
      <c r="A571" s="92"/>
      <c r="B571" s="212" t="s">
        <v>1156</v>
      </c>
      <c r="C571" s="451"/>
      <c r="D571" s="451"/>
      <c r="E571" s="451"/>
      <c r="F571" s="451"/>
      <c r="G571" s="452">
        <v>2.5</v>
      </c>
      <c r="H571" s="452">
        <v>2.5</v>
      </c>
      <c r="I571" s="148"/>
      <c r="J571" s="148"/>
      <c r="K571" s="148">
        <v>6</v>
      </c>
      <c r="L571" s="148" t="s">
        <v>1138</v>
      </c>
      <c r="M571" s="148">
        <v>6</v>
      </c>
      <c r="N571" s="148" t="s">
        <v>1138</v>
      </c>
      <c r="O571" s="148">
        <v>6</v>
      </c>
      <c r="P571" s="148" t="s">
        <v>1138</v>
      </c>
      <c r="Q571" s="136">
        <v>30</v>
      </c>
      <c r="R571" s="146">
        <f t="shared" si="466"/>
        <v>0</v>
      </c>
      <c r="S571" s="146">
        <f t="shared" si="467"/>
        <v>0</v>
      </c>
      <c r="T571" s="146">
        <f t="shared" si="468"/>
        <v>0</v>
      </c>
      <c r="U571" s="145">
        <f t="shared" si="469"/>
        <v>0</v>
      </c>
      <c r="V571" s="146">
        <f t="shared" si="470"/>
        <v>0</v>
      </c>
      <c r="W571" s="146">
        <f t="shared" si="471"/>
        <v>0</v>
      </c>
      <c r="X571" s="147" t="e">
        <f>U571/#REF!</f>
        <v>#REF!</v>
      </c>
      <c r="Y571" s="147" t="e">
        <f>#REF!/R571</f>
        <v>#REF!</v>
      </c>
      <c r="Z571" s="147" t="e">
        <f t="shared" si="472"/>
        <v>#DIV/0!</v>
      </c>
      <c r="AA571" s="147"/>
      <c r="AB571" s="147"/>
      <c r="AC571" s="147"/>
    </row>
    <row r="572" spans="1:29" s="96" customFormat="1">
      <c r="A572" s="92"/>
      <c r="B572" s="212" t="s">
        <v>1157</v>
      </c>
      <c r="C572" s="451"/>
      <c r="D572" s="451">
        <v>2</v>
      </c>
      <c r="E572" s="451">
        <v>2</v>
      </c>
      <c r="F572" s="451">
        <v>2</v>
      </c>
      <c r="G572" s="452">
        <v>0.28499999999999998</v>
      </c>
      <c r="H572" s="452">
        <v>0.28499999999999998</v>
      </c>
      <c r="I572" s="148"/>
      <c r="J572" s="148"/>
      <c r="K572" s="148">
        <v>6</v>
      </c>
      <c r="L572" s="148" t="s">
        <v>1138</v>
      </c>
      <c r="M572" s="148">
        <v>6</v>
      </c>
      <c r="N572" s="148" t="s">
        <v>1138</v>
      </c>
      <c r="O572" s="148">
        <v>6</v>
      </c>
      <c r="P572" s="148" t="s">
        <v>1138</v>
      </c>
      <c r="Q572" s="136">
        <v>30</v>
      </c>
      <c r="R572" s="146">
        <f t="shared" si="466"/>
        <v>102.6</v>
      </c>
      <c r="S572" s="146">
        <f t="shared" si="467"/>
        <v>102.6</v>
      </c>
      <c r="T572" s="146">
        <f t="shared" si="468"/>
        <v>102.6</v>
      </c>
      <c r="U572" s="145">
        <f t="shared" si="469"/>
        <v>0</v>
      </c>
      <c r="V572" s="146">
        <f t="shared" si="470"/>
        <v>102.6</v>
      </c>
      <c r="W572" s="146">
        <f t="shared" si="471"/>
        <v>102.6</v>
      </c>
      <c r="X572" s="147" t="e">
        <f>U572/#REF!</f>
        <v>#REF!</v>
      </c>
      <c r="Y572" s="147" t="e">
        <f>#REF!/R572</f>
        <v>#REF!</v>
      </c>
      <c r="Z572" s="147">
        <f t="shared" si="472"/>
        <v>1</v>
      </c>
      <c r="AA572" s="147"/>
      <c r="AB572" s="147"/>
      <c r="AC572" s="147"/>
    </row>
    <row r="573" spans="1:29" s="96" customFormat="1">
      <c r="A573" s="92"/>
      <c r="B573" s="212" t="s">
        <v>1158</v>
      </c>
      <c r="C573" s="451"/>
      <c r="D573" s="451">
        <v>3</v>
      </c>
      <c r="E573" s="451">
        <v>3</v>
      </c>
      <c r="F573" s="451">
        <v>3</v>
      </c>
      <c r="G573" s="452">
        <v>0.28499999999999998</v>
      </c>
      <c r="H573" s="452">
        <v>0.28499999999999998</v>
      </c>
      <c r="I573" s="148"/>
      <c r="J573" s="148"/>
      <c r="K573" s="148">
        <v>6</v>
      </c>
      <c r="L573" s="148" t="s">
        <v>1138</v>
      </c>
      <c r="M573" s="148">
        <v>6</v>
      </c>
      <c r="N573" s="148" t="s">
        <v>1138</v>
      </c>
      <c r="O573" s="148">
        <v>6</v>
      </c>
      <c r="P573" s="148" t="s">
        <v>1138</v>
      </c>
      <c r="Q573" s="136">
        <v>30</v>
      </c>
      <c r="R573" s="146">
        <f t="shared" si="466"/>
        <v>153.9</v>
      </c>
      <c r="S573" s="146">
        <f t="shared" si="467"/>
        <v>153.9</v>
      </c>
      <c r="T573" s="146">
        <f t="shared" si="468"/>
        <v>153.9</v>
      </c>
      <c r="U573" s="145">
        <f t="shared" si="469"/>
        <v>0</v>
      </c>
      <c r="V573" s="146">
        <f t="shared" si="470"/>
        <v>153.9</v>
      </c>
      <c r="W573" s="146">
        <f t="shared" si="471"/>
        <v>153.9</v>
      </c>
      <c r="X573" s="147" t="e">
        <f>U573/#REF!</f>
        <v>#REF!</v>
      </c>
      <c r="Y573" s="147" t="e">
        <f>#REF!/R573</f>
        <v>#REF!</v>
      </c>
      <c r="Z573" s="147">
        <f t="shared" si="472"/>
        <v>1</v>
      </c>
      <c r="AA573" s="147"/>
      <c r="AB573" s="147"/>
      <c r="AC573" s="147"/>
    </row>
    <row r="574" spans="1:29" s="96" customFormat="1">
      <c r="A574" s="92"/>
      <c r="B574" s="212" t="s">
        <v>1159</v>
      </c>
      <c r="C574" s="451"/>
      <c r="D574" s="451">
        <v>2</v>
      </c>
      <c r="E574" s="451">
        <v>2</v>
      </c>
      <c r="F574" s="451">
        <v>2</v>
      </c>
      <c r="G574" s="451"/>
      <c r="H574" s="451"/>
      <c r="I574" s="148"/>
      <c r="J574" s="148"/>
      <c r="K574" s="148">
        <v>6</v>
      </c>
      <c r="L574" s="148" t="s">
        <v>1138</v>
      </c>
      <c r="M574" s="148">
        <v>6</v>
      </c>
      <c r="N574" s="148" t="s">
        <v>1138</v>
      </c>
      <c r="O574" s="148">
        <v>6</v>
      </c>
      <c r="P574" s="148" t="s">
        <v>1138</v>
      </c>
      <c r="Q574" s="136">
        <v>30</v>
      </c>
      <c r="R574" s="146">
        <f t="shared" si="466"/>
        <v>0</v>
      </c>
      <c r="S574" s="146">
        <f t="shared" si="467"/>
        <v>0</v>
      </c>
      <c r="T574" s="146">
        <f t="shared" si="468"/>
        <v>0</v>
      </c>
      <c r="U574" s="145">
        <f t="shared" si="469"/>
        <v>0</v>
      </c>
      <c r="V574" s="146">
        <f t="shared" si="470"/>
        <v>0</v>
      </c>
      <c r="W574" s="146">
        <f t="shared" si="471"/>
        <v>0</v>
      </c>
      <c r="X574" s="147" t="e">
        <f>U574/#REF!</f>
        <v>#REF!</v>
      </c>
      <c r="Y574" s="147" t="e">
        <f>#REF!/R574</f>
        <v>#REF!</v>
      </c>
      <c r="Z574" s="147" t="e">
        <f t="shared" si="472"/>
        <v>#DIV/0!</v>
      </c>
      <c r="AA574" s="147"/>
      <c r="AB574" s="147"/>
      <c r="AC574" s="147"/>
    </row>
    <row r="575" spans="1:29" s="96" customFormat="1">
      <c r="A575" s="92"/>
      <c r="B575" s="212" t="s">
        <v>1160</v>
      </c>
      <c r="C575" s="451"/>
      <c r="D575" s="451"/>
      <c r="E575" s="451"/>
      <c r="F575" s="451"/>
      <c r="G575" s="451"/>
      <c r="H575" s="451"/>
      <c r="I575" s="148"/>
      <c r="J575" s="148"/>
      <c r="K575" s="148">
        <v>24</v>
      </c>
      <c r="L575" s="148" t="s">
        <v>996</v>
      </c>
      <c r="M575" s="148">
        <v>24</v>
      </c>
      <c r="N575" s="148" t="s">
        <v>996</v>
      </c>
      <c r="O575" s="148">
        <v>24</v>
      </c>
      <c r="P575" s="148" t="s">
        <v>996</v>
      </c>
      <c r="Q575" s="136">
        <v>30</v>
      </c>
      <c r="R575" s="146">
        <f t="shared" si="466"/>
        <v>0</v>
      </c>
      <c r="S575" s="146">
        <f t="shared" si="467"/>
        <v>0</v>
      </c>
      <c r="T575" s="146">
        <f t="shared" si="468"/>
        <v>0</v>
      </c>
      <c r="U575" s="145">
        <f t="shared" si="469"/>
        <v>0</v>
      </c>
      <c r="V575" s="146">
        <f t="shared" si="470"/>
        <v>0</v>
      </c>
      <c r="W575" s="146">
        <f t="shared" si="471"/>
        <v>0</v>
      </c>
      <c r="X575" s="147" t="e">
        <f>U575/#REF!</f>
        <v>#REF!</v>
      </c>
      <c r="Y575" s="147" t="e">
        <f>#REF!/R575</f>
        <v>#REF!</v>
      </c>
      <c r="Z575" s="147" t="e">
        <f t="shared" si="472"/>
        <v>#DIV/0!</v>
      </c>
      <c r="AA575" s="147"/>
      <c r="AB575" s="147"/>
      <c r="AC575" s="147"/>
    </row>
    <row r="576" spans="1:29" s="96" customFormat="1">
      <c r="A576" s="92"/>
      <c r="B576" s="443" t="s">
        <v>1161</v>
      </c>
      <c r="C576" s="451"/>
      <c r="D576" s="451"/>
      <c r="E576" s="451"/>
      <c r="F576" s="451"/>
      <c r="G576" s="452"/>
      <c r="H576" s="452"/>
      <c r="I576" s="148"/>
      <c r="J576" s="148"/>
      <c r="K576" s="148"/>
      <c r="L576" s="148"/>
      <c r="M576" s="148"/>
      <c r="N576" s="148"/>
      <c r="O576" s="148"/>
      <c r="P576" s="148"/>
      <c r="Q576" s="136"/>
      <c r="R576" s="146">
        <f t="shared" si="466"/>
        <v>0</v>
      </c>
      <c r="S576" s="146">
        <f t="shared" si="467"/>
        <v>0</v>
      </c>
      <c r="T576" s="146">
        <f t="shared" si="468"/>
        <v>0</v>
      </c>
      <c r="U576" s="145">
        <f t="shared" si="469"/>
        <v>0</v>
      </c>
      <c r="V576" s="146">
        <f t="shared" si="470"/>
        <v>0</v>
      </c>
      <c r="W576" s="146">
        <f t="shared" si="471"/>
        <v>0</v>
      </c>
      <c r="X576" s="147" t="e">
        <f>U576/#REF!</f>
        <v>#REF!</v>
      </c>
      <c r="Y576" s="147" t="e">
        <f>#REF!/R576</f>
        <v>#REF!</v>
      </c>
      <c r="Z576" s="147" t="e">
        <f t="shared" si="472"/>
        <v>#DIV/0!</v>
      </c>
      <c r="AA576" s="147"/>
      <c r="AB576" s="147"/>
      <c r="AC576" s="147"/>
    </row>
    <row r="577" spans="1:29" s="96" customFormat="1" ht="30">
      <c r="A577" s="92"/>
      <c r="B577" s="212" t="s">
        <v>1141</v>
      </c>
      <c r="C577" s="448">
        <v>1</v>
      </c>
      <c r="D577" s="448">
        <v>1</v>
      </c>
      <c r="E577" s="448">
        <v>1</v>
      </c>
      <c r="F577" s="448">
        <v>1</v>
      </c>
      <c r="G577" s="449" t="s">
        <v>1142</v>
      </c>
      <c r="H577" s="449" t="s">
        <v>1162</v>
      </c>
      <c r="I577" s="148"/>
      <c r="J577" s="148"/>
      <c r="K577" s="148">
        <v>24</v>
      </c>
      <c r="L577" s="148" t="s">
        <v>996</v>
      </c>
      <c r="M577" s="148">
        <v>24</v>
      </c>
      <c r="N577" s="148" t="s">
        <v>996</v>
      </c>
      <c r="O577" s="148">
        <v>24</v>
      </c>
      <c r="P577" s="148" t="s">
        <v>996</v>
      </c>
      <c r="Q577" s="136">
        <v>30</v>
      </c>
      <c r="R577" s="146">
        <f t="shared" si="466"/>
        <v>2422.8000000000002</v>
      </c>
      <c r="S577" s="146">
        <f t="shared" si="467"/>
        <v>2422.8000000000002</v>
      </c>
      <c r="T577" s="146">
        <f t="shared" si="468"/>
        <v>2422.8000000000002</v>
      </c>
      <c r="U577" s="145">
        <f t="shared" si="469"/>
        <v>0</v>
      </c>
      <c r="V577" s="146">
        <f t="shared" si="470"/>
        <v>2423.52</v>
      </c>
      <c r="W577" s="146">
        <f t="shared" si="471"/>
        <v>2423.52</v>
      </c>
      <c r="X577" s="147" t="e">
        <f>U577/#REF!</f>
        <v>#REF!</v>
      </c>
      <c r="Y577" s="147" t="e">
        <f>#REF!/R577</f>
        <v>#REF!</v>
      </c>
      <c r="Z577" s="147">
        <f t="shared" si="472"/>
        <v>1.000297176820208</v>
      </c>
      <c r="AA577" s="147"/>
      <c r="AB577" s="147"/>
      <c r="AC577" s="147"/>
    </row>
    <row r="578" spans="1:29" s="96" customFormat="1" ht="30">
      <c r="A578" s="92"/>
      <c r="B578" s="212" t="s">
        <v>1143</v>
      </c>
      <c r="C578" s="448">
        <v>1</v>
      </c>
      <c r="D578" s="448">
        <v>1</v>
      </c>
      <c r="E578" s="448">
        <v>1</v>
      </c>
      <c r="F578" s="448">
        <v>1</v>
      </c>
      <c r="G578" s="449" t="s">
        <v>1144</v>
      </c>
      <c r="H578" s="449" t="s">
        <v>1163</v>
      </c>
      <c r="I578" s="148"/>
      <c r="J578" s="148"/>
      <c r="K578" s="148">
        <v>24</v>
      </c>
      <c r="L578" s="148" t="s">
        <v>996</v>
      </c>
      <c r="M578" s="148">
        <v>24</v>
      </c>
      <c r="N578" s="148" t="s">
        <v>996</v>
      </c>
      <c r="O578" s="148">
        <v>24</v>
      </c>
      <c r="P578" s="148" t="s">
        <v>996</v>
      </c>
      <c r="Q578" s="136">
        <v>30</v>
      </c>
      <c r="R578" s="146">
        <f t="shared" si="466"/>
        <v>144.00000000000003</v>
      </c>
      <c r="S578" s="146">
        <f t="shared" si="467"/>
        <v>144.00000000000003</v>
      </c>
      <c r="T578" s="146">
        <f t="shared" si="468"/>
        <v>144.00000000000003</v>
      </c>
      <c r="U578" s="145">
        <f t="shared" si="469"/>
        <v>0</v>
      </c>
      <c r="V578" s="146">
        <f t="shared" si="470"/>
        <v>215.99999999999997</v>
      </c>
      <c r="W578" s="146">
        <f t="shared" si="471"/>
        <v>215.99999999999997</v>
      </c>
      <c r="X578" s="147" t="e">
        <f>U578/#REF!</f>
        <v>#REF!</v>
      </c>
      <c r="Y578" s="147" t="e">
        <f>#REF!/R578</f>
        <v>#REF!</v>
      </c>
      <c r="Z578" s="147">
        <f t="shared" si="472"/>
        <v>1.4999999999999996</v>
      </c>
      <c r="AA578" s="147"/>
      <c r="AB578" s="147"/>
      <c r="AC578" s="147"/>
    </row>
    <row r="579" spans="1:29" s="96" customFormat="1" ht="31.5">
      <c r="A579" s="92"/>
      <c r="B579" s="450" t="s">
        <v>1164</v>
      </c>
      <c r="C579" s="448">
        <v>1</v>
      </c>
      <c r="D579" s="448">
        <v>1</v>
      </c>
      <c r="E579" s="448">
        <v>1</v>
      </c>
      <c r="F579" s="448">
        <v>1</v>
      </c>
      <c r="G579" s="453" t="s">
        <v>1165</v>
      </c>
      <c r="H579" s="453" t="s">
        <v>1166</v>
      </c>
      <c r="I579" s="148"/>
      <c r="J579" s="148"/>
      <c r="K579" s="148">
        <v>24</v>
      </c>
      <c r="L579" s="148" t="s">
        <v>996</v>
      </c>
      <c r="M579" s="148">
        <v>24</v>
      </c>
      <c r="N579" s="148" t="s">
        <v>996</v>
      </c>
      <c r="O579" s="148">
        <v>24</v>
      </c>
      <c r="P579" s="148" t="s">
        <v>996</v>
      </c>
      <c r="Q579" s="136">
        <v>30</v>
      </c>
      <c r="R579" s="146">
        <f t="shared" si="466"/>
        <v>1152.0000000000002</v>
      </c>
      <c r="S579" s="146">
        <f t="shared" si="467"/>
        <v>1152.0000000000002</v>
      </c>
      <c r="T579" s="146">
        <f t="shared" si="468"/>
        <v>1152.0000000000002</v>
      </c>
      <c r="U579" s="145">
        <f t="shared" si="469"/>
        <v>0</v>
      </c>
      <c r="V579" s="146">
        <f t="shared" si="470"/>
        <v>1224</v>
      </c>
      <c r="W579" s="146">
        <f t="shared" si="471"/>
        <v>1224</v>
      </c>
      <c r="X579" s="147" t="e">
        <f>U579/#REF!</f>
        <v>#REF!</v>
      </c>
      <c r="Y579" s="147" t="e">
        <f>#REF!/R579</f>
        <v>#REF!</v>
      </c>
      <c r="Z579" s="147">
        <f t="shared" si="472"/>
        <v>1.0624999999999998</v>
      </c>
      <c r="AA579" s="147"/>
      <c r="AB579" s="147"/>
      <c r="AC579" s="147"/>
    </row>
    <row r="580" spans="1:29" s="96" customFormat="1" ht="15.75">
      <c r="A580" s="92"/>
      <c r="B580" s="450" t="s">
        <v>1145</v>
      </c>
      <c r="C580" s="448">
        <v>1</v>
      </c>
      <c r="D580" s="448">
        <v>1</v>
      </c>
      <c r="E580" s="448">
        <v>1</v>
      </c>
      <c r="F580" s="448">
        <v>1</v>
      </c>
      <c r="G580" s="449" t="s">
        <v>1146</v>
      </c>
      <c r="H580" s="449" t="s">
        <v>1167</v>
      </c>
      <c r="I580" s="148"/>
      <c r="J580" s="148"/>
      <c r="K580" s="148">
        <v>24</v>
      </c>
      <c r="L580" s="148" t="s">
        <v>996</v>
      </c>
      <c r="M580" s="148">
        <v>24</v>
      </c>
      <c r="N580" s="148" t="s">
        <v>996</v>
      </c>
      <c r="O580" s="148">
        <v>24</v>
      </c>
      <c r="P580" s="148" t="s">
        <v>996</v>
      </c>
      <c r="Q580" s="136">
        <v>30</v>
      </c>
      <c r="R580" s="146">
        <f t="shared" si="466"/>
        <v>6480</v>
      </c>
      <c r="S580" s="146">
        <f t="shared" si="467"/>
        <v>6480</v>
      </c>
      <c r="T580" s="146">
        <f t="shared" si="468"/>
        <v>6480</v>
      </c>
      <c r="U580" s="145">
        <f t="shared" si="469"/>
        <v>0</v>
      </c>
      <c r="V580" s="146">
        <f t="shared" si="470"/>
        <v>7200</v>
      </c>
      <c r="W580" s="146">
        <f t="shared" si="471"/>
        <v>7200</v>
      </c>
      <c r="X580" s="147" t="e">
        <f>U580/#REF!</f>
        <v>#REF!</v>
      </c>
      <c r="Y580" s="147" t="e">
        <f>#REF!/R580</f>
        <v>#REF!</v>
      </c>
      <c r="Z580" s="147">
        <f t="shared" si="472"/>
        <v>1.1111111111111112</v>
      </c>
      <c r="AA580" s="147"/>
      <c r="AB580" s="147"/>
      <c r="AC580" s="147"/>
    </row>
    <row r="581" spans="1:29" s="96" customFormat="1" ht="15.75">
      <c r="A581" s="92"/>
      <c r="B581" s="212" t="s">
        <v>1168</v>
      </c>
      <c r="C581" s="448"/>
      <c r="D581" s="448"/>
      <c r="E581" s="448"/>
      <c r="F581" s="448"/>
      <c r="G581" s="452">
        <v>1.6</v>
      </c>
      <c r="H581" s="452">
        <v>2.6</v>
      </c>
      <c r="I581" s="148"/>
      <c r="J581" s="148"/>
      <c r="K581" s="148">
        <v>24</v>
      </c>
      <c r="L581" s="148" t="s">
        <v>996</v>
      </c>
      <c r="M581" s="148">
        <v>24</v>
      </c>
      <c r="N581" s="148" t="s">
        <v>996</v>
      </c>
      <c r="O581" s="148">
        <v>24</v>
      </c>
      <c r="P581" s="148" t="s">
        <v>996</v>
      </c>
      <c r="Q581" s="136">
        <v>30</v>
      </c>
      <c r="R581" s="146">
        <f t="shared" si="466"/>
        <v>0</v>
      </c>
      <c r="S581" s="146">
        <f t="shared" si="467"/>
        <v>0</v>
      </c>
      <c r="T581" s="146">
        <f t="shared" si="468"/>
        <v>0</v>
      </c>
      <c r="U581" s="145">
        <f t="shared" si="469"/>
        <v>0</v>
      </c>
      <c r="V581" s="146">
        <f t="shared" si="470"/>
        <v>0</v>
      </c>
      <c r="W581" s="146">
        <f t="shared" si="471"/>
        <v>0</v>
      </c>
      <c r="X581" s="147" t="e">
        <f>U581/#REF!</f>
        <v>#REF!</v>
      </c>
      <c r="Y581" s="147" t="e">
        <f>#REF!/R581</f>
        <v>#REF!</v>
      </c>
      <c r="Z581" s="147" t="e">
        <f t="shared" si="472"/>
        <v>#DIV/0!</v>
      </c>
      <c r="AA581" s="147"/>
      <c r="AB581" s="147"/>
      <c r="AC581" s="147"/>
    </row>
    <row r="582" spans="1:29" s="96" customFormat="1" ht="15.75">
      <c r="A582" s="92"/>
      <c r="B582" s="212" t="s">
        <v>1149</v>
      </c>
      <c r="C582" s="448">
        <v>2</v>
      </c>
      <c r="D582" s="448">
        <v>2</v>
      </c>
      <c r="E582" s="448">
        <v>2</v>
      </c>
      <c r="F582" s="448">
        <v>2</v>
      </c>
      <c r="G582" s="449" t="s">
        <v>1150</v>
      </c>
      <c r="H582" s="449" t="s">
        <v>1169</v>
      </c>
      <c r="I582" s="148"/>
      <c r="J582" s="148"/>
      <c r="K582" s="148">
        <v>24</v>
      </c>
      <c r="L582" s="148" t="s">
        <v>996</v>
      </c>
      <c r="M582" s="148">
        <v>24</v>
      </c>
      <c r="N582" s="148" t="s">
        <v>996</v>
      </c>
      <c r="O582" s="148">
        <v>24</v>
      </c>
      <c r="P582" s="148" t="s">
        <v>996</v>
      </c>
      <c r="Q582" s="136">
        <v>30</v>
      </c>
      <c r="R582" s="146">
        <f t="shared" si="466"/>
        <v>3455.9999999999995</v>
      </c>
      <c r="S582" s="146">
        <f t="shared" si="467"/>
        <v>3455.9999999999995</v>
      </c>
      <c r="T582" s="146">
        <f t="shared" si="468"/>
        <v>3455.9999999999995</v>
      </c>
      <c r="U582" s="145">
        <f t="shared" si="469"/>
        <v>0</v>
      </c>
      <c r="V582" s="146">
        <f t="shared" si="470"/>
        <v>3600</v>
      </c>
      <c r="W582" s="146">
        <f t="shared" si="471"/>
        <v>3600</v>
      </c>
      <c r="X582" s="147" t="e">
        <f>U582/#REF!</f>
        <v>#REF!</v>
      </c>
      <c r="Y582" s="147" t="e">
        <f>#REF!/R582</f>
        <v>#REF!</v>
      </c>
      <c r="Z582" s="147">
        <f t="shared" si="472"/>
        <v>1.0416666666666667</v>
      </c>
      <c r="AA582" s="147"/>
      <c r="AB582" s="147"/>
      <c r="AC582" s="147"/>
    </row>
    <row r="583" spans="1:29" s="96" customFormat="1" ht="15.75">
      <c r="A583" s="92"/>
      <c r="B583" s="212" t="s">
        <v>1151</v>
      </c>
      <c r="C583" s="448">
        <v>1</v>
      </c>
      <c r="D583" s="448">
        <v>1</v>
      </c>
      <c r="E583" s="448">
        <v>1</v>
      </c>
      <c r="F583" s="448">
        <v>1</v>
      </c>
      <c r="G583" s="449" t="s">
        <v>1146</v>
      </c>
      <c r="H583" s="449" t="s">
        <v>1167</v>
      </c>
      <c r="I583" s="148"/>
      <c r="J583" s="148"/>
      <c r="K583" s="148">
        <v>24</v>
      </c>
      <c r="L583" s="148" t="s">
        <v>996</v>
      </c>
      <c r="M583" s="148">
        <v>24</v>
      </c>
      <c r="N583" s="148" t="s">
        <v>996</v>
      </c>
      <c r="O583" s="148">
        <v>24</v>
      </c>
      <c r="P583" s="148" t="s">
        <v>996</v>
      </c>
      <c r="Q583" s="136">
        <v>30</v>
      </c>
      <c r="R583" s="146">
        <f t="shared" si="466"/>
        <v>6480</v>
      </c>
      <c r="S583" s="146">
        <f t="shared" si="467"/>
        <v>6480</v>
      </c>
      <c r="T583" s="146">
        <f t="shared" si="468"/>
        <v>6480</v>
      </c>
      <c r="U583" s="145">
        <f t="shared" si="469"/>
        <v>0</v>
      </c>
      <c r="V583" s="146">
        <f t="shared" si="470"/>
        <v>7200</v>
      </c>
      <c r="W583" s="146">
        <f t="shared" si="471"/>
        <v>7200</v>
      </c>
      <c r="X583" s="147" t="e">
        <f>U583/#REF!</f>
        <v>#REF!</v>
      </c>
      <c r="Y583" s="147" t="e">
        <f>#REF!/R583</f>
        <v>#REF!</v>
      </c>
      <c r="Z583" s="147">
        <f t="shared" si="472"/>
        <v>1.1111111111111112</v>
      </c>
      <c r="AA583" s="147"/>
      <c r="AB583" s="147"/>
      <c r="AC583" s="147"/>
    </row>
    <row r="584" spans="1:29" s="96" customFormat="1">
      <c r="A584" s="92"/>
      <c r="B584" s="212" t="s">
        <v>671</v>
      </c>
      <c r="C584" s="451">
        <v>1</v>
      </c>
      <c r="D584" s="451">
        <v>1</v>
      </c>
      <c r="E584" s="451">
        <v>1</v>
      </c>
      <c r="F584" s="451">
        <v>1</v>
      </c>
      <c r="G584" s="449" t="s">
        <v>1152</v>
      </c>
      <c r="H584" s="449" t="s">
        <v>1170</v>
      </c>
      <c r="I584" s="148"/>
      <c r="J584" s="148"/>
      <c r="K584" s="148">
        <v>8</v>
      </c>
      <c r="L584" s="148" t="s">
        <v>1120</v>
      </c>
      <c r="M584" s="148">
        <v>8</v>
      </c>
      <c r="N584" s="148" t="s">
        <v>1120</v>
      </c>
      <c r="O584" s="148">
        <v>8</v>
      </c>
      <c r="P584" s="148" t="s">
        <v>1120</v>
      </c>
      <c r="Q584" s="136">
        <v>30</v>
      </c>
      <c r="R584" s="146">
        <f t="shared" si="466"/>
        <v>864</v>
      </c>
      <c r="S584" s="146">
        <f t="shared" si="467"/>
        <v>864</v>
      </c>
      <c r="T584" s="146">
        <f t="shared" si="468"/>
        <v>864</v>
      </c>
      <c r="U584" s="145">
        <f t="shared" si="469"/>
        <v>0</v>
      </c>
      <c r="V584" s="146">
        <f t="shared" si="470"/>
        <v>888</v>
      </c>
      <c r="W584" s="146">
        <f t="shared" si="471"/>
        <v>888</v>
      </c>
      <c r="X584" s="147" t="e">
        <f>U584/#REF!</f>
        <v>#REF!</v>
      </c>
      <c r="Y584" s="147" t="e">
        <f>#REF!/R584</f>
        <v>#REF!</v>
      </c>
      <c r="Z584" s="147">
        <f t="shared" si="472"/>
        <v>1.0277777777777777</v>
      </c>
      <c r="AA584" s="147"/>
      <c r="AB584" s="147"/>
      <c r="AC584" s="147"/>
    </row>
    <row r="585" spans="1:29" s="96" customFormat="1">
      <c r="A585" s="92"/>
      <c r="B585" s="212" t="s">
        <v>670</v>
      </c>
      <c r="C585" s="451">
        <v>1</v>
      </c>
      <c r="D585" s="451">
        <v>1</v>
      </c>
      <c r="E585" s="451">
        <v>1</v>
      </c>
      <c r="F585" s="451">
        <v>1</v>
      </c>
      <c r="G585" s="449" t="s">
        <v>1153</v>
      </c>
      <c r="H585" s="449" t="s">
        <v>1171</v>
      </c>
      <c r="I585" s="148"/>
      <c r="J585" s="148"/>
      <c r="K585" s="148">
        <v>8</v>
      </c>
      <c r="L585" s="148" t="s">
        <v>1120</v>
      </c>
      <c r="M585" s="148">
        <v>8</v>
      </c>
      <c r="N585" s="148" t="s">
        <v>1120</v>
      </c>
      <c r="O585" s="148">
        <v>8</v>
      </c>
      <c r="P585" s="148" t="s">
        <v>1120</v>
      </c>
      <c r="Q585" s="136">
        <v>30</v>
      </c>
      <c r="R585" s="146">
        <f t="shared" si="466"/>
        <v>1200</v>
      </c>
      <c r="S585" s="146">
        <f t="shared" si="467"/>
        <v>1200</v>
      </c>
      <c r="T585" s="146">
        <f t="shared" si="468"/>
        <v>1200</v>
      </c>
      <c r="U585" s="145">
        <f t="shared" si="469"/>
        <v>0</v>
      </c>
      <c r="V585" s="146">
        <f t="shared" si="470"/>
        <v>1440</v>
      </c>
      <c r="W585" s="146">
        <f t="shared" si="471"/>
        <v>1440</v>
      </c>
      <c r="X585" s="147" t="e">
        <f>U585/#REF!</f>
        <v>#REF!</v>
      </c>
      <c r="Y585" s="147" t="e">
        <f>#REF!/R585</f>
        <v>#REF!</v>
      </c>
      <c r="Z585" s="147">
        <f t="shared" si="472"/>
        <v>1.2</v>
      </c>
      <c r="AA585" s="147"/>
      <c r="AB585" s="147"/>
      <c r="AC585" s="147"/>
    </row>
    <row r="586" spans="1:29" s="96" customFormat="1">
      <c r="A586" s="92"/>
      <c r="B586" s="212" t="s">
        <v>1154</v>
      </c>
      <c r="C586" s="451">
        <v>1</v>
      </c>
      <c r="D586" s="451">
        <v>1</v>
      </c>
      <c r="E586" s="451">
        <v>1</v>
      </c>
      <c r="F586" s="451">
        <v>1</v>
      </c>
      <c r="G586" s="449" t="s">
        <v>1155</v>
      </c>
      <c r="H586" s="449" t="s">
        <v>1172</v>
      </c>
      <c r="I586" s="148"/>
      <c r="J586" s="148"/>
      <c r="K586" s="148">
        <v>6</v>
      </c>
      <c r="L586" s="148" t="s">
        <v>1138</v>
      </c>
      <c r="M586" s="148">
        <v>6</v>
      </c>
      <c r="N586" s="148" t="s">
        <v>1138</v>
      </c>
      <c r="O586" s="148">
        <v>6</v>
      </c>
      <c r="P586" s="148" t="s">
        <v>1138</v>
      </c>
      <c r="Q586" s="136">
        <v>30</v>
      </c>
      <c r="R586" s="146">
        <f t="shared" si="466"/>
        <v>149.39999999999998</v>
      </c>
      <c r="S586" s="146">
        <f t="shared" si="467"/>
        <v>149.39999999999998</v>
      </c>
      <c r="T586" s="146">
        <f t="shared" si="468"/>
        <v>149.39999999999998</v>
      </c>
      <c r="U586" s="145">
        <f t="shared" si="469"/>
        <v>0</v>
      </c>
      <c r="V586" s="146">
        <f t="shared" si="470"/>
        <v>151.19999999999999</v>
      </c>
      <c r="W586" s="146">
        <f t="shared" si="471"/>
        <v>151.19999999999999</v>
      </c>
      <c r="X586" s="147" t="e">
        <f>U586/#REF!</f>
        <v>#REF!</v>
      </c>
      <c r="Y586" s="147" t="e">
        <f>#REF!/R586</f>
        <v>#REF!</v>
      </c>
      <c r="Z586" s="147">
        <f t="shared" si="472"/>
        <v>1.0120481927710845</v>
      </c>
      <c r="AA586" s="147"/>
      <c r="AB586" s="147"/>
      <c r="AC586" s="147"/>
    </row>
    <row r="587" spans="1:29" s="96" customFormat="1">
      <c r="A587" s="92"/>
      <c r="B587" s="212" t="s">
        <v>1156</v>
      </c>
      <c r="C587" s="451">
        <v>1</v>
      </c>
      <c r="D587" s="451">
        <v>1</v>
      </c>
      <c r="E587" s="451">
        <v>1</v>
      </c>
      <c r="F587" s="451">
        <v>1</v>
      </c>
      <c r="G587" s="452">
        <v>2.5</v>
      </c>
      <c r="H587" s="452">
        <v>2.5</v>
      </c>
      <c r="I587" s="148"/>
      <c r="J587" s="148"/>
      <c r="K587" s="148">
        <v>6</v>
      </c>
      <c r="L587" s="148" t="s">
        <v>1138</v>
      </c>
      <c r="M587" s="148">
        <v>6</v>
      </c>
      <c r="N587" s="148" t="s">
        <v>1138</v>
      </c>
      <c r="O587" s="148">
        <v>6</v>
      </c>
      <c r="P587" s="148" t="s">
        <v>1138</v>
      </c>
      <c r="Q587" s="136">
        <v>30</v>
      </c>
      <c r="R587" s="146">
        <f t="shared" si="466"/>
        <v>450</v>
      </c>
      <c r="S587" s="146">
        <f t="shared" si="467"/>
        <v>450</v>
      </c>
      <c r="T587" s="146">
        <f t="shared" si="468"/>
        <v>450</v>
      </c>
      <c r="U587" s="145">
        <f t="shared" si="469"/>
        <v>0</v>
      </c>
      <c r="V587" s="146">
        <f t="shared" si="470"/>
        <v>450</v>
      </c>
      <c r="W587" s="146">
        <f t="shared" si="471"/>
        <v>450</v>
      </c>
      <c r="X587" s="147" t="e">
        <f>U587/#REF!</f>
        <v>#REF!</v>
      </c>
      <c r="Y587" s="147" t="e">
        <f>#REF!/R587</f>
        <v>#REF!</v>
      </c>
      <c r="Z587" s="147">
        <f t="shared" si="472"/>
        <v>1</v>
      </c>
      <c r="AA587" s="147"/>
      <c r="AB587" s="147"/>
      <c r="AC587" s="147"/>
    </row>
    <row r="588" spans="1:29" s="96" customFormat="1">
      <c r="A588" s="92"/>
      <c r="B588" s="212" t="s">
        <v>1157</v>
      </c>
      <c r="C588" s="451">
        <v>2</v>
      </c>
      <c r="D588" s="451">
        <v>2</v>
      </c>
      <c r="E588" s="451">
        <v>2</v>
      </c>
      <c r="F588" s="451">
        <v>2</v>
      </c>
      <c r="G588" s="452">
        <v>0.28499999999999998</v>
      </c>
      <c r="H588" s="452">
        <v>0.28499999999999998</v>
      </c>
      <c r="I588" s="148"/>
      <c r="J588" s="148"/>
      <c r="K588" s="148">
        <v>6</v>
      </c>
      <c r="L588" s="148" t="s">
        <v>1138</v>
      </c>
      <c r="M588" s="148">
        <v>6</v>
      </c>
      <c r="N588" s="148" t="s">
        <v>1138</v>
      </c>
      <c r="O588" s="148">
        <v>6</v>
      </c>
      <c r="P588" s="148" t="s">
        <v>1138</v>
      </c>
      <c r="Q588" s="136">
        <v>30</v>
      </c>
      <c r="R588" s="146">
        <f t="shared" si="466"/>
        <v>102.6</v>
      </c>
      <c r="S588" s="146">
        <f t="shared" si="467"/>
        <v>102.6</v>
      </c>
      <c r="T588" s="146">
        <f t="shared" si="468"/>
        <v>102.6</v>
      </c>
      <c r="U588" s="145">
        <f t="shared" si="469"/>
        <v>0</v>
      </c>
      <c r="V588" s="146">
        <f t="shared" si="470"/>
        <v>102.6</v>
      </c>
      <c r="W588" s="146">
        <f t="shared" si="471"/>
        <v>102.6</v>
      </c>
      <c r="X588" s="147" t="e">
        <f>U588/#REF!</f>
        <v>#REF!</v>
      </c>
      <c r="Y588" s="147" t="e">
        <f>#REF!/R588</f>
        <v>#REF!</v>
      </c>
      <c r="Z588" s="147">
        <f t="shared" si="472"/>
        <v>1</v>
      </c>
      <c r="AA588" s="147"/>
      <c r="AB588" s="147"/>
      <c r="AC588" s="147"/>
    </row>
    <row r="589" spans="1:29" s="96" customFormat="1">
      <c r="A589" s="92"/>
      <c r="B589" s="212" t="s">
        <v>1158</v>
      </c>
      <c r="C589" s="451">
        <v>4</v>
      </c>
      <c r="D589" s="451">
        <v>4</v>
      </c>
      <c r="E589" s="451">
        <v>4</v>
      </c>
      <c r="F589" s="451">
        <v>4</v>
      </c>
      <c r="G589" s="452">
        <v>0.28499999999999998</v>
      </c>
      <c r="H589" s="452">
        <v>0.28499999999999998</v>
      </c>
      <c r="I589" s="148"/>
      <c r="J589" s="148"/>
      <c r="K589" s="148">
        <v>6</v>
      </c>
      <c r="L589" s="148" t="s">
        <v>1138</v>
      </c>
      <c r="M589" s="148">
        <v>6</v>
      </c>
      <c r="N589" s="148" t="s">
        <v>1138</v>
      </c>
      <c r="O589" s="148">
        <v>6</v>
      </c>
      <c r="P589" s="148" t="s">
        <v>1138</v>
      </c>
      <c r="Q589" s="136">
        <v>30</v>
      </c>
      <c r="R589" s="146">
        <f t="shared" si="466"/>
        <v>205.2</v>
      </c>
      <c r="S589" s="146">
        <f t="shared" si="467"/>
        <v>205.2</v>
      </c>
      <c r="T589" s="146">
        <f t="shared" si="468"/>
        <v>205.2</v>
      </c>
      <c r="U589" s="145">
        <f t="shared" si="469"/>
        <v>0</v>
      </c>
      <c r="V589" s="146">
        <f t="shared" si="470"/>
        <v>205.2</v>
      </c>
      <c r="W589" s="146">
        <f t="shared" si="471"/>
        <v>205.2</v>
      </c>
      <c r="X589" s="147" t="e">
        <f>U589/#REF!</f>
        <v>#REF!</v>
      </c>
      <c r="Y589" s="147" t="e">
        <f>#REF!/R589</f>
        <v>#REF!</v>
      </c>
      <c r="Z589" s="147">
        <f t="shared" si="472"/>
        <v>1</v>
      </c>
      <c r="AA589" s="147"/>
      <c r="AB589" s="147"/>
      <c r="AC589" s="147"/>
    </row>
    <row r="590" spans="1:29" s="96" customFormat="1">
      <c r="A590" s="92"/>
      <c r="B590" s="212" t="s">
        <v>1159</v>
      </c>
      <c r="C590" s="451">
        <v>2</v>
      </c>
      <c r="D590" s="451">
        <v>2</v>
      </c>
      <c r="E590" s="451">
        <v>2</v>
      </c>
      <c r="F590" s="451">
        <v>2</v>
      </c>
      <c r="G590" s="451"/>
      <c r="H590" s="451"/>
      <c r="I590" s="148"/>
      <c r="J590" s="148"/>
      <c r="K590" s="148">
        <v>6</v>
      </c>
      <c r="L590" s="148" t="s">
        <v>1138</v>
      </c>
      <c r="M590" s="148">
        <v>6</v>
      </c>
      <c r="N590" s="148" t="s">
        <v>1138</v>
      </c>
      <c r="O590" s="148">
        <v>6</v>
      </c>
      <c r="P590" s="148" t="s">
        <v>1138</v>
      </c>
      <c r="Q590" s="136">
        <v>30</v>
      </c>
      <c r="R590" s="146">
        <f t="shared" si="466"/>
        <v>0</v>
      </c>
      <c r="S590" s="146">
        <f t="shared" si="467"/>
        <v>0</v>
      </c>
      <c r="T590" s="146">
        <f t="shared" si="468"/>
        <v>0</v>
      </c>
      <c r="U590" s="145">
        <f t="shared" si="469"/>
        <v>0</v>
      </c>
      <c r="V590" s="146">
        <f t="shared" si="470"/>
        <v>0</v>
      </c>
      <c r="W590" s="146">
        <f t="shared" si="471"/>
        <v>0</v>
      </c>
      <c r="X590" s="147" t="e">
        <f>U590/#REF!</f>
        <v>#REF!</v>
      </c>
      <c r="Y590" s="147" t="e">
        <f>#REF!/R590</f>
        <v>#REF!</v>
      </c>
      <c r="Z590" s="147" t="e">
        <f t="shared" si="472"/>
        <v>#DIV/0!</v>
      </c>
      <c r="AA590" s="147"/>
      <c r="AB590" s="147"/>
      <c r="AC590" s="147"/>
    </row>
    <row r="591" spans="1:29" s="96" customFormat="1">
      <c r="A591" s="92"/>
      <c r="B591" s="212" t="s">
        <v>1160</v>
      </c>
      <c r="C591" s="451"/>
      <c r="D591" s="451"/>
      <c r="E591" s="451"/>
      <c r="F591" s="451"/>
      <c r="G591" s="451"/>
      <c r="H591" s="451"/>
      <c r="I591" s="148"/>
      <c r="J591" s="148"/>
      <c r="K591" s="148">
        <v>24</v>
      </c>
      <c r="L591" s="148" t="s">
        <v>996</v>
      </c>
      <c r="M591" s="148">
        <v>24</v>
      </c>
      <c r="N591" s="148" t="s">
        <v>996</v>
      </c>
      <c r="O591" s="148">
        <v>24</v>
      </c>
      <c r="P591" s="148" t="s">
        <v>996</v>
      </c>
      <c r="Q591" s="136">
        <v>30</v>
      </c>
      <c r="R591" s="146">
        <f t="shared" si="466"/>
        <v>0</v>
      </c>
      <c r="S591" s="146">
        <f t="shared" si="467"/>
        <v>0</v>
      </c>
      <c r="T591" s="146">
        <f t="shared" si="468"/>
        <v>0</v>
      </c>
      <c r="U591" s="145">
        <f t="shared" si="469"/>
        <v>0</v>
      </c>
      <c r="V591" s="146">
        <f t="shared" si="470"/>
        <v>0</v>
      </c>
      <c r="W591" s="146">
        <f t="shared" si="471"/>
        <v>0</v>
      </c>
      <c r="X591" s="147" t="e">
        <f>U591/#REF!</f>
        <v>#REF!</v>
      </c>
      <c r="Y591" s="147" t="e">
        <f>#REF!/R591</f>
        <v>#REF!</v>
      </c>
      <c r="Z591" s="147" t="e">
        <f t="shared" si="472"/>
        <v>#DIV/0!</v>
      </c>
      <c r="AA591" s="147"/>
      <c r="AB591" s="147"/>
      <c r="AC591" s="147"/>
    </row>
    <row r="592" spans="1:29" s="96" customFormat="1">
      <c r="A592" s="92"/>
      <c r="B592" s="443" t="s">
        <v>1173</v>
      </c>
      <c r="C592" s="451"/>
      <c r="D592" s="451"/>
      <c r="E592" s="451"/>
      <c r="F592" s="451"/>
      <c r="G592" s="452"/>
      <c r="H592" s="452"/>
      <c r="I592" s="148"/>
      <c r="J592" s="148"/>
      <c r="K592" s="148"/>
      <c r="L592" s="148"/>
      <c r="M592" s="148"/>
      <c r="N592" s="148"/>
      <c r="O592" s="148"/>
      <c r="P592" s="148"/>
      <c r="Q592" s="136"/>
      <c r="R592" s="146">
        <f t="shared" si="466"/>
        <v>0</v>
      </c>
      <c r="S592" s="146">
        <f t="shared" si="467"/>
        <v>0</v>
      </c>
      <c r="T592" s="146">
        <f t="shared" si="468"/>
        <v>0</v>
      </c>
      <c r="U592" s="145">
        <f t="shared" si="469"/>
        <v>0</v>
      </c>
      <c r="V592" s="146">
        <f t="shared" si="470"/>
        <v>0</v>
      </c>
      <c r="W592" s="146">
        <f t="shared" si="471"/>
        <v>0</v>
      </c>
      <c r="X592" s="147" t="e">
        <f>U592/#REF!</f>
        <v>#REF!</v>
      </c>
      <c r="Y592" s="147" t="e">
        <f>#REF!/R592</f>
        <v>#REF!</v>
      </c>
      <c r="Z592" s="147" t="e">
        <f t="shared" si="472"/>
        <v>#DIV/0!</v>
      </c>
      <c r="AA592" s="147"/>
      <c r="AB592" s="147"/>
      <c r="AC592" s="147"/>
    </row>
    <row r="593" spans="1:29" s="96" customFormat="1" ht="30">
      <c r="A593" s="92"/>
      <c r="B593" s="212" t="s">
        <v>1141</v>
      </c>
      <c r="C593" s="448">
        <v>1</v>
      </c>
      <c r="D593" s="448">
        <v>1</v>
      </c>
      <c r="E593" s="448">
        <v>1</v>
      </c>
      <c r="F593" s="448">
        <v>1</v>
      </c>
      <c r="G593" s="449" t="s">
        <v>1142</v>
      </c>
      <c r="H593" s="449" t="s">
        <v>1142</v>
      </c>
      <c r="I593" s="148"/>
      <c r="J593" s="148"/>
      <c r="K593" s="148">
        <v>24</v>
      </c>
      <c r="L593" s="148" t="s">
        <v>996</v>
      </c>
      <c r="M593" s="148">
        <v>24</v>
      </c>
      <c r="N593" s="148" t="s">
        <v>996</v>
      </c>
      <c r="O593" s="148">
        <v>24</v>
      </c>
      <c r="P593" s="148" t="s">
        <v>996</v>
      </c>
      <c r="Q593" s="136">
        <v>30</v>
      </c>
      <c r="R593" s="146">
        <f t="shared" si="466"/>
        <v>2422.8000000000002</v>
      </c>
      <c r="S593" s="146">
        <f t="shared" si="467"/>
        <v>2422.8000000000002</v>
      </c>
      <c r="T593" s="146">
        <f t="shared" si="468"/>
        <v>2422.8000000000002</v>
      </c>
      <c r="U593" s="145">
        <f t="shared" si="469"/>
        <v>0</v>
      </c>
      <c r="V593" s="146">
        <f t="shared" si="470"/>
        <v>2422.8000000000002</v>
      </c>
      <c r="W593" s="146">
        <f t="shared" si="471"/>
        <v>2422.8000000000002</v>
      </c>
      <c r="X593" s="147" t="e">
        <f>U593/#REF!</f>
        <v>#REF!</v>
      </c>
      <c r="Y593" s="147" t="e">
        <f>#REF!/R593</f>
        <v>#REF!</v>
      </c>
      <c r="Z593" s="147">
        <f t="shared" si="472"/>
        <v>1</v>
      </c>
      <c r="AA593" s="147"/>
      <c r="AB593" s="147"/>
      <c r="AC593" s="147"/>
    </row>
    <row r="594" spans="1:29" s="96" customFormat="1" ht="30">
      <c r="A594" s="92"/>
      <c r="B594" s="212" t="s">
        <v>1143</v>
      </c>
      <c r="C594" s="448">
        <v>1</v>
      </c>
      <c r="D594" s="448">
        <v>1</v>
      </c>
      <c r="E594" s="448">
        <v>1</v>
      </c>
      <c r="F594" s="448">
        <v>1</v>
      </c>
      <c r="G594" s="449" t="s">
        <v>1144</v>
      </c>
      <c r="H594" s="449" t="s">
        <v>1144</v>
      </c>
      <c r="I594" s="148"/>
      <c r="J594" s="148"/>
      <c r="K594" s="148">
        <v>24</v>
      </c>
      <c r="L594" s="148" t="s">
        <v>996</v>
      </c>
      <c r="M594" s="148">
        <v>24</v>
      </c>
      <c r="N594" s="148" t="s">
        <v>996</v>
      </c>
      <c r="O594" s="148">
        <v>24</v>
      </c>
      <c r="P594" s="148" t="s">
        <v>996</v>
      </c>
      <c r="Q594" s="136">
        <v>30</v>
      </c>
      <c r="R594" s="146">
        <f t="shared" ref="R594:R613" si="473">D594*G594*K594*Q594</f>
        <v>144.00000000000003</v>
      </c>
      <c r="S594" s="146">
        <f t="shared" ref="S594:S613" si="474">E594*G594*M594*Q594</f>
        <v>144.00000000000003</v>
      </c>
      <c r="T594" s="146">
        <f t="shared" ref="T594:T613" si="475">F594*G594*O594*Q594</f>
        <v>144.00000000000003</v>
      </c>
      <c r="U594" s="145">
        <f t="shared" ref="U594:U613" si="476">C594*H594*I594*Q594</f>
        <v>0</v>
      </c>
      <c r="V594" s="146">
        <f t="shared" ref="V594:V613" si="477">E594*H594*M594*Q594</f>
        <v>144.00000000000003</v>
      </c>
      <c r="W594" s="146">
        <f t="shared" ref="W594:W613" si="478">F594*H594*O594*Q594</f>
        <v>144.00000000000003</v>
      </c>
      <c r="X594" s="147" t="e">
        <f>U594/#REF!</f>
        <v>#REF!</v>
      </c>
      <c r="Y594" s="147" t="e">
        <f>#REF!/R594</f>
        <v>#REF!</v>
      </c>
      <c r="Z594" s="147">
        <f t="shared" ref="Z594:Z613" si="479">W594/T594</f>
        <v>1</v>
      </c>
      <c r="AA594" s="147"/>
      <c r="AB594" s="147"/>
      <c r="AC594" s="147"/>
    </row>
    <row r="595" spans="1:29" s="96" customFormat="1" ht="31.5">
      <c r="A595" s="92"/>
      <c r="B595" s="450" t="s">
        <v>1164</v>
      </c>
      <c r="C595" s="448">
        <v>1</v>
      </c>
      <c r="D595" s="448">
        <v>1</v>
      </c>
      <c r="E595" s="448">
        <v>1</v>
      </c>
      <c r="F595" s="448">
        <v>1</v>
      </c>
      <c r="G595" s="453" t="s">
        <v>1165</v>
      </c>
      <c r="H595" s="453" t="s">
        <v>1165</v>
      </c>
      <c r="I595" s="148"/>
      <c r="J595" s="148"/>
      <c r="K595" s="148">
        <v>24</v>
      </c>
      <c r="L595" s="148" t="s">
        <v>996</v>
      </c>
      <c r="M595" s="148">
        <v>24</v>
      </c>
      <c r="N595" s="148" t="s">
        <v>996</v>
      </c>
      <c r="O595" s="148">
        <v>24</v>
      </c>
      <c r="P595" s="148" t="s">
        <v>996</v>
      </c>
      <c r="Q595" s="136">
        <v>30</v>
      </c>
      <c r="R595" s="146">
        <f t="shared" si="473"/>
        <v>1152.0000000000002</v>
      </c>
      <c r="S595" s="146">
        <f t="shared" si="474"/>
        <v>1152.0000000000002</v>
      </c>
      <c r="T595" s="146">
        <f t="shared" si="475"/>
        <v>1152.0000000000002</v>
      </c>
      <c r="U595" s="145">
        <f t="shared" si="476"/>
        <v>0</v>
      </c>
      <c r="V595" s="146">
        <f t="shared" si="477"/>
        <v>1152.0000000000002</v>
      </c>
      <c r="W595" s="146">
        <f t="shared" si="478"/>
        <v>1152.0000000000002</v>
      </c>
      <c r="X595" s="147" t="e">
        <f>U595/#REF!</f>
        <v>#REF!</v>
      </c>
      <c r="Y595" s="147" t="e">
        <f>#REF!/R595</f>
        <v>#REF!</v>
      </c>
      <c r="Z595" s="147">
        <f t="shared" si="479"/>
        <v>1</v>
      </c>
      <c r="AA595" s="147"/>
      <c r="AB595" s="147"/>
      <c r="AC595" s="147"/>
    </row>
    <row r="596" spans="1:29" s="96" customFormat="1" ht="15.75">
      <c r="A596" s="92"/>
      <c r="B596" s="450" t="s">
        <v>1145</v>
      </c>
      <c r="C596" s="448">
        <v>1</v>
      </c>
      <c r="D596" s="448">
        <v>1</v>
      </c>
      <c r="E596" s="448">
        <v>1</v>
      </c>
      <c r="F596" s="448">
        <v>1</v>
      </c>
      <c r="G596" s="449" t="s">
        <v>1146</v>
      </c>
      <c r="H596" s="449" t="s">
        <v>1146</v>
      </c>
      <c r="I596" s="148"/>
      <c r="J596" s="148"/>
      <c r="K596" s="148">
        <v>24</v>
      </c>
      <c r="L596" s="148" t="s">
        <v>996</v>
      </c>
      <c r="M596" s="148">
        <v>24</v>
      </c>
      <c r="N596" s="148" t="s">
        <v>996</v>
      </c>
      <c r="O596" s="148">
        <v>24</v>
      </c>
      <c r="P596" s="148" t="s">
        <v>996</v>
      </c>
      <c r="Q596" s="136">
        <v>30</v>
      </c>
      <c r="R596" s="146">
        <f t="shared" si="473"/>
        <v>6480</v>
      </c>
      <c r="S596" s="146">
        <f t="shared" si="474"/>
        <v>6480</v>
      </c>
      <c r="T596" s="146">
        <f t="shared" si="475"/>
        <v>6480</v>
      </c>
      <c r="U596" s="145">
        <f t="shared" si="476"/>
        <v>0</v>
      </c>
      <c r="V596" s="146">
        <f t="shared" si="477"/>
        <v>6480</v>
      </c>
      <c r="W596" s="146">
        <f t="shared" si="478"/>
        <v>6480</v>
      </c>
      <c r="X596" s="147" t="e">
        <f>U596/#REF!</f>
        <v>#REF!</v>
      </c>
      <c r="Y596" s="147" t="e">
        <f>#REF!/R596</f>
        <v>#REF!</v>
      </c>
      <c r="Z596" s="147">
        <f t="shared" si="479"/>
        <v>1</v>
      </c>
      <c r="AA596" s="147"/>
      <c r="AB596" s="147"/>
      <c r="AC596" s="147"/>
    </row>
    <row r="597" spans="1:29" s="96" customFormat="1" ht="15.75">
      <c r="A597" s="92"/>
      <c r="B597" s="212" t="s">
        <v>1147</v>
      </c>
      <c r="C597" s="448"/>
      <c r="D597" s="448"/>
      <c r="E597" s="448"/>
      <c r="F597" s="448"/>
      <c r="G597" s="449" t="s">
        <v>1148</v>
      </c>
      <c r="H597" s="449" t="s">
        <v>1148</v>
      </c>
      <c r="I597" s="148"/>
      <c r="J597" s="148"/>
      <c r="K597" s="148">
        <v>24</v>
      </c>
      <c r="L597" s="148" t="s">
        <v>996</v>
      </c>
      <c r="M597" s="148">
        <v>24</v>
      </c>
      <c r="N597" s="148" t="s">
        <v>996</v>
      </c>
      <c r="O597" s="148">
        <v>24</v>
      </c>
      <c r="P597" s="148" t="s">
        <v>996</v>
      </c>
      <c r="Q597" s="136">
        <v>30</v>
      </c>
      <c r="R597" s="146">
        <f t="shared" si="473"/>
        <v>0</v>
      </c>
      <c r="S597" s="146">
        <f t="shared" si="474"/>
        <v>0</v>
      </c>
      <c r="T597" s="146">
        <f t="shared" si="475"/>
        <v>0</v>
      </c>
      <c r="U597" s="145">
        <f t="shared" si="476"/>
        <v>0</v>
      </c>
      <c r="V597" s="146">
        <f t="shared" si="477"/>
        <v>0</v>
      </c>
      <c r="W597" s="146">
        <f t="shared" si="478"/>
        <v>0</v>
      </c>
      <c r="X597" s="147" t="e">
        <f>U597/#REF!</f>
        <v>#REF!</v>
      </c>
      <c r="Y597" s="147" t="e">
        <f>#REF!/R597</f>
        <v>#REF!</v>
      </c>
      <c r="Z597" s="147" t="e">
        <f t="shared" si="479"/>
        <v>#DIV/0!</v>
      </c>
      <c r="AA597" s="147"/>
      <c r="AB597" s="147"/>
      <c r="AC597" s="147"/>
    </row>
    <row r="598" spans="1:29" s="96" customFormat="1" ht="15.75">
      <c r="A598" s="92"/>
      <c r="B598" s="212" t="s">
        <v>1168</v>
      </c>
      <c r="C598" s="448">
        <v>1</v>
      </c>
      <c r="D598" s="448">
        <v>1</v>
      </c>
      <c r="E598" s="448">
        <v>1</v>
      </c>
      <c r="F598" s="448">
        <v>1</v>
      </c>
      <c r="G598" s="452">
        <v>1.6</v>
      </c>
      <c r="H598" s="452">
        <v>1.6</v>
      </c>
      <c r="I598" s="148"/>
      <c r="J598" s="148"/>
      <c r="K598" s="148">
        <v>24</v>
      </c>
      <c r="L598" s="148" t="s">
        <v>996</v>
      </c>
      <c r="M598" s="148">
        <v>24</v>
      </c>
      <c r="N598" s="148" t="s">
        <v>996</v>
      </c>
      <c r="O598" s="148">
        <v>24</v>
      </c>
      <c r="P598" s="148" t="s">
        <v>996</v>
      </c>
      <c r="Q598" s="136">
        <v>30</v>
      </c>
      <c r="R598" s="146">
        <f t="shared" si="473"/>
        <v>1152.0000000000002</v>
      </c>
      <c r="S598" s="146">
        <f t="shared" si="474"/>
        <v>1152.0000000000002</v>
      </c>
      <c r="T598" s="146">
        <f t="shared" si="475"/>
        <v>1152.0000000000002</v>
      </c>
      <c r="U598" s="145">
        <f t="shared" si="476"/>
        <v>0</v>
      </c>
      <c r="V598" s="146">
        <f t="shared" si="477"/>
        <v>1152.0000000000002</v>
      </c>
      <c r="W598" s="146">
        <f t="shared" si="478"/>
        <v>1152.0000000000002</v>
      </c>
      <c r="X598" s="147" t="e">
        <f>U598/#REF!</f>
        <v>#REF!</v>
      </c>
      <c r="Y598" s="147" t="e">
        <f>#REF!/R598</f>
        <v>#REF!</v>
      </c>
      <c r="Z598" s="147">
        <f t="shared" si="479"/>
        <v>1</v>
      </c>
      <c r="AA598" s="147"/>
      <c r="AB598" s="147"/>
      <c r="AC598" s="147"/>
    </row>
    <row r="599" spans="1:29" s="96" customFormat="1" ht="15.75">
      <c r="A599" s="92"/>
      <c r="B599" s="212" t="s">
        <v>1149</v>
      </c>
      <c r="C599" s="448">
        <v>2</v>
      </c>
      <c r="D599" s="448">
        <v>2</v>
      </c>
      <c r="E599" s="448">
        <v>2</v>
      </c>
      <c r="F599" s="448">
        <v>2</v>
      </c>
      <c r="G599" s="449" t="s">
        <v>1150</v>
      </c>
      <c r="H599" s="449" t="s">
        <v>1150</v>
      </c>
      <c r="I599" s="148"/>
      <c r="J599" s="148"/>
      <c r="K599" s="148">
        <v>24</v>
      </c>
      <c r="L599" s="148" t="s">
        <v>996</v>
      </c>
      <c r="M599" s="148">
        <v>24</v>
      </c>
      <c r="N599" s="148" t="s">
        <v>996</v>
      </c>
      <c r="O599" s="148">
        <v>24</v>
      </c>
      <c r="P599" s="148" t="s">
        <v>996</v>
      </c>
      <c r="Q599" s="136">
        <v>30</v>
      </c>
      <c r="R599" s="146">
        <f t="shared" si="473"/>
        <v>3455.9999999999995</v>
      </c>
      <c r="S599" s="146">
        <f t="shared" si="474"/>
        <v>3455.9999999999995</v>
      </c>
      <c r="T599" s="146">
        <f t="shared" si="475"/>
        <v>3455.9999999999995</v>
      </c>
      <c r="U599" s="145">
        <f t="shared" si="476"/>
        <v>0</v>
      </c>
      <c r="V599" s="146">
        <f t="shared" si="477"/>
        <v>3455.9999999999995</v>
      </c>
      <c r="W599" s="146">
        <f t="shared" si="478"/>
        <v>3455.9999999999995</v>
      </c>
      <c r="X599" s="147" t="e">
        <f>U599/#REF!</f>
        <v>#REF!</v>
      </c>
      <c r="Y599" s="147" t="e">
        <f>#REF!/R599</f>
        <v>#REF!</v>
      </c>
      <c r="Z599" s="147">
        <f t="shared" si="479"/>
        <v>1</v>
      </c>
      <c r="AA599" s="147"/>
      <c r="AB599" s="147"/>
      <c r="AC599" s="147"/>
    </row>
    <row r="600" spans="1:29" s="96" customFormat="1" ht="15.75">
      <c r="A600" s="92"/>
      <c r="B600" s="212" t="s">
        <v>1151</v>
      </c>
      <c r="C600" s="448">
        <v>1</v>
      </c>
      <c r="D600" s="448">
        <v>1</v>
      </c>
      <c r="E600" s="448">
        <v>1</v>
      </c>
      <c r="F600" s="448">
        <v>1</v>
      </c>
      <c r="G600" s="449" t="s">
        <v>1146</v>
      </c>
      <c r="H600" s="449" t="s">
        <v>1146</v>
      </c>
      <c r="I600" s="148"/>
      <c r="J600" s="148"/>
      <c r="K600" s="148">
        <v>24</v>
      </c>
      <c r="L600" s="148" t="s">
        <v>996</v>
      </c>
      <c r="M600" s="148">
        <v>24</v>
      </c>
      <c r="N600" s="148" t="s">
        <v>996</v>
      </c>
      <c r="O600" s="148">
        <v>24</v>
      </c>
      <c r="P600" s="148" t="s">
        <v>996</v>
      </c>
      <c r="Q600" s="136">
        <v>30</v>
      </c>
      <c r="R600" s="146">
        <f t="shared" si="473"/>
        <v>6480</v>
      </c>
      <c r="S600" s="146">
        <f t="shared" si="474"/>
        <v>6480</v>
      </c>
      <c r="T600" s="146">
        <f t="shared" si="475"/>
        <v>6480</v>
      </c>
      <c r="U600" s="145">
        <f t="shared" si="476"/>
        <v>0</v>
      </c>
      <c r="V600" s="146">
        <f t="shared" si="477"/>
        <v>6480</v>
      </c>
      <c r="W600" s="146">
        <f t="shared" si="478"/>
        <v>6480</v>
      </c>
      <c r="X600" s="147" t="e">
        <f>U600/#REF!</f>
        <v>#REF!</v>
      </c>
      <c r="Y600" s="147" t="e">
        <f>#REF!/R600</f>
        <v>#REF!</v>
      </c>
      <c r="Z600" s="147">
        <f t="shared" si="479"/>
        <v>1</v>
      </c>
      <c r="AA600" s="147"/>
      <c r="AB600" s="147"/>
      <c r="AC600" s="147"/>
    </row>
    <row r="601" spans="1:29" s="96" customFormat="1">
      <c r="A601" s="92"/>
      <c r="B601" s="212" t="s">
        <v>671</v>
      </c>
      <c r="C601" s="451">
        <v>1</v>
      </c>
      <c r="D601" s="451">
        <v>1</v>
      </c>
      <c r="E601" s="451">
        <v>1</v>
      </c>
      <c r="F601" s="451">
        <v>1</v>
      </c>
      <c r="G601" s="449" t="s">
        <v>1152</v>
      </c>
      <c r="H601" s="449" t="s">
        <v>1152</v>
      </c>
      <c r="I601" s="148"/>
      <c r="J601" s="148"/>
      <c r="K601" s="148">
        <v>8</v>
      </c>
      <c r="L601" s="148" t="s">
        <v>1120</v>
      </c>
      <c r="M601" s="148">
        <v>8</v>
      </c>
      <c r="N601" s="148" t="s">
        <v>1120</v>
      </c>
      <c r="O601" s="148">
        <v>8</v>
      </c>
      <c r="P601" s="148" t="s">
        <v>1120</v>
      </c>
      <c r="Q601" s="136">
        <v>30</v>
      </c>
      <c r="R601" s="146">
        <f t="shared" si="473"/>
        <v>864</v>
      </c>
      <c r="S601" s="146">
        <f t="shared" si="474"/>
        <v>864</v>
      </c>
      <c r="T601" s="146">
        <f t="shared" si="475"/>
        <v>864</v>
      </c>
      <c r="U601" s="145">
        <f t="shared" si="476"/>
        <v>0</v>
      </c>
      <c r="V601" s="146">
        <f t="shared" si="477"/>
        <v>864</v>
      </c>
      <c r="W601" s="146">
        <f t="shared" si="478"/>
        <v>864</v>
      </c>
      <c r="X601" s="147" t="e">
        <f>U601/#REF!</f>
        <v>#REF!</v>
      </c>
      <c r="Y601" s="147" t="e">
        <f>#REF!/R601</f>
        <v>#REF!</v>
      </c>
      <c r="Z601" s="147">
        <f t="shared" si="479"/>
        <v>1</v>
      </c>
      <c r="AA601" s="147"/>
      <c r="AB601" s="147"/>
      <c r="AC601" s="147"/>
    </row>
    <row r="602" spans="1:29" s="96" customFormat="1">
      <c r="A602" s="92"/>
      <c r="B602" s="212" t="s">
        <v>670</v>
      </c>
      <c r="C602" s="451">
        <v>1</v>
      </c>
      <c r="D602" s="451">
        <v>1</v>
      </c>
      <c r="E602" s="451">
        <v>1</v>
      </c>
      <c r="F602" s="451">
        <v>1</v>
      </c>
      <c r="G602" s="449" t="s">
        <v>1153</v>
      </c>
      <c r="H602" s="449" t="s">
        <v>1153</v>
      </c>
      <c r="I602" s="148"/>
      <c r="J602" s="148"/>
      <c r="K602" s="148">
        <v>8</v>
      </c>
      <c r="L602" s="148" t="s">
        <v>1120</v>
      </c>
      <c r="M602" s="148">
        <v>8</v>
      </c>
      <c r="N602" s="148" t="s">
        <v>1120</v>
      </c>
      <c r="O602" s="148">
        <v>8</v>
      </c>
      <c r="P602" s="148" t="s">
        <v>1120</v>
      </c>
      <c r="Q602" s="136">
        <v>30</v>
      </c>
      <c r="R602" s="146">
        <f t="shared" si="473"/>
        <v>1200</v>
      </c>
      <c r="S602" s="146">
        <f t="shared" si="474"/>
        <v>1200</v>
      </c>
      <c r="T602" s="146">
        <f t="shared" si="475"/>
        <v>1200</v>
      </c>
      <c r="U602" s="145">
        <f t="shared" si="476"/>
        <v>0</v>
      </c>
      <c r="V602" s="146">
        <f t="shared" si="477"/>
        <v>1200</v>
      </c>
      <c r="W602" s="146">
        <f t="shared" si="478"/>
        <v>1200</v>
      </c>
      <c r="X602" s="147" t="e">
        <f>U602/#REF!</f>
        <v>#REF!</v>
      </c>
      <c r="Y602" s="147" t="e">
        <f>#REF!/R602</f>
        <v>#REF!</v>
      </c>
      <c r="Z602" s="147">
        <f t="shared" si="479"/>
        <v>1</v>
      </c>
      <c r="AA602" s="147"/>
      <c r="AB602" s="147"/>
      <c r="AC602" s="147"/>
    </row>
    <row r="603" spans="1:29" s="96" customFormat="1">
      <c r="A603" s="92"/>
      <c r="B603" s="212" t="s">
        <v>1154</v>
      </c>
      <c r="C603" s="451">
        <v>1</v>
      </c>
      <c r="D603" s="451">
        <v>1</v>
      </c>
      <c r="E603" s="451">
        <v>1</v>
      </c>
      <c r="F603" s="451">
        <v>1</v>
      </c>
      <c r="G603" s="449" t="s">
        <v>1155</v>
      </c>
      <c r="H603" s="449" t="s">
        <v>1155</v>
      </c>
      <c r="I603" s="148"/>
      <c r="J603" s="148"/>
      <c r="K603" s="148">
        <v>6</v>
      </c>
      <c r="L603" s="148" t="s">
        <v>1138</v>
      </c>
      <c r="M603" s="148">
        <v>6</v>
      </c>
      <c r="N603" s="148" t="s">
        <v>1138</v>
      </c>
      <c r="O603" s="148">
        <v>6</v>
      </c>
      <c r="P603" s="148" t="s">
        <v>1138</v>
      </c>
      <c r="Q603" s="136">
        <v>30</v>
      </c>
      <c r="R603" s="146">
        <f t="shared" si="473"/>
        <v>149.39999999999998</v>
      </c>
      <c r="S603" s="146">
        <f t="shared" si="474"/>
        <v>149.39999999999998</v>
      </c>
      <c r="T603" s="146">
        <f t="shared" si="475"/>
        <v>149.39999999999998</v>
      </c>
      <c r="U603" s="145">
        <f t="shared" si="476"/>
        <v>0</v>
      </c>
      <c r="V603" s="146">
        <f t="shared" si="477"/>
        <v>149.39999999999998</v>
      </c>
      <c r="W603" s="146">
        <f t="shared" si="478"/>
        <v>149.39999999999998</v>
      </c>
      <c r="X603" s="147" t="e">
        <f>U603/#REF!</f>
        <v>#REF!</v>
      </c>
      <c r="Y603" s="147" t="e">
        <f>#REF!/R603</f>
        <v>#REF!</v>
      </c>
      <c r="Z603" s="147">
        <f t="shared" si="479"/>
        <v>1</v>
      </c>
      <c r="AA603" s="147"/>
      <c r="AB603" s="147"/>
      <c r="AC603" s="147"/>
    </row>
    <row r="604" spans="1:29" s="96" customFormat="1">
      <c r="A604" s="92"/>
      <c r="B604" s="212" t="s">
        <v>1156</v>
      </c>
      <c r="C604" s="451">
        <v>1</v>
      </c>
      <c r="D604" s="451">
        <v>1</v>
      </c>
      <c r="E604" s="451">
        <v>1</v>
      </c>
      <c r="F604" s="451">
        <v>1</v>
      </c>
      <c r="G604" s="452">
        <v>2.5</v>
      </c>
      <c r="H604" s="452">
        <v>2.5</v>
      </c>
      <c r="I604" s="148"/>
      <c r="J604" s="148"/>
      <c r="K604" s="148">
        <v>6</v>
      </c>
      <c r="L604" s="148" t="s">
        <v>1138</v>
      </c>
      <c r="M604" s="148">
        <v>6</v>
      </c>
      <c r="N604" s="148" t="s">
        <v>1138</v>
      </c>
      <c r="O604" s="148">
        <v>6</v>
      </c>
      <c r="P604" s="148" t="s">
        <v>1138</v>
      </c>
      <c r="Q604" s="136">
        <v>30</v>
      </c>
      <c r="R604" s="146">
        <f t="shared" si="473"/>
        <v>450</v>
      </c>
      <c r="S604" s="146">
        <f t="shared" si="474"/>
        <v>450</v>
      </c>
      <c r="T604" s="146">
        <f t="shared" si="475"/>
        <v>450</v>
      </c>
      <c r="U604" s="145">
        <f t="shared" si="476"/>
        <v>0</v>
      </c>
      <c r="V604" s="146">
        <f t="shared" si="477"/>
        <v>450</v>
      </c>
      <c r="W604" s="146">
        <f t="shared" si="478"/>
        <v>450</v>
      </c>
      <c r="X604" s="147" t="e">
        <f>U604/#REF!</f>
        <v>#REF!</v>
      </c>
      <c r="Y604" s="147" t="e">
        <f>#REF!/R604</f>
        <v>#REF!</v>
      </c>
      <c r="Z604" s="147">
        <f t="shared" si="479"/>
        <v>1</v>
      </c>
      <c r="AA604" s="147"/>
      <c r="AB604" s="147"/>
      <c r="AC604" s="147"/>
    </row>
    <row r="605" spans="1:29" s="96" customFormat="1">
      <c r="A605" s="92"/>
      <c r="B605" s="212" t="s">
        <v>1157</v>
      </c>
      <c r="C605" s="451">
        <v>2</v>
      </c>
      <c r="D605" s="451">
        <v>2</v>
      </c>
      <c r="E605" s="451">
        <v>2</v>
      </c>
      <c r="F605" s="451">
        <v>2</v>
      </c>
      <c r="G605" s="452">
        <v>0.28499999999999998</v>
      </c>
      <c r="H605" s="452">
        <v>0.28499999999999998</v>
      </c>
      <c r="I605" s="148"/>
      <c r="J605" s="148"/>
      <c r="K605" s="148">
        <v>6</v>
      </c>
      <c r="L605" s="148" t="s">
        <v>1138</v>
      </c>
      <c r="M605" s="148">
        <v>6</v>
      </c>
      <c r="N605" s="148" t="s">
        <v>1138</v>
      </c>
      <c r="O605" s="148">
        <v>6</v>
      </c>
      <c r="P605" s="148" t="s">
        <v>1138</v>
      </c>
      <c r="Q605" s="136">
        <v>30</v>
      </c>
      <c r="R605" s="146">
        <f t="shared" si="473"/>
        <v>102.6</v>
      </c>
      <c r="S605" s="146">
        <f t="shared" si="474"/>
        <v>102.6</v>
      </c>
      <c r="T605" s="146">
        <f t="shared" si="475"/>
        <v>102.6</v>
      </c>
      <c r="U605" s="145">
        <f t="shared" si="476"/>
        <v>0</v>
      </c>
      <c r="V605" s="146">
        <f t="shared" si="477"/>
        <v>102.6</v>
      </c>
      <c r="W605" s="146">
        <f t="shared" si="478"/>
        <v>102.6</v>
      </c>
      <c r="X605" s="147" t="e">
        <f>U605/#REF!</f>
        <v>#REF!</v>
      </c>
      <c r="Y605" s="147" t="e">
        <f>#REF!/R605</f>
        <v>#REF!</v>
      </c>
      <c r="Z605" s="147">
        <f t="shared" si="479"/>
        <v>1</v>
      </c>
      <c r="AA605" s="147"/>
      <c r="AB605" s="147"/>
      <c r="AC605" s="147"/>
    </row>
    <row r="606" spans="1:29" s="96" customFormat="1">
      <c r="A606" s="92"/>
      <c r="B606" s="212" t="s">
        <v>1158</v>
      </c>
      <c r="C606" s="451">
        <v>5</v>
      </c>
      <c r="D606" s="451">
        <v>5</v>
      </c>
      <c r="E606" s="451">
        <v>5</v>
      </c>
      <c r="F606" s="451">
        <v>5</v>
      </c>
      <c r="G606" s="452">
        <v>0.28499999999999998</v>
      </c>
      <c r="H606" s="452">
        <v>0.28499999999999998</v>
      </c>
      <c r="I606" s="148"/>
      <c r="J606" s="148"/>
      <c r="K606" s="148">
        <v>6</v>
      </c>
      <c r="L606" s="148" t="s">
        <v>1138</v>
      </c>
      <c r="M606" s="148">
        <v>6</v>
      </c>
      <c r="N606" s="148" t="s">
        <v>1138</v>
      </c>
      <c r="O606" s="148">
        <v>6</v>
      </c>
      <c r="P606" s="148" t="s">
        <v>1138</v>
      </c>
      <c r="Q606" s="136">
        <v>30</v>
      </c>
      <c r="R606" s="146">
        <f t="shared" si="473"/>
        <v>256.49999999999994</v>
      </c>
      <c r="S606" s="146">
        <f t="shared" si="474"/>
        <v>256.49999999999994</v>
      </c>
      <c r="T606" s="146">
        <f t="shared" si="475"/>
        <v>256.49999999999994</v>
      </c>
      <c r="U606" s="145">
        <f t="shared" si="476"/>
        <v>0</v>
      </c>
      <c r="V606" s="146">
        <f t="shared" si="477"/>
        <v>256.49999999999994</v>
      </c>
      <c r="W606" s="146">
        <f t="shared" si="478"/>
        <v>256.49999999999994</v>
      </c>
      <c r="X606" s="147" t="e">
        <f>U606/#REF!</f>
        <v>#REF!</v>
      </c>
      <c r="Y606" s="147" t="e">
        <f>#REF!/R606</f>
        <v>#REF!</v>
      </c>
      <c r="Z606" s="147">
        <f t="shared" si="479"/>
        <v>1</v>
      </c>
      <c r="AA606" s="147"/>
      <c r="AB606" s="147"/>
      <c r="AC606" s="147"/>
    </row>
    <row r="607" spans="1:29" s="96" customFormat="1">
      <c r="A607" s="92"/>
      <c r="B607" s="212" t="s">
        <v>1159</v>
      </c>
      <c r="C607" s="451">
        <v>2</v>
      </c>
      <c r="D607" s="451">
        <v>2</v>
      </c>
      <c r="E607" s="451">
        <v>2</v>
      </c>
      <c r="F607" s="451">
        <v>2</v>
      </c>
      <c r="G607" s="451"/>
      <c r="H607" s="451"/>
      <c r="I607" s="148"/>
      <c r="J607" s="148"/>
      <c r="K607" s="148">
        <v>6</v>
      </c>
      <c r="L607" s="148" t="s">
        <v>1138</v>
      </c>
      <c r="M607" s="148">
        <v>6</v>
      </c>
      <c r="N607" s="148" t="s">
        <v>1138</v>
      </c>
      <c r="O607" s="148">
        <v>6</v>
      </c>
      <c r="P607" s="148" t="s">
        <v>1138</v>
      </c>
      <c r="Q607" s="136">
        <v>30</v>
      </c>
      <c r="R607" s="146">
        <f t="shared" si="473"/>
        <v>0</v>
      </c>
      <c r="S607" s="146">
        <f t="shared" si="474"/>
        <v>0</v>
      </c>
      <c r="T607" s="146">
        <f t="shared" si="475"/>
        <v>0</v>
      </c>
      <c r="U607" s="145">
        <f t="shared" si="476"/>
        <v>0</v>
      </c>
      <c r="V607" s="146">
        <f t="shared" si="477"/>
        <v>0</v>
      </c>
      <c r="W607" s="146">
        <f t="shared" si="478"/>
        <v>0</v>
      </c>
      <c r="X607" s="147" t="e">
        <f>U607/#REF!</f>
        <v>#REF!</v>
      </c>
      <c r="Y607" s="147" t="e">
        <f>#REF!/R607</f>
        <v>#REF!</v>
      </c>
      <c r="Z607" s="147" t="e">
        <f t="shared" si="479"/>
        <v>#DIV/0!</v>
      </c>
      <c r="AA607" s="147"/>
      <c r="AB607" s="147"/>
      <c r="AC607" s="147"/>
    </row>
    <row r="608" spans="1:29" s="96" customFormat="1">
      <c r="A608" s="92"/>
      <c r="B608" s="212" t="s">
        <v>1160</v>
      </c>
      <c r="C608" s="451"/>
      <c r="D608" s="451"/>
      <c r="E608" s="451"/>
      <c r="F608" s="451"/>
      <c r="G608" s="451"/>
      <c r="H608" s="451"/>
      <c r="I608" s="148"/>
      <c r="J608" s="148"/>
      <c r="K608" s="148">
        <v>24</v>
      </c>
      <c r="L608" s="148" t="s">
        <v>996</v>
      </c>
      <c r="M608" s="148">
        <v>24</v>
      </c>
      <c r="N608" s="148" t="s">
        <v>996</v>
      </c>
      <c r="O608" s="148">
        <v>24</v>
      </c>
      <c r="P608" s="148" t="s">
        <v>996</v>
      </c>
      <c r="Q608" s="136">
        <v>30</v>
      </c>
      <c r="R608" s="146">
        <f t="shared" si="473"/>
        <v>0</v>
      </c>
      <c r="S608" s="146">
        <f t="shared" si="474"/>
        <v>0</v>
      </c>
      <c r="T608" s="146">
        <f t="shared" si="475"/>
        <v>0</v>
      </c>
      <c r="U608" s="145">
        <f t="shared" si="476"/>
        <v>0</v>
      </c>
      <c r="V608" s="146">
        <f t="shared" si="477"/>
        <v>0</v>
      </c>
      <c r="W608" s="146">
        <f t="shared" si="478"/>
        <v>0</v>
      </c>
      <c r="X608" s="147" t="e">
        <f>U608/#REF!</f>
        <v>#REF!</v>
      </c>
      <c r="Y608" s="147" t="e">
        <f>#REF!/R608</f>
        <v>#REF!</v>
      </c>
      <c r="Z608" s="147" t="e">
        <f t="shared" si="479"/>
        <v>#DIV/0!</v>
      </c>
      <c r="AA608" s="147"/>
      <c r="AB608" s="147"/>
      <c r="AC608" s="147"/>
    </row>
    <row r="609" spans="1:29" s="96" customFormat="1">
      <c r="A609" s="213"/>
      <c r="B609" s="443" t="s">
        <v>1174</v>
      </c>
      <c r="C609" s="454"/>
      <c r="D609" s="454"/>
      <c r="E609" s="454"/>
      <c r="F609" s="454"/>
      <c r="G609" s="455"/>
      <c r="H609" s="455"/>
      <c r="I609" s="214"/>
      <c r="J609" s="214"/>
      <c r="K609" s="214"/>
      <c r="L609" s="214"/>
      <c r="M609" s="214"/>
      <c r="N609" s="214"/>
      <c r="O609" s="214"/>
      <c r="P609" s="214"/>
      <c r="Q609" s="136"/>
      <c r="R609" s="146">
        <f t="shared" si="473"/>
        <v>0</v>
      </c>
      <c r="S609" s="146">
        <f t="shared" si="474"/>
        <v>0</v>
      </c>
      <c r="T609" s="146">
        <f t="shared" si="475"/>
        <v>0</v>
      </c>
      <c r="U609" s="145">
        <f t="shared" si="476"/>
        <v>0</v>
      </c>
      <c r="V609" s="146">
        <f t="shared" si="477"/>
        <v>0</v>
      </c>
      <c r="W609" s="146">
        <f t="shared" si="478"/>
        <v>0</v>
      </c>
      <c r="X609" s="147" t="e">
        <f>U609/#REF!</f>
        <v>#REF!</v>
      </c>
      <c r="Y609" s="147" t="e">
        <f>#REF!/R609</f>
        <v>#REF!</v>
      </c>
      <c r="Z609" s="147" t="e">
        <f t="shared" si="479"/>
        <v>#DIV/0!</v>
      </c>
      <c r="AA609" s="147"/>
      <c r="AB609" s="147"/>
      <c r="AC609" s="147"/>
    </row>
    <row r="610" spans="1:29" s="96" customFormat="1" ht="30">
      <c r="A610" s="213"/>
      <c r="B610" s="212" t="s">
        <v>1141</v>
      </c>
      <c r="C610" s="448">
        <v>1</v>
      </c>
      <c r="D610" s="448">
        <v>1</v>
      </c>
      <c r="E610" s="448">
        <v>1</v>
      </c>
      <c r="F610" s="448">
        <v>1</v>
      </c>
      <c r="G610" s="449" t="s">
        <v>1142</v>
      </c>
      <c r="H610" s="449" t="s">
        <v>1142</v>
      </c>
      <c r="I610" s="148"/>
      <c r="J610" s="148"/>
      <c r="K610" s="148">
        <v>24</v>
      </c>
      <c r="L610" s="148" t="s">
        <v>996</v>
      </c>
      <c r="M610" s="148">
        <v>24</v>
      </c>
      <c r="N610" s="148" t="s">
        <v>996</v>
      </c>
      <c r="O610" s="148">
        <v>24</v>
      </c>
      <c r="P610" s="148" t="s">
        <v>996</v>
      </c>
      <c r="Q610" s="136">
        <v>30</v>
      </c>
      <c r="R610" s="146">
        <f t="shared" si="473"/>
        <v>2422.8000000000002</v>
      </c>
      <c r="S610" s="146">
        <f t="shared" si="474"/>
        <v>2422.8000000000002</v>
      </c>
      <c r="T610" s="146">
        <f t="shared" si="475"/>
        <v>2422.8000000000002</v>
      </c>
      <c r="U610" s="145">
        <f t="shared" si="476"/>
        <v>0</v>
      </c>
      <c r="V610" s="146">
        <f t="shared" si="477"/>
        <v>2422.8000000000002</v>
      </c>
      <c r="W610" s="146">
        <f t="shared" si="478"/>
        <v>2422.8000000000002</v>
      </c>
      <c r="X610" s="147" t="e">
        <f>U610/#REF!</f>
        <v>#REF!</v>
      </c>
      <c r="Y610" s="147" t="e">
        <f>#REF!/R610</f>
        <v>#REF!</v>
      </c>
      <c r="Z610" s="147">
        <f t="shared" si="479"/>
        <v>1</v>
      </c>
      <c r="AA610" s="147"/>
      <c r="AB610" s="147"/>
      <c r="AC610" s="147"/>
    </row>
    <row r="611" spans="1:29" s="96" customFormat="1" ht="30">
      <c r="A611" s="213"/>
      <c r="B611" s="212" t="s">
        <v>1143</v>
      </c>
      <c r="C611" s="448">
        <v>1</v>
      </c>
      <c r="D611" s="448">
        <v>1</v>
      </c>
      <c r="E611" s="448">
        <v>1</v>
      </c>
      <c r="F611" s="448">
        <v>1</v>
      </c>
      <c r="G611" s="449" t="s">
        <v>1144</v>
      </c>
      <c r="H611" s="449" t="s">
        <v>1144</v>
      </c>
      <c r="I611" s="148"/>
      <c r="J611" s="148"/>
      <c r="K611" s="148">
        <v>24</v>
      </c>
      <c r="L611" s="148" t="s">
        <v>996</v>
      </c>
      <c r="M611" s="148">
        <v>24</v>
      </c>
      <c r="N611" s="148" t="s">
        <v>996</v>
      </c>
      <c r="O611" s="148">
        <v>24</v>
      </c>
      <c r="P611" s="148" t="s">
        <v>996</v>
      </c>
      <c r="Q611" s="136">
        <v>30</v>
      </c>
      <c r="R611" s="146">
        <f t="shared" si="473"/>
        <v>144.00000000000003</v>
      </c>
      <c r="S611" s="146">
        <f t="shared" si="474"/>
        <v>144.00000000000003</v>
      </c>
      <c r="T611" s="146">
        <f t="shared" si="475"/>
        <v>144.00000000000003</v>
      </c>
      <c r="U611" s="145">
        <f t="shared" si="476"/>
        <v>0</v>
      </c>
      <c r="V611" s="146">
        <f t="shared" si="477"/>
        <v>144.00000000000003</v>
      </c>
      <c r="W611" s="146">
        <f t="shared" si="478"/>
        <v>144.00000000000003</v>
      </c>
      <c r="X611" s="147" t="e">
        <f>U611/#REF!</f>
        <v>#REF!</v>
      </c>
      <c r="Y611" s="147" t="e">
        <f>#REF!/R611</f>
        <v>#REF!</v>
      </c>
      <c r="Z611" s="147">
        <f t="shared" si="479"/>
        <v>1</v>
      </c>
      <c r="AA611" s="147"/>
      <c r="AB611" s="147"/>
      <c r="AC611" s="147"/>
    </row>
    <row r="612" spans="1:29" s="96" customFormat="1" ht="31.5">
      <c r="A612" s="213"/>
      <c r="B612" s="450" t="s">
        <v>1164</v>
      </c>
      <c r="C612" s="448">
        <v>1</v>
      </c>
      <c r="D612" s="448">
        <v>1</v>
      </c>
      <c r="E612" s="448">
        <v>1</v>
      </c>
      <c r="F612" s="448">
        <v>1</v>
      </c>
      <c r="G612" s="453" t="s">
        <v>1165</v>
      </c>
      <c r="H612" s="453" t="s">
        <v>1165</v>
      </c>
      <c r="I612" s="148"/>
      <c r="J612" s="148"/>
      <c r="K612" s="148">
        <v>24</v>
      </c>
      <c r="L612" s="148" t="s">
        <v>996</v>
      </c>
      <c r="M612" s="148">
        <v>24</v>
      </c>
      <c r="N612" s="148" t="s">
        <v>996</v>
      </c>
      <c r="O612" s="148">
        <v>24</v>
      </c>
      <c r="P612" s="148" t="s">
        <v>996</v>
      </c>
      <c r="Q612" s="136">
        <v>30</v>
      </c>
      <c r="R612" s="146">
        <f t="shared" si="473"/>
        <v>1152.0000000000002</v>
      </c>
      <c r="S612" s="146">
        <f t="shared" si="474"/>
        <v>1152.0000000000002</v>
      </c>
      <c r="T612" s="146">
        <f t="shared" si="475"/>
        <v>1152.0000000000002</v>
      </c>
      <c r="U612" s="145">
        <f t="shared" si="476"/>
        <v>0</v>
      </c>
      <c r="V612" s="146">
        <f t="shared" si="477"/>
        <v>1152.0000000000002</v>
      </c>
      <c r="W612" s="146">
        <f t="shared" si="478"/>
        <v>1152.0000000000002</v>
      </c>
      <c r="X612" s="147" t="e">
        <f>U612/#REF!</f>
        <v>#REF!</v>
      </c>
      <c r="Y612" s="147" t="e">
        <f>#REF!/R612</f>
        <v>#REF!</v>
      </c>
      <c r="Z612" s="147">
        <f t="shared" si="479"/>
        <v>1</v>
      </c>
      <c r="AA612" s="147"/>
      <c r="AB612" s="147"/>
      <c r="AC612" s="147"/>
    </row>
    <row r="613" spans="1:29" s="96" customFormat="1">
      <c r="A613" s="213"/>
      <c r="B613" s="212" t="s">
        <v>402</v>
      </c>
      <c r="C613" s="451">
        <v>1</v>
      </c>
      <c r="D613" s="451">
        <v>1</v>
      </c>
      <c r="E613" s="451">
        <v>1</v>
      </c>
      <c r="F613" s="451">
        <v>1</v>
      </c>
      <c r="G613" s="452">
        <v>0.72</v>
      </c>
      <c r="H613" s="452">
        <v>0.72</v>
      </c>
      <c r="I613" s="148">
        <v>24</v>
      </c>
      <c r="J613" s="148" t="s">
        <v>996</v>
      </c>
      <c r="K613" s="148">
        <v>24</v>
      </c>
      <c r="L613" s="148" t="s">
        <v>996</v>
      </c>
      <c r="M613" s="148">
        <v>24</v>
      </c>
      <c r="N613" s="148" t="s">
        <v>996</v>
      </c>
      <c r="O613" s="148">
        <v>24</v>
      </c>
      <c r="P613" s="148" t="s">
        <v>996</v>
      </c>
      <c r="Q613" s="136">
        <v>30</v>
      </c>
      <c r="R613" s="146">
        <f t="shared" si="473"/>
        <v>518.40000000000009</v>
      </c>
      <c r="S613" s="146">
        <f t="shared" si="474"/>
        <v>518.40000000000009</v>
      </c>
      <c r="T613" s="146">
        <f t="shared" si="475"/>
        <v>518.40000000000009</v>
      </c>
      <c r="U613" s="145">
        <f t="shared" si="476"/>
        <v>518.40000000000009</v>
      </c>
      <c r="V613" s="146">
        <f t="shared" si="477"/>
        <v>518.40000000000009</v>
      </c>
      <c r="W613" s="146">
        <f t="shared" si="478"/>
        <v>518.40000000000009</v>
      </c>
      <c r="X613" s="147" t="e">
        <f>U613/#REF!</f>
        <v>#REF!</v>
      </c>
      <c r="Y613" s="147" t="e">
        <f>#REF!/R613</f>
        <v>#REF!</v>
      </c>
      <c r="Z613" s="147">
        <f t="shared" si="479"/>
        <v>1</v>
      </c>
      <c r="AA613" s="147"/>
      <c r="AB613" s="147"/>
      <c r="AC613" s="147"/>
    </row>
    <row r="614" spans="1:29" s="474" customFormat="1" ht="38.450000000000003" customHeight="1">
      <c r="A614" s="475" t="s">
        <v>408</v>
      </c>
      <c r="B614" s="622" t="s">
        <v>1705</v>
      </c>
      <c r="C614" s="543"/>
      <c r="D614" s="543"/>
      <c r="E614" s="543"/>
      <c r="F614" s="543"/>
      <c r="G614" s="541"/>
      <c r="H614" s="541"/>
      <c r="I614" s="472"/>
      <c r="J614" s="472"/>
      <c r="K614" s="472"/>
      <c r="L614" s="472"/>
      <c r="M614" s="472"/>
      <c r="N614" s="472"/>
      <c r="O614" s="472"/>
      <c r="P614" s="472"/>
      <c r="Q614" s="542"/>
      <c r="R614" s="569"/>
      <c r="S614" s="569"/>
      <c r="T614" s="569"/>
      <c r="U614" s="568"/>
      <c r="V614" s="569"/>
      <c r="W614" s="569"/>
      <c r="X614" s="623"/>
      <c r="Y614" s="623"/>
      <c r="Z614" s="623"/>
      <c r="AA614" s="623"/>
      <c r="AB614" s="623"/>
      <c r="AC614" s="623"/>
    </row>
    <row r="615" spans="1:29" s="474" customFormat="1">
      <c r="A615" s="475"/>
      <c r="B615" s="622" t="s">
        <v>1706</v>
      </c>
      <c r="C615" s="543"/>
      <c r="D615" s="543"/>
      <c r="E615" s="543"/>
      <c r="F615" s="543"/>
      <c r="G615" s="541"/>
      <c r="H615" s="541"/>
      <c r="I615" s="472"/>
      <c r="J615" s="472"/>
      <c r="K615" s="472"/>
      <c r="L615" s="472"/>
      <c r="M615" s="472"/>
      <c r="N615" s="472"/>
      <c r="O615" s="472"/>
      <c r="P615" s="472"/>
      <c r="Q615" s="542"/>
      <c r="R615" s="569"/>
      <c r="S615" s="569"/>
      <c r="T615" s="569"/>
      <c r="U615" s="568"/>
      <c r="V615" s="569"/>
      <c r="W615" s="569"/>
      <c r="X615" s="623"/>
      <c r="Y615" s="623"/>
      <c r="Z615" s="623"/>
      <c r="AA615" s="623"/>
      <c r="AB615" s="623"/>
      <c r="AC615" s="623"/>
    </row>
    <row r="616" spans="1:29" s="474" customFormat="1">
      <c r="A616" s="475"/>
      <c r="B616" s="563" t="s">
        <v>1707</v>
      </c>
      <c r="C616" s="543">
        <v>1</v>
      </c>
      <c r="D616" s="543">
        <v>1</v>
      </c>
      <c r="E616" s="543">
        <v>1</v>
      </c>
      <c r="F616" s="543">
        <v>1</v>
      </c>
      <c r="G616" s="541" t="s">
        <v>1708</v>
      </c>
      <c r="H616" s="541" t="s">
        <v>1708</v>
      </c>
      <c r="I616" s="472">
        <v>11</v>
      </c>
      <c r="J616" s="472" t="s">
        <v>1797</v>
      </c>
      <c r="K616" s="472">
        <v>11</v>
      </c>
      <c r="L616" s="472" t="s">
        <v>1797</v>
      </c>
      <c r="M616" s="472">
        <v>11</v>
      </c>
      <c r="N616" s="472" t="s">
        <v>1797</v>
      </c>
      <c r="O616" s="472">
        <v>11</v>
      </c>
      <c r="P616" s="472" t="s">
        <v>1797</v>
      </c>
      <c r="Q616" s="542">
        <v>30</v>
      </c>
      <c r="R616" s="569"/>
      <c r="S616" s="569"/>
      <c r="T616" s="569"/>
      <c r="U616" s="568"/>
      <c r="V616" s="569"/>
      <c r="W616" s="569"/>
      <c r="X616" s="623"/>
      <c r="Y616" s="623"/>
      <c r="Z616" s="623"/>
      <c r="AA616" s="623"/>
      <c r="AB616" s="623"/>
      <c r="AC616" s="623"/>
    </row>
    <row r="617" spans="1:29" s="474" customFormat="1">
      <c r="A617" s="475"/>
      <c r="B617" s="563" t="s">
        <v>1709</v>
      </c>
      <c r="C617" s="543">
        <v>1</v>
      </c>
      <c r="D617" s="543">
        <v>1</v>
      </c>
      <c r="E617" s="543">
        <v>1</v>
      </c>
      <c r="F617" s="543">
        <v>1</v>
      </c>
      <c r="G617" s="541" t="s">
        <v>1708</v>
      </c>
      <c r="H617" s="541" t="s">
        <v>1708</v>
      </c>
      <c r="I617" s="472">
        <v>24</v>
      </c>
      <c r="J617" s="472" t="s">
        <v>996</v>
      </c>
      <c r="K617" s="472">
        <v>24</v>
      </c>
      <c r="L617" s="472" t="s">
        <v>996</v>
      </c>
      <c r="M617" s="472">
        <v>24</v>
      </c>
      <c r="N617" s="472" t="s">
        <v>996</v>
      </c>
      <c r="O617" s="472">
        <v>24</v>
      </c>
      <c r="P617" s="472" t="s">
        <v>996</v>
      </c>
      <c r="Q617" s="542">
        <v>30</v>
      </c>
      <c r="R617" s="569"/>
      <c r="S617" s="569"/>
      <c r="T617" s="569"/>
      <c r="U617" s="568"/>
      <c r="V617" s="569"/>
      <c r="W617" s="569"/>
      <c r="X617" s="623"/>
      <c r="Y617" s="623"/>
      <c r="Z617" s="623"/>
      <c r="AA617" s="623"/>
      <c r="AB617" s="623"/>
      <c r="AC617" s="623"/>
    </row>
    <row r="618" spans="1:29" s="474" customFormat="1">
      <c r="A618" s="475"/>
      <c r="B618" s="563" t="s">
        <v>1710</v>
      </c>
      <c r="C618" s="543">
        <v>1</v>
      </c>
      <c r="D618" s="543">
        <v>1</v>
      </c>
      <c r="E618" s="543">
        <v>1</v>
      </c>
      <c r="F618" s="543">
        <v>1</v>
      </c>
      <c r="G618" s="541">
        <v>0.3</v>
      </c>
      <c r="H618" s="541">
        <v>0.3</v>
      </c>
      <c r="I618" s="472">
        <v>24</v>
      </c>
      <c r="J618" s="472" t="s">
        <v>996</v>
      </c>
      <c r="K618" s="472">
        <v>24</v>
      </c>
      <c r="L618" s="472" t="s">
        <v>996</v>
      </c>
      <c r="M618" s="472">
        <v>24</v>
      </c>
      <c r="N618" s="472" t="s">
        <v>996</v>
      </c>
      <c r="O618" s="472">
        <v>24</v>
      </c>
      <c r="P618" s="472" t="s">
        <v>996</v>
      </c>
      <c r="Q618" s="542">
        <v>30</v>
      </c>
      <c r="R618" s="569"/>
      <c r="S618" s="569"/>
      <c r="T618" s="569"/>
      <c r="U618" s="568"/>
      <c r="V618" s="569"/>
      <c r="W618" s="569"/>
      <c r="X618" s="623"/>
      <c r="Y618" s="623"/>
      <c r="Z618" s="623"/>
      <c r="AA618" s="623"/>
      <c r="AB618" s="623"/>
      <c r="AC618" s="623"/>
    </row>
    <row r="619" spans="1:29" s="474" customFormat="1">
      <c r="A619" s="475"/>
      <c r="B619" s="563" t="s">
        <v>1711</v>
      </c>
      <c r="C619" s="543">
        <v>1</v>
      </c>
      <c r="D619" s="543">
        <v>1</v>
      </c>
      <c r="E619" s="543">
        <v>1</v>
      </c>
      <c r="F619" s="543">
        <v>1</v>
      </c>
      <c r="G619" s="541">
        <v>0.1</v>
      </c>
      <c r="H619" s="541">
        <v>0.1</v>
      </c>
      <c r="I619" s="472">
        <v>11</v>
      </c>
      <c r="J619" s="472" t="s">
        <v>1797</v>
      </c>
      <c r="K619" s="472">
        <v>11</v>
      </c>
      <c r="L619" s="472" t="s">
        <v>1797</v>
      </c>
      <c r="M619" s="472">
        <v>11</v>
      </c>
      <c r="N619" s="472" t="s">
        <v>1797</v>
      </c>
      <c r="O619" s="472">
        <v>11</v>
      </c>
      <c r="P619" s="472" t="s">
        <v>1797</v>
      </c>
      <c r="Q619" s="542">
        <v>30</v>
      </c>
      <c r="R619" s="569"/>
      <c r="S619" s="569"/>
      <c r="T619" s="569"/>
      <c r="U619" s="568"/>
      <c r="V619" s="569"/>
      <c r="W619" s="569"/>
      <c r="X619" s="623"/>
      <c r="Y619" s="623"/>
      <c r="Z619" s="623"/>
      <c r="AA619" s="623"/>
      <c r="AB619" s="623"/>
      <c r="AC619" s="623"/>
    </row>
    <row r="620" spans="1:29" s="474" customFormat="1">
      <c r="A620" s="475"/>
      <c r="B620" s="563" t="s">
        <v>698</v>
      </c>
      <c r="C620" s="543">
        <v>1</v>
      </c>
      <c r="D620" s="543">
        <v>1</v>
      </c>
      <c r="E620" s="543">
        <v>1</v>
      </c>
      <c r="F620" s="543">
        <v>1</v>
      </c>
      <c r="G620" s="541" t="s">
        <v>864</v>
      </c>
      <c r="H620" s="541" t="s">
        <v>864</v>
      </c>
      <c r="I620" s="472">
        <v>11</v>
      </c>
      <c r="J620" s="472" t="s">
        <v>1797</v>
      </c>
      <c r="K620" s="472">
        <v>11</v>
      </c>
      <c r="L620" s="472" t="s">
        <v>1797</v>
      </c>
      <c r="M620" s="472">
        <v>11</v>
      </c>
      <c r="N620" s="472" t="s">
        <v>1797</v>
      </c>
      <c r="O620" s="472">
        <v>11</v>
      </c>
      <c r="P620" s="472" t="s">
        <v>1797</v>
      </c>
      <c r="Q620" s="542">
        <v>30</v>
      </c>
      <c r="R620" s="569"/>
      <c r="S620" s="569"/>
      <c r="T620" s="569"/>
      <c r="U620" s="568"/>
      <c r="V620" s="569"/>
      <c r="W620" s="569"/>
      <c r="X620" s="623"/>
      <c r="Y620" s="623"/>
      <c r="Z620" s="623"/>
      <c r="AA620" s="623"/>
      <c r="AB620" s="623"/>
      <c r="AC620" s="623"/>
    </row>
    <row r="621" spans="1:29" s="474" customFormat="1">
      <c r="A621" s="475"/>
      <c r="B621" s="622" t="s">
        <v>1712</v>
      </c>
      <c r="C621" s="543"/>
      <c r="D621" s="543"/>
      <c r="E621" s="543"/>
      <c r="F621" s="543"/>
      <c r="G621" s="541"/>
      <c r="H621" s="541"/>
      <c r="I621" s="472"/>
      <c r="J621" s="472"/>
      <c r="K621" s="472"/>
      <c r="L621" s="472"/>
      <c r="M621" s="472"/>
      <c r="N621" s="472"/>
      <c r="O621" s="472"/>
      <c r="P621" s="472"/>
      <c r="Q621" s="542"/>
      <c r="R621" s="569"/>
      <c r="S621" s="569"/>
      <c r="T621" s="569"/>
      <c r="U621" s="568"/>
      <c r="V621" s="569"/>
      <c r="W621" s="569"/>
      <c r="X621" s="623"/>
      <c r="Y621" s="623"/>
      <c r="Z621" s="623"/>
      <c r="AA621" s="623"/>
      <c r="AB621" s="623"/>
      <c r="AC621" s="623"/>
    </row>
    <row r="622" spans="1:29" s="474" customFormat="1">
      <c r="A622" s="475"/>
      <c r="B622" s="563" t="s">
        <v>1713</v>
      </c>
      <c r="C622" s="543">
        <v>1</v>
      </c>
      <c r="D622" s="543">
        <v>1</v>
      </c>
      <c r="E622" s="543">
        <v>1</v>
      </c>
      <c r="F622" s="543">
        <v>1</v>
      </c>
      <c r="G622" s="541">
        <v>5</v>
      </c>
      <c r="H622" s="541">
        <v>5</v>
      </c>
      <c r="I622" s="472">
        <v>11</v>
      </c>
      <c r="J622" s="472" t="s">
        <v>1797</v>
      </c>
      <c r="K622" s="472">
        <v>11</v>
      </c>
      <c r="L622" s="472" t="s">
        <v>1797</v>
      </c>
      <c r="M622" s="472">
        <v>11</v>
      </c>
      <c r="N622" s="472" t="s">
        <v>1797</v>
      </c>
      <c r="O622" s="472">
        <v>11</v>
      </c>
      <c r="P622" s="472" t="s">
        <v>1797</v>
      </c>
      <c r="Q622" s="542">
        <v>30</v>
      </c>
      <c r="R622" s="569"/>
      <c r="S622" s="569"/>
      <c r="T622" s="569"/>
      <c r="U622" s="568"/>
      <c r="V622" s="569"/>
      <c r="W622" s="569"/>
      <c r="X622" s="623"/>
      <c r="Y622" s="623"/>
      <c r="Z622" s="623"/>
      <c r="AA622" s="623"/>
      <c r="AB622" s="623"/>
      <c r="AC622" s="623"/>
    </row>
    <row r="623" spans="1:29" s="474" customFormat="1">
      <c r="A623" s="475"/>
      <c r="B623" s="563" t="s">
        <v>1714</v>
      </c>
      <c r="C623" s="543">
        <v>1</v>
      </c>
      <c r="D623" s="543">
        <v>1</v>
      </c>
      <c r="E623" s="543">
        <v>1</v>
      </c>
      <c r="F623" s="543">
        <v>1</v>
      </c>
      <c r="G623" s="541">
        <v>5</v>
      </c>
      <c r="H623" s="541">
        <v>5</v>
      </c>
      <c r="I623" s="472">
        <v>11</v>
      </c>
      <c r="J623" s="472" t="s">
        <v>1797</v>
      </c>
      <c r="K623" s="472">
        <v>11</v>
      </c>
      <c r="L623" s="472" t="s">
        <v>1797</v>
      </c>
      <c r="M623" s="472">
        <v>11</v>
      </c>
      <c r="N623" s="472" t="s">
        <v>1797</v>
      </c>
      <c r="O623" s="472">
        <v>11</v>
      </c>
      <c r="P623" s="472" t="s">
        <v>1797</v>
      </c>
      <c r="Q623" s="542">
        <v>30</v>
      </c>
      <c r="R623" s="569"/>
      <c r="S623" s="569"/>
      <c r="T623" s="569"/>
      <c r="U623" s="568"/>
      <c r="V623" s="569"/>
      <c r="W623" s="569"/>
      <c r="X623" s="623"/>
      <c r="Y623" s="623"/>
      <c r="Z623" s="623"/>
      <c r="AA623" s="623"/>
      <c r="AB623" s="623"/>
      <c r="AC623" s="623"/>
    </row>
    <row r="624" spans="1:29" s="474" customFormat="1">
      <c r="A624" s="475"/>
      <c r="B624" s="563" t="s">
        <v>698</v>
      </c>
      <c r="C624" s="543">
        <v>1</v>
      </c>
      <c r="D624" s="543">
        <v>1</v>
      </c>
      <c r="E624" s="543">
        <v>1</v>
      </c>
      <c r="F624" s="543">
        <v>1</v>
      </c>
      <c r="G624" s="541" t="s">
        <v>864</v>
      </c>
      <c r="H624" s="541" t="s">
        <v>864</v>
      </c>
      <c r="I624" s="472">
        <v>11</v>
      </c>
      <c r="J624" s="472" t="s">
        <v>1797</v>
      </c>
      <c r="K624" s="472">
        <v>11</v>
      </c>
      <c r="L624" s="472" t="s">
        <v>1797</v>
      </c>
      <c r="M624" s="472">
        <v>11</v>
      </c>
      <c r="N624" s="472" t="s">
        <v>1797</v>
      </c>
      <c r="O624" s="472">
        <v>11</v>
      </c>
      <c r="P624" s="472" t="s">
        <v>1797</v>
      </c>
      <c r="Q624" s="542">
        <v>30</v>
      </c>
      <c r="R624" s="569"/>
      <c r="S624" s="569"/>
      <c r="T624" s="569"/>
      <c r="U624" s="568"/>
      <c r="V624" s="569"/>
      <c r="W624" s="569"/>
      <c r="X624" s="623"/>
      <c r="Y624" s="623"/>
      <c r="Z624" s="623"/>
      <c r="AA624" s="623"/>
      <c r="AB624" s="623"/>
      <c r="AC624" s="623"/>
    </row>
    <row r="625" spans="1:29" s="474" customFormat="1">
      <c r="A625" s="475"/>
      <c r="B625" s="622" t="s">
        <v>1715</v>
      </c>
      <c r="C625" s="543"/>
      <c r="D625" s="543"/>
      <c r="E625" s="543"/>
      <c r="F625" s="543"/>
      <c r="G625" s="541"/>
      <c r="H625" s="541"/>
      <c r="I625" s="472"/>
      <c r="J625" s="472"/>
      <c r="K625" s="472"/>
      <c r="L625" s="472"/>
      <c r="M625" s="472"/>
      <c r="N625" s="472"/>
      <c r="O625" s="472"/>
      <c r="P625" s="472"/>
      <c r="Q625" s="542"/>
      <c r="R625" s="569"/>
      <c r="S625" s="569"/>
      <c r="T625" s="569"/>
      <c r="U625" s="568"/>
      <c r="V625" s="569"/>
      <c r="W625" s="569"/>
      <c r="X625" s="623"/>
      <c r="Y625" s="623"/>
      <c r="Z625" s="623"/>
      <c r="AA625" s="623"/>
      <c r="AB625" s="623"/>
      <c r="AC625" s="623"/>
    </row>
    <row r="626" spans="1:29" s="474" customFormat="1">
      <c r="A626" s="475"/>
      <c r="B626" s="563" t="s">
        <v>1716</v>
      </c>
      <c r="C626" s="543">
        <v>2</v>
      </c>
      <c r="D626" s="543">
        <v>2</v>
      </c>
      <c r="E626" s="543">
        <v>2</v>
      </c>
      <c r="F626" s="543">
        <v>2</v>
      </c>
      <c r="G626" s="541" t="s">
        <v>1717</v>
      </c>
      <c r="H626" s="541" t="s">
        <v>1717</v>
      </c>
      <c r="I626" s="472">
        <v>11</v>
      </c>
      <c r="J626" s="472" t="s">
        <v>1797</v>
      </c>
      <c r="K626" s="472">
        <v>11</v>
      </c>
      <c r="L626" s="472" t="s">
        <v>1797</v>
      </c>
      <c r="M626" s="472">
        <v>11</v>
      </c>
      <c r="N626" s="472" t="s">
        <v>1797</v>
      </c>
      <c r="O626" s="472">
        <v>11</v>
      </c>
      <c r="P626" s="472" t="s">
        <v>1797</v>
      </c>
      <c r="Q626" s="542">
        <v>30</v>
      </c>
      <c r="R626" s="569"/>
      <c r="S626" s="569"/>
      <c r="T626" s="569"/>
      <c r="U626" s="568"/>
      <c r="V626" s="569"/>
      <c r="W626" s="569"/>
      <c r="X626" s="623"/>
      <c r="Y626" s="623"/>
      <c r="Z626" s="623"/>
      <c r="AA626" s="623"/>
      <c r="AB626" s="623"/>
      <c r="AC626" s="623"/>
    </row>
    <row r="627" spans="1:29" s="474" customFormat="1">
      <c r="A627" s="475"/>
      <c r="B627" s="563" t="s">
        <v>1718</v>
      </c>
      <c r="C627" s="543">
        <v>1</v>
      </c>
      <c r="D627" s="543">
        <v>1</v>
      </c>
      <c r="E627" s="543">
        <v>1</v>
      </c>
      <c r="F627" s="543">
        <v>1</v>
      </c>
      <c r="G627" s="541" t="s">
        <v>864</v>
      </c>
      <c r="H627" s="541" t="s">
        <v>864</v>
      </c>
      <c r="I627" s="472">
        <v>11</v>
      </c>
      <c r="J627" s="472" t="s">
        <v>1797</v>
      </c>
      <c r="K627" s="472">
        <v>11</v>
      </c>
      <c r="L627" s="472" t="s">
        <v>1797</v>
      </c>
      <c r="M627" s="472">
        <v>11</v>
      </c>
      <c r="N627" s="472" t="s">
        <v>1797</v>
      </c>
      <c r="O627" s="472">
        <v>11</v>
      </c>
      <c r="P627" s="472" t="s">
        <v>1797</v>
      </c>
      <c r="Q627" s="542">
        <v>30</v>
      </c>
      <c r="R627" s="569"/>
      <c r="S627" s="569"/>
      <c r="T627" s="569"/>
      <c r="U627" s="568"/>
      <c r="V627" s="569"/>
      <c r="W627" s="569"/>
      <c r="X627" s="623"/>
      <c r="Y627" s="623"/>
      <c r="Z627" s="623"/>
      <c r="AA627" s="623"/>
      <c r="AB627" s="623"/>
      <c r="AC627" s="623"/>
    </row>
    <row r="628" spans="1:29" s="474" customFormat="1">
      <c r="A628" s="475"/>
      <c r="B628" s="563" t="s">
        <v>1719</v>
      </c>
      <c r="C628" s="543">
        <v>1</v>
      </c>
      <c r="D628" s="543">
        <v>1</v>
      </c>
      <c r="E628" s="543">
        <v>1</v>
      </c>
      <c r="F628" s="543">
        <v>1</v>
      </c>
      <c r="G628" s="541" t="s">
        <v>864</v>
      </c>
      <c r="H628" s="541" t="s">
        <v>864</v>
      </c>
      <c r="I628" s="472">
        <v>11</v>
      </c>
      <c r="J628" s="472" t="s">
        <v>1797</v>
      </c>
      <c r="K628" s="472">
        <v>11</v>
      </c>
      <c r="L628" s="472" t="s">
        <v>1797</v>
      </c>
      <c r="M628" s="472">
        <v>11</v>
      </c>
      <c r="N628" s="472" t="s">
        <v>1797</v>
      </c>
      <c r="O628" s="472">
        <v>11</v>
      </c>
      <c r="P628" s="472" t="s">
        <v>1797</v>
      </c>
      <c r="Q628" s="542">
        <v>30</v>
      </c>
      <c r="R628" s="569"/>
      <c r="S628" s="569"/>
      <c r="T628" s="569"/>
      <c r="U628" s="568"/>
      <c r="V628" s="569"/>
      <c r="W628" s="569"/>
      <c r="X628" s="623"/>
      <c r="Y628" s="623"/>
      <c r="Z628" s="623"/>
      <c r="AA628" s="623"/>
      <c r="AB628" s="623"/>
      <c r="AC628" s="623"/>
    </row>
    <row r="629" spans="1:29" s="474" customFormat="1">
      <c r="A629" s="475"/>
      <c r="B629" s="563" t="s">
        <v>1673</v>
      </c>
      <c r="C629" s="543">
        <v>1</v>
      </c>
      <c r="D629" s="543">
        <v>1</v>
      </c>
      <c r="E629" s="543">
        <v>1</v>
      </c>
      <c r="F629" s="543">
        <v>1</v>
      </c>
      <c r="G629" s="541" t="s">
        <v>864</v>
      </c>
      <c r="H629" s="541" t="s">
        <v>864</v>
      </c>
      <c r="I629" s="472">
        <v>11</v>
      </c>
      <c r="J629" s="472" t="s">
        <v>1797</v>
      </c>
      <c r="K629" s="472">
        <v>11</v>
      </c>
      <c r="L629" s="472" t="s">
        <v>1797</v>
      </c>
      <c r="M629" s="472">
        <v>11</v>
      </c>
      <c r="N629" s="472" t="s">
        <v>1797</v>
      </c>
      <c r="O629" s="472">
        <v>11</v>
      </c>
      <c r="P629" s="472" t="s">
        <v>1797</v>
      </c>
      <c r="Q629" s="542">
        <v>30</v>
      </c>
      <c r="R629" s="569"/>
      <c r="S629" s="569"/>
      <c r="T629" s="569"/>
      <c r="U629" s="568"/>
      <c r="V629" s="569"/>
      <c r="W629" s="569"/>
      <c r="X629" s="623"/>
      <c r="Y629" s="623"/>
      <c r="Z629" s="623"/>
      <c r="AA629" s="623"/>
      <c r="AB629" s="623"/>
      <c r="AC629" s="623"/>
    </row>
    <row r="630" spans="1:29" s="474" customFormat="1">
      <c r="A630" s="475"/>
      <c r="B630" s="563" t="s">
        <v>1720</v>
      </c>
      <c r="C630" s="543">
        <v>1</v>
      </c>
      <c r="D630" s="543">
        <v>1</v>
      </c>
      <c r="E630" s="543">
        <v>1</v>
      </c>
      <c r="F630" s="543">
        <v>1</v>
      </c>
      <c r="G630" s="541" t="s">
        <v>864</v>
      </c>
      <c r="H630" s="541" t="s">
        <v>864</v>
      </c>
      <c r="I630" s="472"/>
      <c r="J630" s="472"/>
      <c r="K630" s="472"/>
      <c r="L630" s="472"/>
      <c r="M630" s="472"/>
      <c r="N630" s="472"/>
      <c r="O630" s="472"/>
      <c r="P630" s="472"/>
      <c r="Q630" s="542"/>
      <c r="R630" s="569"/>
      <c r="S630" s="569"/>
      <c r="T630" s="569"/>
      <c r="U630" s="568"/>
      <c r="V630" s="569"/>
      <c r="W630" s="569"/>
      <c r="X630" s="623"/>
      <c r="Y630" s="623"/>
      <c r="Z630" s="623"/>
      <c r="AA630" s="623"/>
      <c r="AB630" s="623"/>
      <c r="AC630" s="623"/>
    </row>
    <row r="631" spans="1:29" s="474" customFormat="1">
      <c r="A631" s="475"/>
      <c r="B631" s="563" t="s">
        <v>698</v>
      </c>
      <c r="C631" s="543">
        <v>1</v>
      </c>
      <c r="D631" s="543">
        <v>1</v>
      </c>
      <c r="E631" s="543">
        <v>1</v>
      </c>
      <c r="F631" s="543">
        <v>1</v>
      </c>
      <c r="G631" s="541" t="s">
        <v>864</v>
      </c>
      <c r="H631" s="541" t="s">
        <v>864</v>
      </c>
      <c r="I631" s="472">
        <v>11</v>
      </c>
      <c r="J631" s="472" t="s">
        <v>1797</v>
      </c>
      <c r="K631" s="472">
        <v>11</v>
      </c>
      <c r="L631" s="472" t="s">
        <v>1797</v>
      </c>
      <c r="M631" s="472">
        <v>11</v>
      </c>
      <c r="N631" s="472" t="s">
        <v>1797</v>
      </c>
      <c r="O631" s="472">
        <v>11</v>
      </c>
      <c r="P631" s="472" t="s">
        <v>1797</v>
      </c>
      <c r="Q631" s="542">
        <v>30</v>
      </c>
      <c r="R631" s="569"/>
      <c r="S631" s="569"/>
      <c r="T631" s="569"/>
      <c r="U631" s="568"/>
      <c r="V631" s="569"/>
      <c r="W631" s="569"/>
      <c r="X631" s="623"/>
      <c r="Y631" s="623"/>
      <c r="Z631" s="623"/>
      <c r="AA631" s="623"/>
      <c r="AB631" s="623"/>
      <c r="AC631" s="623"/>
    </row>
    <row r="632" spans="1:29" s="474" customFormat="1">
      <c r="A632" s="475"/>
      <c r="B632" s="622" t="s">
        <v>1721</v>
      </c>
      <c r="C632" s="543"/>
      <c r="D632" s="543"/>
      <c r="E632" s="543"/>
      <c r="F632" s="543"/>
      <c r="G632" s="541"/>
      <c r="H632" s="541"/>
      <c r="I632" s="472"/>
      <c r="J632" s="472"/>
      <c r="K632" s="472"/>
      <c r="L632" s="472"/>
      <c r="M632" s="472"/>
      <c r="N632" s="472"/>
      <c r="O632" s="472"/>
      <c r="P632" s="472"/>
      <c r="Q632" s="542"/>
      <c r="R632" s="569"/>
      <c r="S632" s="569"/>
      <c r="T632" s="569"/>
      <c r="U632" s="568"/>
      <c r="V632" s="569"/>
      <c r="W632" s="569"/>
      <c r="X632" s="623"/>
      <c r="Y632" s="623"/>
      <c r="Z632" s="623"/>
      <c r="AA632" s="623"/>
      <c r="AB632" s="623"/>
      <c r="AC632" s="623"/>
    </row>
    <row r="633" spans="1:29" s="474" customFormat="1">
      <c r="A633" s="475"/>
      <c r="B633" s="563" t="s">
        <v>1720</v>
      </c>
      <c r="C633" s="543">
        <v>1</v>
      </c>
      <c r="D633" s="543">
        <v>1</v>
      </c>
      <c r="E633" s="543">
        <v>1</v>
      </c>
      <c r="F633" s="543">
        <v>1</v>
      </c>
      <c r="G633" s="541" t="s">
        <v>864</v>
      </c>
      <c r="H633" s="541" t="s">
        <v>864</v>
      </c>
      <c r="I633" s="472">
        <v>11</v>
      </c>
      <c r="J633" s="472" t="s">
        <v>1797</v>
      </c>
      <c r="K633" s="472">
        <v>11</v>
      </c>
      <c r="L633" s="472" t="s">
        <v>1797</v>
      </c>
      <c r="M633" s="472">
        <v>11</v>
      </c>
      <c r="N633" s="472" t="s">
        <v>1797</v>
      </c>
      <c r="O633" s="472">
        <v>11</v>
      </c>
      <c r="P633" s="472" t="s">
        <v>1797</v>
      </c>
      <c r="Q633" s="542">
        <v>30</v>
      </c>
      <c r="R633" s="569"/>
      <c r="S633" s="569"/>
      <c r="T633" s="569"/>
      <c r="U633" s="568"/>
      <c r="V633" s="569"/>
      <c r="W633" s="569"/>
      <c r="X633" s="623"/>
      <c r="Y633" s="623"/>
      <c r="Z633" s="623"/>
      <c r="AA633" s="623"/>
      <c r="AB633" s="623"/>
      <c r="AC633" s="623"/>
    </row>
    <row r="634" spans="1:29" s="474" customFormat="1">
      <c r="A634" s="475"/>
      <c r="B634" s="563" t="s">
        <v>1722</v>
      </c>
      <c r="C634" s="543">
        <v>1</v>
      </c>
      <c r="D634" s="543">
        <v>1</v>
      </c>
      <c r="E634" s="543">
        <v>1</v>
      </c>
      <c r="F634" s="543">
        <v>1</v>
      </c>
      <c r="G634" s="541" t="s">
        <v>864</v>
      </c>
      <c r="H634" s="541" t="s">
        <v>864</v>
      </c>
      <c r="I634" s="472">
        <v>11</v>
      </c>
      <c r="J634" s="472" t="s">
        <v>1797</v>
      </c>
      <c r="K634" s="472">
        <v>11</v>
      </c>
      <c r="L634" s="472" t="s">
        <v>1797</v>
      </c>
      <c r="M634" s="472">
        <v>11</v>
      </c>
      <c r="N634" s="472" t="s">
        <v>1797</v>
      </c>
      <c r="O634" s="472">
        <v>11</v>
      </c>
      <c r="P634" s="472" t="s">
        <v>1797</v>
      </c>
      <c r="Q634" s="542">
        <v>30</v>
      </c>
      <c r="R634" s="569"/>
      <c r="S634" s="569"/>
      <c r="T634" s="569"/>
      <c r="U634" s="568"/>
      <c r="V634" s="569"/>
      <c r="W634" s="569"/>
      <c r="X634" s="623"/>
      <c r="Y634" s="623"/>
      <c r="Z634" s="623"/>
      <c r="AA634" s="623"/>
      <c r="AB634" s="623"/>
      <c r="AC634" s="623"/>
    </row>
    <row r="635" spans="1:29" s="474" customFormat="1">
      <c r="A635" s="475"/>
      <c r="B635" s="563" t="s">
        <v>698</v>
      </c>
      <c r="C635" s="543">
        <v>1</v>
      </c>
      <c r="D635" s="543">
        <v>1</v>
      </c>
      <c r="E635" s="543">
        <v>1</v>
      </c>
      <c r="F635" s="543">
        <v>1</v>
      </c>
      <c r="G635" s="541" t="s">
        <v>864</v>
      </c>
      <c r="H635" s="541" t="s">
        <v>864</v>
      </c>
      <c r="I635" s="472">
        <v>11</v>
      </c>
      <c r="J635" s="472" t="s">
        <v>1797</v>
      </c>
      <c r="K635" s="472">
        <v>11</v>
      </c>
      <c r="L635" s="472" t="s">
        <v>1797</v>
      </c>
      <c r="M635" s="472">
        <v>11</v>
      </c>
      <c r="N635" s="472" t="s">
        <v>1797</v>
      </c>
      <c r="O635" s="472">
        <v>11</v>
      </c>
      <c r="P635" s="472" t="s">
        <v>1797</v>
      </c>
      <c r="Q635" s="542">
        <v>30</v>
      </c>
      <c r="R635" s="569"/>
      <c r="S635" s="569"/>
      <c r="T635" s="569"/>
      <c r="U635" s="568"/>
      <c r="V635" s="569"/>
      <c r="W635" s="569"/>
      <c r="X635" s="623"/>
      <c r="Y635" s="623"/>
      <c r="Z635" s="623"/>
      <c r="AA635" s="623"/>
      <c r="AB635" s="623"/>
      <c r="AC635" s="623"/>
    </row>
    <row r="636" spans="1:29" s="474" customFormat="1">
      <c r="A636" s="475"/>
      <c r="B636" s="624" t="s">
        <v>1723</v>
      </c>
      <c r="C636" s="543"/>
      <c r="D636" s="543"/>
      <c r="E636" s="543"/>
      <c r="F636" s="543"/>
      <c r="G636" s="541"/>
      <c r="H636" s="541"/>
      <c r="I636" s="472"/>
      <c r="J636" s="472"/>
      <c r="K636" s="472"/>
      <c r="L636" s="472"/>
      <c r="M636" s="472"/>
      <c r="N636" s="472"/>
      <c r="O636" s="472"/>
      <c r="P636" s="472"/>
      <c r="Q636" s="542"/>
      <c r="R636" s="569"/>
      <c r="S636" s="569"/>
      <c r="T636" s="569"/>
      <c r="U636" s="568"/>
      <c r="V636" s="569"/>
      <c r="W636" s="569"/>
      <c r="X636" s="623"/>
      <c r="Y636" s="623"/>
      <c r="Z636" s="623"/>
      <c r="AA636" s="623"/>
      <c r="AB636" s="623"/>
      <c r="AC636" s="623"/>
    </row>
    <row r="637" spans="1:29" s="474" customFormat="1">
      <c r="A637" s="475"/>
      <c r="B637" s="563" t="s">
        <v>1710</v>
      </c>
      <c r="C637" s="543">
        <v>1</v>
      </c>
      <c r="D637" s="543">
        <v>1</v>
      </c>
      <c r="E637" s="543">
        <v>1</v>
      </c>
      <c r="F637" s="543">
        <v>1</v>
      </c>
      <c r="G637" s="541">
        <v>0.3</v>
      </c>
      <c r="H637" s="541">
        <v>0.3</v>
      </c>
      <c r="I637" s="472">
        <v>24</v>
      </c>
      <c r="J637" s="472" t="s">
        <v>996</v>
      </c>
      <c r="K637" s="472">
        <v>24</v>
      </c>
      <c r="L637" s="472" t="s">
        <v>996</v>
      </c>
      <c r="M637" s="472">
        <v>24</v>
      </c>
      <c r="N637" s="472" t="s">
        <v>996</v>
      </c>
      <c r="O637" s="472">
        <v>24</v>
      </c>
      <c r="P637" s="472" t="s">
        <v>996</v>
      </c>
      <c r="Q637" s="542">
        <v>30</v>
      </c>
      <c r="R637" s="569"/>
      <c r="S637" s="569"/>
      <c r="T637" s="569"/>
      <c r="U637" s="568"/>
      <c r="V637" s="569"/>
      <c r="W637" s="569"/>
      <c r="X637" s="623"/>
      <c r="Y637" s="623"/>
      <c r="Z637" s="623"/>
      <c r="AA637" s="623"/>
      <c r="AB637" s="623"/>
      <c r="AC637" s="623"/>
    </row>
    <row r="638" spans="1:29" s="474" customFormat="1">
      <c r="A638" s="475"/>
      <c r="B638" s="563" t="s">
        <v>1724</v>
      </c>
      <c r="C638" s="543">
        <v>1</v>
      </c>
      <c r="D638" s="543">
        <v>1</v>
      </c>
      <c r="E638" s="543">
        <v>1</v>
      </c>
      <c r="F638" s="543">
        <v>1</v>
      </c>
      <c r="G638" s="541" t="s">
        <v>1708</v>
      </c>
      <c r="H638" s="541" t="s">
        <v>1708</v>
      </c>
      <c r="I638" s="472">
        <v>24</v>
      </c>
      <c r="J638" s="472" t="s">
        <v>996</v>
      </c>
      <c r="K638" s="472">
        <v>24</v>
      </c>
      <c r="L638" s="472" t="s">
        <v>996</v>
      </c>
      <c r="M638" s="472">
        <v>24</v>
      </c>
      <c r="N638" s="472" t="s">
        <v>996</v>
      </c>
      <c r="O638" s="472">
        <v>24</v>
      </c>
      <c r="P638" s="472" t="s">
        <v>996</v>
      </c>
      <c r="Q638" s="542">
        <v>30</v>
      </c>
      <c r="R638" s="569"/>
      <c r="S638" s="569"/>
      <c r="T638" s="569"/>
      <c r="U638" s="568"/>
      <c r="V638" s="569"/>
      <c r="W638" s="569"/>
      <c r="X638" s="623"/>
      <c r="Y638" s="623"/>
      <c r="Z638" s="623"/>
      <c r="AA638" s="623"/>
      <c r="AB638" s="623"/>
      <c r="AC638" s="623"/>
    </row>
    <row r="639" spans="1:29" s="474" customFormat="1">
      <c r="A639" s="475"/>
      <c r="B639" s="563" t="s">
        <v>1728</v>
      </c>
      <c r="C639" s="543">
        <v>1</v>
      </c>
      <c r="D639" s="543">
        <v>1</v>
      </c>
      <c r="E639" s="543">
        <v>1</v>
      </c>
      <c r="F639" s="543">
        <v>1</v>
      </c>
      <c r="G639" s="541">
        <v>1</v>
      </c>
      <c r="H639" s="541">
        <v>1</v>
      </c>
      <c r="I639" s="472">
        <v>24</v>
      </c>
      <c r="J639" s="472" t="s">
        <v>996</v>
      </c>
      <c r="K639" s="472">
        <v>24</v>
      </c>
      <c r="L639" s="472" t="s">
        <v>996</v>
      </c>
      <c r="M639" s="472">
        <v>24</v>
      </c>
      <c r="N639" s="472" t="s">
        <v>996</v>
      </c>
      <c r="O639" s="472">
        <v>24</v>
      </c>
      <c r="P639" s="472" t="s">
        <v>996</v>
      </c>
      <c r="Q639" s="542">
        <v>30</v>
      </c>
      <c r="R639" s="569"/>
      <c r="S639" s="569"/>
      <c r="T639" s="569"/>
      <c r="U639" s="568"/>
      <c r="V639" s="569"/>
      <c r="W639" s="569"/>
      <c r="X639" s="623"/>
      <c r="Y639" s="623"/>
      <c r="Z639" s="623"/>
      <c r="AA639" s="623"/>
      <c r="AB639" s="623"/>
      <c r="AC639" s="623"/>
    </row>
    <row r="640" spans="1:29" s="474" customFormat="1">
      <c r="A640" s="475"/>
      <c r="B640" s="622" t="s">
        <v>1725</v>
      </c>
      <c r="C640" s="543"/>
      <c r="D640" s="543"/>
      <c r="E640" s="543"/>
      <c r="F640" s="543"/>
      <c r="G640" s="541"/>
      <c r="H640" s="541"/>
      <c r="I640" s="472"/>
      <c r="J640" s="472"/>
      <c r="K640" s="472"/>
      <c r="L640" s="472"/>
      <c r="M640" s="472"/>
      <c r="N640" s="472"/>
      <c r="O640" s="472"/>
      <c r="P640" s="472"/>
      <c r="Q640" s="542"/>
      <c r="R640" s="569"/>
      <c r="S640" s="569"/>
      <c r="T640" s="569"/>
      <c r="U640" s="568"/>
      <c r="V640" s="569"/>
      <c r="W640" s="569"/>
      <c r="X640" s="623"/>
      <c r="Y640" s="623"/>
      <c r="Z640" s="623"/>
      <c r="AA640" s="623"/>
      <c r="AB640" s="623"/>
      <c r="AC640" s="623"/>
    </row>
    <row r="641" spans="1:29" s="474" customFormat="1">
      <c r="A641" s="475"/>
      <c r="B641" s="563" t="s">
        <v>1726</v>
      </c>
      <c r="C641" s="543">
        <v>1</v>
      </c>
      <c r="D641" s="543">
        <v>1</v>
      </c>
      <c r="E641" s="543">
        <v>1</v>
      </c>
      <c r="F641" s="543">
        <v>1</v>
      </c>
      <c r="G641" s="541">
        <v>1</v>
      </c>
      <c r="H641" s="541">
        <v>1</v>
      </c>
      <c r="I641" s="472">
        <v>7.5</v>
      </c>
      <c r="J641" s="472" t="s">
        <v>1727</v>
      </c>
      <c r="K641" s="472">
        <v>7.5</v>
      </c>
      <c r="L641" s="472" t="s">
        <v>1727</v>
      </c>
      <c r="M641" s="472">
        <v>7.5</v>
      </c>
      <c r="N641" s="472" t="s">
        <v>1727</v>
      </c>
      <c r="O641" s="472">
        <v>7.5</v>
      </c>
      <c r="P641" s="472" t="s">
        <v>1727</v>
      </c>
      <c r="Q641" s="542">
        <v>30</v>
      </c>
      <c r="R641" s="569"/>
      <c r="S641" s="569"/>
      <c r="T641" s="569"/>
      <c r="U641" s="568"/>
      <c r="V641" s="569"/>
      <c r="W641" s="569"/>
      <c r="X641" s="623"/>
      <c r="Y641" s="623"/>
      <c r="Z641" s="623"/>
      <c r="AA641" s="623"/>
      <c r="AB641" s="623"/>
      <c r="AC641" s="623"/>
    </row>
    <row r="642" spans="1:29" s="474" customFormat="1">
      <c r="A642" s="475"/>
      <c r="B642" s="563" t="s">
        <v>1724</v>
      </c>
      <c r="C642" s="543">
        <v>1</v>
      </c>
      <c r="D642" s="543">
        <v>1</v>
      </c>
      <c r="E642" s="543">
        <v>1</v>
      </c>
      <c r="F642" s="543">
        <v>1</v>
      </c>
      <c r="G642" s="541">
        <v>1</v>
      </c>
      <c r="H642" s="541">
        <v>1</v>
      </c>
      <c r="I642" s="472">
        <v>24</v>
      </c>
      <c r="J642" s="472" t="s">
        <v>996</v>
      </c>
      <c r="K642" s="472">
        <v>24</v>
      </c>
      <c r="L642" s="472" t="s">
        <v>996</v>
      </c>
      <c r="M642" s="472">
        <v>24</v>
      </c>
      <c r="N642" s="472" t="s">
        <v>996</v>
      </c>
      <c r="O642" s="472">
        <v>24</v>
      </c>
      <c r="P642" s="472" t="s">
        <v>996</v>
      </c>
      <c r="Q642" s="542">
        <v>30</v>
      </c>
      <c r="R642" s="569"/>
      <c r="S642" s="569"/>
      <c r="T642" s="569"/>
      <c r="U642" s="568"/>
      <c r="V642" s="569"/>
      <c r="W642" s="569"/>
      <c r="X642" s="623"/>
      <c r="Y642" s="623"/>
      <c r="Z642" s="623"/>
      <c r="AA642" s="623"/>
      <c r="AB642" s="623"/>
      <c r="AC642" s="623"/>
    </row>
    <row r="643" spans="1:29" s="474" customFormat="1">
      <c r="A643" s="475"/>
      <c r="B643" s="563" t="s">
        <v>1729</v>
      </c>
      <c r="C643" s="543">
        <v>1</v>
      </c>
      <c r="D643" s="543">
        <v>1</v>
      </c>
      <c r="E643" s="543">
        <v>1</v>
      </c>
      <c r="F643" s="543">
        <v>1</v>
      </c>
      <c r="G643" s="541">
        <v>1</v>
      </c>
      <c r="H643" s="541">
        <v>1</v>
      </c>
      <c r="I643" s="472">
        <v>24</v>
      </c>
      <c r="J643" s="472" t="s">
        <v>996</v>
      </c>
      <c r="K643" s="472">
        <v>24</v>
      </c>
      <c r="L643" s="472" t="s">
        <v>996</v>
      </c>
      <c r="M643" s="472">
        <v>24</v>
      </c>
      <c r="N643" s="472" t="s">
        <v>996</v>
      </c>
      <c r="O643" s="472">
        <v>24</v>
      </c>
      <c r="P643" s="472" t="s">
        <v>996</v>
      </c>
      <c r="Q643" s="542">
        <v>30</v>
      </c>
      <c r="R643" s="569"/>
      <c r="S643" s="569"/>
      <c r="T643" s="569"/>
      <c r="U643" s="568"/>
      <c r="V643" s="569"/>
      <c r="W643" s="569"/>
      <c r="X643" s="623"/>
      <c r="Y643" s="623"/>
      <c r="Z643" s="623"/>
      <c r="AA643" s="623"/>
      <c r="AB643" s="623"/>
      <c r="AC643" s="623"/>
    </row>
    <row r="644" spans="1:29" s="474" customFormat="1">
      <c r="A644" s="475"/>
      <c r="B644" s="563" t="s">
        <v>1730</v>
      </c>
      <c r="C644" s="543">
        <v>1</v>
      </c>
      <c r="D644" s="543">
        <v>1</v>
      </c>
      <c r="E644" s="543">
        <v>1</v>
      </c>
      <c r="F644" s="543">
        <v>1</v>
      </c>
      <c r="G644" s="541">
        <v>1</v>
      </c>
      <c r="H644" s="541">
        <v>1</v>
      </c>
      <c r="I644" s="472">
        <v>24</v>
      </c>
      <c r="J644" s="472" t="s">
        <v>996</v>
      </c>
      <c r="K644" s="472">
        <v>24</v>
      </c>
      <c r="L644" s="472" t="s">
        <v>996</v>
      </c>
      <c r="M644" s="472">
        <v>24</v>
      </c>
      <c r="N644" s="472" t="s">
        <v>996</v>
      </c>
      <c r="O644" s="472">
        <v>24</v>
      </c>
      <c r="P644" s="472" t="s">
        <v>996</v>
      </c>
      <c r="Q644" s="542">
        <v>30</v>
      </c>
      <c r="R644" s="569"/>
      <c r="S644" s="569"/>
      <c r="T644" s="569"/>
      <c r="U644" s="568"/>
      <c r="V644" s="569"/>
      <c r="W644" s="569"/>
      <c r="X644" s="623"/>
      <c r="Y644" s="623"/>
      <c r="Z644" s="623"/>
      <c r="AA644" s="623"/>
      <c r="AB644" s="623"/>
      <c r="AC644" s="623"/>
    </row>
    <row r="645" spans="1:29" s="474" customFormat="1">
      <c r="A645" s="475"/>
      <c r="B645" s="563" t="s">
        <v>1798</v>
      </c>
      <c r="C645" s="543">
        <v>1</v>
      </c>
      <c r="D645" s="543">
        <v>1</v>
      </c>
      <c r="E645" s="543">
        <v>1</v>
      </c>
      <c r="F645" s="543">
        <v>1</v>
      </c>
      <c r="G645" s="541">
        <v>1</v>
      </c>
      <c r="H645" s="541">
        <v>1</v>
      </c>
      <c r="I645" s="472">
        <v>24</v>
      </c>
      <c r="J645" s="472" t="s">
        <v>996</v>
      </c>
      <c r="K645" s="472">
        <v>24</v>
      </c>
      <c r="L645" s="472" t="s">
        <v>996</v>
      </c>
      <c r="M645" s="472">
        <v>24</v>
      </c>
      <c r="N645" s="472" t="s">
        <v>996</v>
      </c>
      <c r="O645" s="472">
        <v>24</v>
      </c>
      <c r="P645" s="472" t="s">
        <v>996</v>
      </c>
      <c r="Q645" s="542">
        <v>30</v>
      </c>
      <c r="R645" s="569"/>
      <c r="S645" s="569"/>
      <c r="T645" s="569"/>
      <c r="U645" s="568"/>
      <c r="V645" s="569"/>
      <c r="W645" s="569"/>
      <c r="X645" s="623"/>
      <c r="Y645" s="623"/>
      <c r="Z645" s="623"/>
      <c r="AA645" s="623"/>
      <c r="AB645" s="623"/>
      <c r="AC645" s="623"/>
    </row>
    <row r="646" spans="1:29" s="474" customFormat="1">
      <c r="A646" s="475"/>
      <c r="B646" s="563" t="s">
        <v>1799</v>
      </c>
      <c r="C646" s="543">
        <v>1</v>
      </c>
      <c r="D646" s="543">
        <v>1</v>
      </c>
      <c r="E646" s="543">
        <v>1</v>
      </c>
      <c r="F646" s="543">
        <v>1</v>
      </c>
      <c r="G646" s="541" t="s">
        <v>864</v>
      </c>
      <c r="H646" s="541" t="s">
        <v>864</v>
      </c>
      <c r="I646" s="472">
        <v>7.5</v>
      </c>
      <c r="J646" s="472" t="s">
        <v>1800</v>
      </c>
      <c r="K646" s="472">
        <v>7.5</v>
      </c>
      <c r="L646" s="472" t="s">
        <v>1727</v>
      </c>
      <c r="M646" s="472">
        <v>7.5</v>
      </c>
      <c r="N646" s="472" t="s">
        <v>1727</v>
      </c>
      <c r="O646" s="472">
        <v>7.5</v>
      </c>
      <c r="P646" s="472" t="s">
        <v>1727</v>
      </c>
      <c r="Q646" s="542">
        <v>30</v>
      </c>
      <c r="R646" s="569"/>
      <c r="S646" s="569"/>
      <c r="T646" s="569"/>
      <c r="U646" s="568"/>
      <c r="V646" s="569"/>
      <c r="W646" s="569"/>
      <c r="X646" s="623"/>
      <c r="Y646" s="623"/>
      <c r="Z646" s="623"/>
      <c r="AA646" s="623"/>
      <c r="AB646" s="623"/>
      <c r="AC646" s="623"/>
    </row>
    <row r="647" spans="1:29" s="474" customFormat="1">
      <c r="A647" s="475"/>
      <c r="B647" s="563" t="s">
        <v>698</v>
      </c>
      <c r="C647" s="543">
        <v>1</v>
      </c>
      <c r="D647" s="543">
        <v>1</v>
      </c>
      <c r="E647" s="543">
        <v>1</v>
      </c>
      <c r="F647" s="543">
        <v>1</v>
      </c>
      <c r="G647" s="541" t="s">
        <v>1731</v>
      </c>
      <c r="H647" s="541" t="s">
        <v>1731</v>
      </c>
      <c r="I647" s="472">
        <v>7.5</v>
      </c>
      <c r="J647" s="472" t="s">
        <v>1727</v>
      </c>
      <c r="K647" s="472">
        <v>7.5</v>
      </c>
      <c r="L647" s="472" t="s">
        <v>1727</v>
      </c>
      <c r="M647" s="472">
        <v>7.5</v>
      </c>
      <c r="N647" s="472" t="s">
        <v>1727</v>
      </c>
      <c r="O647" s="472">
        <v>7.5</v>
      </c>
      <c r="P647" s="472" t="s">
        <v>1727</v>
      </c>
      <c r="Q647" s="542">
        <v>30</v>
      </c>
      <c r="R647" s="569"/>
      <c r="S647" s="569"/>
      <c r="T647" s="569"/>
      <c r="U647" s="568"/>
      <c r="V647" s="569"/>
      <c r="W647" s="569"/>
      <c r="X647" s="623"/>
      <c r="Y647" s="623"/>
      <c r="Z647" s="623"/>
      <c r="AA647" s="623"/>
      <c r="AB647" s="623"/>
      <c r="AC647" s="623"/>
    </row>
    <row r="648" spans="1:29" s="474" customFormat="1">
      <c r="A648" s="475"/>
      <c r="B648" s="625" t="s">
        <v>1801</v>
      </c>
      <c r="C648" s="543"/>
      <c r="D648" s="543"/>
      <c r="E648" s="543"/>
      <c r="F648" s="543"/>
      <c r="G648" s="541"/>
      <c r="H648" s="541"/>
      <c r="I648" s="472"/>
      <c r="J648" s="472"/>
      <c r="K648" s="472"/>
      <c r="L648" s="472"/>
      <c r="M648" s="472"/>
      <c r="N648" s="472"/>
      <c r="O648" s="472"/>
      <c r="P648" s="472"/>
      <c r="R648" s="569"/>
      <c r="S648" s="569"/>
      <c r="T648" s="569"/>
      <c r="U648" s="568"/>
      <c r="V648" s="569"/>
      <c r="W648" s="569"/>
      <c r="X648" s="623"/>
      <c r="Y648" s="623"/>
      <c r="Z648" s="623"/>
      <c r="AA648" s="623"/>
      <c r="AB648" s="623"/>
      <c r="AC648" s="623"/>
    </row>
    <row r="649" spans="1:29" s="571" customFormat="1">
      <c r="A649" s="475">
        <v>1</v>
      </c>
      <c r="B649" s="563" t="s">
        <v>1802</v>
      </c>
      <c r="C649" s="543">
        <v>1</v>
      </c>
      <c r="D649" s="543">
        <v>1</v>
      </c>
      <c r="E649" s="543">
        <v>1</v>
      </c>
      <c r="F649" s="543">
        <v>1</v>
      </c>
      <c r="G649" s="541">
        <v>0.6</v>
      </c>
      <c r="H649" s="541">
        <v>0.6</v>
      </c>
      <c r="I649" s="472">
        <v>24</v>
      </c>
      <c r="J649" s="472" t="s">
        <v>996</v>
      </c>
      <c r="K649" s="472">
        <v>24</v>
      </c>
      <c r="L649" s="472" t="s">
        <v>996</v>
      </c>
      <c r="M649" s="472">
        <v>24</v>
      </c>
      <c r="N649" s="472" t="s">
        <v>996</v>
      </c>
      <c r="O649" s="472">
        <v>24</v>
      </c>
      <c r="P649" s="472" t="s">
        <v>996</v>
      </c>
      <c r="Q649" s="474">
        <v>30</v>
      </c>
      <c r="R649" s="569"/>
      <c r="S649" s="569"/>
      <c r="T649" s="569"/>
      <c r="U649" s="568"/>
      <c r="V649" s="569"/>
      <c r="W649" s="569"/>
      <c r="X649" s="623"/>
      <c r="Y649" s="623"/>
      <c r="Z649" s="623"/>
      <c r="AA649" s="623"/>
      <c r="AB649" s="623"/>
      <c r="AC649" s="623"/>
    </row>
    <row r="650" spans="1:29" s="571" customFormat="1">
      <c r="A650" s="475">
        <v>2</v>
      </c>
      <c r="B650" s="563" t="s">
        <v>822</v>
      </c>
      <c r="C650" s="543">
        <v>1</v>
      </c>
      <c r="D650" s="543">
        <v>1</v>
      </c>
      <c r="E650" s="543">
        <v>1</v>
      </c>
      <c r="F650" s="543">
        <v>1</v>
      </c>
      <c r="G650" s="541">
        <v>0.6</v>
      </c>
      <c r="H650" s="541">
        <v>0.6</v>
      </c>
      <c r="I650" s="472">
        <v>24</v>
      </c>
      <c r="J650" s="472" t="s">
        <v>996</v>
      </c>
      <c r="K650" s="472">
        <v>24</v>
      </c>
      <c r="L650" s="472" t="s">
        <v>996</v>
      </c>
      <c r="M650" s="472">
        <v>24</v>
      </c>
      <c r="N650" s="472" t="s">
        <v>996</v>
      </c>
      <c r="O650" s="472">
        <v>24</v>
      </c>
      <c r="P650" s="472" t="s">
        <v>996</v>
      </c>
      <c r="Q650" s="474">
        <v>30</v>
      </c>
      <c r="R650" s="569"/>
      <c r="S650" s="569"/>
      <c r="T650" s="569"/>
      <c r="U650" s="568"/>
      <c r="V650" s="569"/>
      <c r="W650" s="569"/>
      <c r="X650" s="623"/>
      <c r="Y650" s="623"/>
      <c r="Z650" s="623"/>
      <c r="AA650" s="623"/>
      <c r="AB650" s="623"/>
      <c r="AC650" s="623"/>
    </row>
    <row r="651" spans="1:29" s="571" customFormat="1" ht="45">
      <c r="A651" s="475">
        <v>3</v>
      </c>
      <c r="B651" s="476" t="s">
        <v>557</v>
      </c>
      <c r="C651" s="475">
        <v>1</v>
      </c>
      <c r="D651" s="475">
        <v>1</v>
      </c>
      <c r="E651" s="475">
        <v>1</v>
      </c>
      <c r="F651" s="475">
        <v>1</v>
      </c>
      <c r="G651" s="471">
        <v>26</v>
      </c>
      <c r="H651" s="471">
        <v>26</v>
      </c>
      <c r="I651" s="473">
        <v>5</v>
      </c>
      <c r="J651" s="626" t="s">
        <v>1124</v>
      </c>
      <c r="K651" s="473">
        <v>5</v>
      </c>
      <c r="L651" s="626" t="s">
        <v>1124</v>
      </c>
      <c r="M651" s="473">
        <v>5</v>
      </c>
      <c r="N651" s="626" t="s">
        <v>1124</v>
      </c>
      <c r="O651" s="473">
        <v>5</v>
      </c>
      <c r="P651" s="626" t="s">
        <v>1124</v>
      </c>
      <c r="Q651" s="627">
        <v>30</v>
      </c>
      <c r="R651" s="568">
        <f t="shared" ref="R651:R652" si="480">C651*G651*I651*Q651</f>
        <v>3900</v>
      </c>
      <c r="S651" s="569">
        <f t="shared" ref="S651:S652" si="481">D651*G651*K651*Q651</f>
        <v>3900</v>
      </c>
      <c r="T651" s="569">
        <f t="shared" ref="T651:T652" si="482">E651*G651*M651*Q651</f>
        <v>3900</v>
      </c>
      <c r="U651" s="569">
        <f t="shared" ref="U651:U652" si="483">F651*G651*O651*Q651</f>
        <v>3900</v>
      </c>
      <c r="V651" s="568">
        <f t="shared" ref="V651:V652" si="484">C651*H651*I651*Q651</f>
        <v>3900</v>
      </c>
      <c r="W651" s="569">
        <f t="shared" ref="W651:W652" si="485">D651*H651*K651*Q651</f>
        <v>3900</v>
      </c>
      <c r="X651" s="569">
        <f t="shared" ref="X651:X652" si="486">E651*H651*M651*Q651</f>
        <v>3900</v>
      </c>
      <c r="Y651" s="569">
        <f t="shared" ref="Y651:Y652" si="487">F651*H651*O651*Q651</f>
        <v>3900</v>
      </c>
      <c r="Z651" s="570">
        <f t="shared" ref="Z651:AC652" si="488">V651/R651</f>
        <v>1</v>
      </c>
      <c r="AA651" s="570">
        <f t="shared" si="488"/>
        <v>1</v>
      </c>
      <c r="AB651" s="570">
        <f t="shared" si="488"/>
        <v>1</v>
      </c>
      <c r="AC651" s="570">
        <f t="shared" si="488"/>
        <v>1</v>
      </c>
    </row>
    <row r="652" spans="1:29" s="571" customFormat="1">
      <c r="A652" s="475">
        <v>4</v>
      </c>
      <c r="B652" s="476" t="s">
        <v>436</v>
      </c>
      <c r="C652" s="475">
        <v>1</v>
      </c>
      <c r="D652" s="475">
        <v>1</v>
      </c>
      <c r="E652" s="475">
        <v>1</v>
      </c>
      <c r="F652" s="475">
        <v>1</v>
      </c>
      <c r="G652" s="472">
        <v>0.13</v>
      </c>
      <c r="H652" s="472">
        <v>0.13</v>
      </c>
      <c r="I652" s="473">
        <v>24</v>
      </c>
      <c r="J652" s="473" t="s">
        <v>996</v>
      </c>
      <c r="K652" s="473">
        <v>24</v>
      </c>
      <c r="L652" s="473" t="s">
        <v>996</v>
      </c>
      <c r="M652" s="473">
        <v>24</v>
      </c>
      <c r="N652" s="473" t="s">
        <v>996</v>
      </c>
      <c r="O652" s="473">
        <v>24</v>
      </c>
      <c r="P652" s="473" t="s">
        <v>996</v>
      </c>
      <c r="Q652" s="627">
        <v>30</v>
      </c>
      <c r="R652" s="568">
        <f t="shared" si="480"/>
        <v>93.600000000000009</v>
      </c>
      <c r="S652" s="569">
        <f t="shared" si="481"/>
        <v>93.600000000000009</v>
      </c>
      <c r="T652" s="569">
        <f t="shared" si="482"/>
        <v>93.600000000000009</v>
      </c>
      <c r="U652" s="569">
        <f t="shared" si="483"/>
        <v>93.600000000000009</v>
      </c>
      <c r="V652" s="568">
        <f t="shared" si="484"/>
        <v>93.600000000000009</v>
      </c>
      <c r="W652" s="569">
        <f t="shared" si="485"/>
        <v>93.600000000000009</v>
      </c>
      <c r="X652" s="569">
        <f t="shared" si="486"/>
        <v>93.600000000000009</v>
      </c>
      <c r="Y652" s="569">
        <f t="shared" si="487"/>
        <v>93.600000000000009</v>
      </c>
      <c r="Z652" s="570">
        <f t="shared" si="488"/>
        <v>1</v>
      </c>
      <c r="AA652" s="570">
        <f t="shared" si="488"/>
        <v>1</v>
      </c>
      <c r="AB652" s="570">
        <f t="shared" si="488"/>
        <v>1</v>
      </c>
      <c r="AC652" s="570">
        <f t="shared" si="488"/>
        <v>1</v>
      </c>
    </row>
    <row r="653" spans="1:29" s="571" customFormat="1">
      <c r="A653" s="475">
        <v>5</v>
      </c>
      <c r="B653" s="476" t="s">
        <v>684</v>
      </c>
      <c r="C653" s="505">
        <v>1</v>
      </c>
      <c r="D653" s="505">
        <v>1</v>
      </c>
      <c r="E653" s="505">
        <v>1</v>
      </c>
      <c r="F653" s="505">
        <v>1</v>
      </c>
      <c r="G653" s="472">
        <v>0.25</v>
      </c>
      <c r="H653" s="472">
        <v>0.25</v>
      </c>
      <c r="I653" s="473">
        <v>0</v>
      </c>
      <c r="J653" s="473"/>
      <c r="K653" s="473">
        <v>8</v>
      </c>
      <c r="L653" s="473" t="s">
        <v>1120</v>
      </c>
      <c r="M653" s="473">
        <v>8</v>
      </c>
      <c r="N653" s="473" t="s">
        <v>1120</v>
      </c>
      <c r="O653" s="473">
        <v>8</v>
      </c>
      <c r="P653" s="473" t="s">
        <v>1120</v>
      </c>
      <c r="Q653" s="627">
        <v>30</v>
      </c>
      <c r="R653" s="568"/>
      <c r="S653" s="569"/>
      <c r="T653" s="569"/>
      <c r="U653" s="569"/>
      <c r="V653" s="568"/>
      <c r="W653" s="569"/>
      <c r="X653" s="569"/>
      <c r="Y653" s="569"/>
      <c r="Z653" s="570"/>
      <c r="AA653" s="570"/>
      <c r="AB653" s="570"/>
      <c r="AC653" s="570"/>
    </row>
    <row r="654" spans="1:29" s="571" customFormat="1">
      <c r="A654" s="475">
        <v>5</v>
      </c>
      <c r="B654" s="476" t="s">
        <v>698</v>
      </c>
      <c r="C654" s="475">
        <v>1</v>
      </c>
      <c r="D654" s="475">
        <v>1</v>
      </c>
      <c r="E654" s="475">
        <v>1</v>
      </c>
      <c r="F654" s="475">
        <v>1</v>
      </c>
      <c r="G654" s="471">
        <v>8</v>
      </c>
      <c r="H654" s="471">
        <v>8</v>
      </c>
      <c r="I654" s="473">
        <v>8</v>
      </c>
      <c r="J654" s="473" t="s">
        <v>1120</v>
      </c>
      <c r="K654" s="473">
        <v>8</v>
      </c>
      <c r="L654" s="473" t="s">
        <v>1120</v>
      </c>
      <c r="M654" s="473">
        <v>8</v>
      </c>
      <c r="N654" s="473" t="s">
        <v>1120</v>
      </c>
      <c r="O654" s="473">
        <v>8</v>
      </c>
      <c r="P654" s="473" t="s">
        <v>1120</v>
      </c>
      <c r="Q654" s="627">
        <v>30</v>
      </c>
      <c r="R654" s="568">
        <f t="shared" ref="R654" si="489">C654*G654*I654*Q654</f>
        <v>1920</v>
      </c>
      <c r="S654" s="569">
        <f t="shared" ref="S654" si="490">D654*G654*K654*Q654</f>
        <v>1920</v>
      </c>
      <c r="T654" s="569">
        <f t="shared" ref="T654" si="491">E654*G654*M654*Q654</f>
        <v>1920</v>
      </c>
      <c r="U654" s="569">
        <f t="shared" ref="U654" si="492">F654*G654*O654*Q654</f>
        <v>1920</v>
      </c>
      <c r="V654" s="568">
        <f t="shared" ref="V654" si="493">C654*H654*I654*Q654</f>
        <v>1920</v>
      </c>
      <c r="W654" s="569">
        <f t="shared" ref="W654" si="494">D654*H654*K654*Q654</f>
        <v>1920</v>
      </c>
      <c r="X654" s="569">
        <f t="shared" ref="X654" si="495">E654*H654*M654*Q654</f>
        <v>1920</v>
      </c>
      <c r="Y654" s="569">
        <f t="shared" ref="Y654" si="496">F654*H654*O654*Q654</f>
        <v>1920</v>
      </c>
      <c r="Z654" s="570">
        <f t="shared" ref="Z654:AC655" si="497">V654/R654</f>
        <v>1</v>
      </c>
      <c r="AA654" s="570">
        <f t="shared" si="497"/>
        <v>1</v>
      </c>
      <c r="AB654" s="570">
        <f t="shared" si="497"/>
        <v>1</v>
      </c>
      <c r="AC654" s="570">
        <f t="shared" si="497"/>
        <v>1</v>
      </c>
    </row>
    <row r="655" spans="1:29" s="571" customFormat="1" ht="15" customHeight="1">
      <c r="A655" s="475">
        <v>6</v>
      </c>
      <c r="B655" s="476" t="s">
        <v>472</v>
      </c>
      <c r="C655" s="505">
        <v>1</v>
      </c>
      <c r="D655" s="564">
        <v>1</v>
      </c>
      <c r="E655" s="564">
        <v>1</v>
      </c>
      <c r="F655" s="564">
        <v>1</v>
      </c>
      <c r="G655" s="472">
        <v>3</v>
      </c>
      <c r="H655" s="472">
        <v>3</v>
      </c>
      <c r="I655" s="472">
        <v>6</v>
      </c>
      <c r="J655" s="472" t="s">
        <v>1657</v>
      </c>
      <c r="K655" s="472">
        <v>6</v>
      </c>
      <c r="L655" s="472" t="s">
        <v>1657</v>
      </c>
      <c r="M655" s="472">
        <v>6</v>
      </c>
      <c r="N655" s="472" t="s">
        <v>1657</v>
      </c>
      <c r="O655" s="472">
        <v>6</v>
      </c>
      <c r="P655" s="472" t="s">
        <v>1657</v>
      </c>
      <c r="Q655" s="474">
        <v>30</v>
      </c>
      <c r="R655" s="568">
        <f>C655*G655*I655*Q655</f>
        <v>540</v>
      </c>
      <c r="S655" s="569">
        <f>D655*G655*K655*Q655</f>
        <v>540</v>
      </c>
      <c r="T655" s="569">
        <f>E655*G655*M655*Q655</f>
        <v>540</v>
      </c>
      <c r="U655" s="569">
        <f>F655*G655*O655*Q655</f>
        <v>540</v>
      </c>
      <c r="V655" s="568">
        <f>C655*H655*I655*Q655</f>
        <v>540</v>
      </c>
      <c r="W655" s="569">
        <f>D655*H655*K655*Q655</f>
        <v>540</v>
      </c>
      <c r="X655" s="569">
        <f>E655*H655*M655*Q655</f>
        <v>540</v>
      </c>
      <c r="Y655" s="569">
        <f>F655*H655*O655*Q655</f>
        <v>540</v>
      </c>
      <c r="Z655" s="623">
        <f t="shared" si="497"/>
        <v>1</v>
      </c>
      <c r="AA655" s="623">
        <f t="shared" si="497"/>
        <v>1</v>
      </c>
      <c r="AB655" s="623">
        <f t="shared" si="497"/>
        <v>1</v>
      </c>
      <c r="AC655" s="623">
        <f t="shared" si="497"/>
        <v>1</v>
      </c>
    </row>
    <row r="656" spans="1:29" ht="10.5" customHeight="1">
      <c r="A656" s="92"/>
      <c r="B656" s="580"/>
      <c r="C656" s="557"/>
      <c r="D656" s="557"/>
      <c r="E656" s="557"/>
      <c r="F656" s="557"/>
      <c r="G656" s="558"/>
      <c r="H656" s="558"/>
      <c r="I656" s="148"/>
      <c r="J656" s="148"/>
      <c r="K656" s="148"/>
      <c r="L656" s="148"/>
      <c r="M656" s="148"/>
      <c r="N656" s="148"/>
      <c r="O656" s="148"/>
      <c r="P656" s="148"/>
      <c r="Q656" s="486"/>
      <c r="R656" s="547"/>
      <c r="S656" s="547"/>
      <c r="T656" s="547"/>
      <c r="U656" s="546"/>
      <c r="V656" s="547"/>
      <c r="W656" s="547"/>
      <c r="X656" s="548"/>
      <c r="Y656" s="548"/>
      <c r="Z656" s="548"/>
      <c r="AA656" s="548"/>
      <c r="AB656" s="548"/>
      <c r="AC656" s="548"/>
    </row>
    <row r="657" spans="1:29" s="96" customFormat="1">
      <c r="A657" s="477" t="s">
        <v>408</v>
      </c>
      <c r="B657" s="565" t="s">
        <v>1741</v>
      </c>
      <c r="C657" s="557"/>
      <c r="D657" s="557"/>
      <c r="E657" s="557"/>
      <c r="F657" s="557"/>
      <c r="G657" s="558"/>
      <c r="H657" s="558"/>
      <c r="I657" s="148"/>
      <c r="J657" s="148"/>
      <c r="K657" s="148"/>
      <c r="L657" s="148"/>
      <c r="M657" s="148"/>
      <c r="N657" s="148"/>
      <c r="O657" s="148"/>
      <c r="P657" s="148"/>
      <c r="Q657" s="486"/>
      <c r="R657" s="547"/>
      <c r="S657" s="547"/>
      <c r="T657" s="547"/>
      <c r="U657" s="546"/>
      <c r="V657" s="547"/>
      <c r="W657" s="547"/>
      <c r="X657" s="548"/>
      <c r="Y657" s="548"/>
      <c r="Z657" s="548"/>
      <c r="AA657" s="548"/>
      <c r="AB657" s="548"/>
      <c r="AC657" s="548"/>
    </row>
    <row r="658" spans="1:29" s="96" customFormat="1">
      <c r="A658" s="477"/>
      <c r="B658" s="565" t="s">
        <v>1742</v>
      </c>
      <c r="C658" s="557"/>
      <c r="D658" s="557"/>
      <c r="E658" s="557"/>
      <c r="F658" s="557"/>
      <c r="G658" s="558"/>
      <c r="H658" s="558"/>
      <c r="I658" s="148"/>
      <c r="J658" s="148"/>
      <c r="K658" s="148"/>
      <c r="L658" s="148"/>
      <c r="M658" s="148"/>
      <c r="N658" s="148"/>
      <c r="O658" s="148"/>
      <c r="P658" s="148"/>
      <c r="Q658" s="486"/>
      <c r="R658" s="547"/>
      <c r="S658" s="547"/>
      <c r="T658" s="547"/>
      <c r="U658" s="546"/>
      <c r="V658" s="547"/>
      <c r="W658" s="547"/>
      <c r="X658" s="548"/>
      <c r="Y658" s="548"/>
      <c r="Z658" s="548"/>
      <c r="AA658" s="548"/>
      <c r="AB658" s="548"/>
      <c r="AC658" s="548"/>
    </row>
    <row r="659" spans="1:29" s="96" customFormat="1">
      <c r="A659" s="92"/>
      <c r="B659" s="566" t="s">
        <v>321</v>
      </c>
      <c r="C659" s="557"/>
      <c r="D659" s="557"/>
      <c r="E659" s="557"/>
      <c r="F659" s="557"/>
      <c r="G659" s="558"/>
      <c r="H659" s="558"/>
      <c r="I659" s="148"/>
      <c r="J659" s="148"/>
      <c r="K659" s="148"/>
      <c r="L659" s="148"/>
      <c r="M659" s="148"/>
      <c r="N659" s="148"/>
      <c r="O659" s="148"/>
      <c r="P659" s="148"/>
      <c r="Q659" s="486"/>
      <c r="R659" s="547"/>
      <c r="S659" s="547"/>
      <c r="T659" s="547"/>
      <c r="U659" s="546"/>
      <c r="V659" s="547"/>
      <c r="W659" s="547"/>
      <c r="X659" s="548"/>
      <c r="Y659" s="548"/>
      <c r="Z659" s="548"/>
      <c r="AA659" s="548"/>
      <c r="AB659" s="548"/>
      <c r="AC659" s="548"/>
    </row>
    <row r="660" spans="1:29" s="96" customFormat="1">
      <c r="A660" s="92"/>
      <c r="B660" s="556" t="s">
        <v>822</v>
      </c>
      <c r="C660" s="557">
        <v>2</v>
      </c>
      <c r="D660" s="557">
        <v>2</v>
      </c>
      <c r="E660" s="557">
        <v>2</v>
      </c>
      <c r="F660" s="557">
        <v>2</v>
      </c>
      <c r="G660" s="558">
        <v>0.6</v>
      </c>
      <c r="H660" s="558">
        <v>0.6</v>
      </c>
      <c r="I660" s="148">
        <v>24</v>
      </c>
      <c r="J660" s="148" t="s">
        <v>996</v>
      </c>
      <c r="K660" s="148">
        <v>24</v>
      </c>
      <c r="L660" s="148" t="s">
        <v>996</v>
      </c>
      <c r="M660" s="148">
        <v>24</v>
      </c>
      <c r="N660" s="148" t="s">
        <v>996</v>
      </c>
      <c r="O660" s="148">
        <v>24</v>
      </c>
      <c r="P660" s="148" t="s">
        <v>996</v>
      </c>
      <c r="Q660" s="486">
        <v>30</v>
      </c>
      <c r="R660" s="547"/>
      <c r="S660" s="547"/>
      <c r="T660" s="547"/>
      <c r="U660" s="546"/>
      <c r="V660" s="547"/>
      <c r="W660" s="547"/>
      <c r="X660" s="548"/>
      <c r="Y660" s="548"/>
      <c r="Z660" s="548"/>
      <c r="AA660" s="548"/>
      <c r="AB660" s="548"/>
      <c r="AC660" s="548"/>
    </row>
    <row r="661" spans="1:29" s="96" customFormat="1">
      <c r="A661" s="92"/>
      <c r="B661" s="556" t="s">
        <v>1743</v>
      </c>
      <c r="C661" s="557">
        <v>1</v>
      </c>
      <c r="D661" s="557">
        <v>1</v>
      </c>
      <c r="E661" s="557">
        <v>1</v>
      </c>
      <c r="F661" s="557">
        <v>1</v>
      </c>
      <c r="G661" s="558">
        <v>0.29499999999999998</v>
      </c>
      <c r="H661" s="558">
        <v>0.29499999999999998</v>
      </c>
      <c r="I661" s="148">
        <v>24</v>
      </c>
      <c r="J661" s="148" t="s">
        <v>996</v>
      </c>
      <c r="K661" s="148">
        <v>24</v>
      </c>
      <c r="L661" s="148" t="s">
        <v>996</v>
      </c>
      <c r="M661" s="148">
        <v>24</v>
      </c>
      <c r="N661" s="148" t="s">
        <v>996</v>
      </c>
      <c r="O661" s="148">
        <v>24</v>
      </c>
      <c r="P661" s="148" t="s">
        <v>996</v>
      </c>
      <c r="Q661" s="486">
        <v>30</v>
      </c>
      <c r="R661" s="547"/>
      <c r="S661" s="547"/>
      <c r="T661" s="547"/>
      <c r="U661" s="546"/>
      <c r="V661" s="547"/>
      <c r="W661" s="547"/>
      <c r="X661" s="548"/>
      <c r="Y661" s="548"/>
      <c r="Z661" s="548"/>
      <c r="AA661" s="548"/>
      <c r="AB661" s="548"/>
      <c r="AC661" s="548"/>
    </row>
    <row r="662" spans="1:29" s="96" customFormat="1">
      <c r="A662" s="92"/>
      <c r="B662" s="556" t="s">
        <v>835</v>
      </c>
      <c r="C662" s="557">
        <v>1</v>
      </c>
      <c r="D662" s="557">
        <v>1</v>
      </c>
      <c r="E662" s="557">
        <v>1</v>
      </c>
      <c r="F662" s="557">
        <v>1</v>
      </c>
      <c r="G662" s="558">
        <v>5</v>
      </c>
      <c r="H662" s="558">
        <v>5</v>
      </c>
      <c r="I662" s="148">
        <v>17</v>
      </c>
      <c r="J662" s="148" t="s">
        <v>1744</v>
      </c>
      <c r="K662" s="148">
        <v>17</v>
      </c>
      <c r="L662" s="148" t="s">
        <v>1744</v>
      </c>
      <c r="M662" s="148">
        <v>17</v>
      </c>
      <c r="N662" s="148" t="s">
        <v>1744</v>
      </c>
      <c r="O662" s="148">
        <v>17</v>
      </c>
      <c r="P662" s="148" t="s">
        <v>1744</v>
      </c>
      <c r="Q662" s="486">
        <v>30</v>
      </c>
      <c r="R662" s="547"/>
      <c r="S662" s="547"/>
      <c r="T662" s="547"/>
      <c r="U662" s="546"/>
      <c r="V662" s="547"/>
      <c r="W662" s="547"/>
      <c r="X662" s="548"/>
      <c r="Y662" s="548"/>
      <c r="Z662" s="548"/>
      <c r="AA662" s="548"/>
      <c r="AB662" s="548"/>
      <c r="AC662" s="548"/>
    </row>
    <row r="663" spans="1:29" s="96" customFormat="1">
      <c r="A663" s="92"/>
      <c r="B663" s="556" t="s">
        <v>1424</v>
      </c>
      <c r="C663" s="557">
        <v>1</v>
      </c>
      <c r="D663" s="557">
        <v>1</v>
      </c>
      <c r="E663" s="557">
        <v>1</v>
      </c>
      <c r="F663" s="557">
        <v>1</v>
      </c>
      <c r="G663" s="558">
        <v>0.504</v>
      </c>
      <c r="H663" s="558">
        <v>0.504</v>
      </c>
      <c r="I663" s="148">
        <v>24</v>
      </c>
      <c r="J663" s="148" t="s">
        <v>996</v>
      </c>
      <c r="K663" s="148">
        <v>24</v>
      </c>
      <c r="L663" s="148" t="s">
        <v>996</v>
      </c>
      <c r="M663" s="148">
        <v>24</v>
      </c>
      <c r="N663" s="148" t="s">
        <v>996</v>
      </c>
      <c r="O663" s="148">
        <v>24</v>
      </c>
      <c r="P663" s="148" t="s">
        <v>996</v>
      </c>
      <c r="Q663" s="486">
        <v>30</v>
      </c>
      <c r="R663" s="547"/>
      <c r="S663" s="547"/>
      <c r="T663" s="547"/>
      <c r="U663" s="546"/>
      <c r="V663" s="547"/>
      <c r="W663" s="547"/>
      <c r="X663" s="548"/>
      <c r="Y663" s="548"/>
      <c r="Z663" s="548"/>
      <c r="AA663" s="548"/>
      <c r="AB663" s="548"/>
      <c r="AC663" s="548"/>
    </row>
    <row r="664" spans="1:29" s="96" customFormat="1">
      <c r="A664" s="92"/>
      <c r="B664" s="143" t="s">
        <v>722</v>
      </c>
      <c r="C664" s="14">
        <v>1</v>
      </c>
      <c r="D664" s="14">
        <v>1</v>
      </c>
      <c r="E664" s="14">
        <v>1</v>
      </c>
      <c r="F664" s="14">
        <v>1</v>
      </c>
      <c r="G664" s="154">
        <v>0.21</v>
      </c>
      <c r="H664" s="154">
        <v>0.21</v>
      </c>
      <c r="I664" s="148">
        <v>24</v>
      </c>
      <c r="J664" s="148" t="s">
        <v>996</v>
      </c>
      <c r="K664" s="148">
        <v>24</v>
      </c>
      <c r="L664" s="148" t="s">
        <v>996</v>
      </c>
      <c r="M664" s="148">
        <v>24</v>
      </c>
      <c r="N664" s="148" t="s">
        <v>996</v>
      </c>
      <c r="O664" s="148">
        <v>24</v>
      </c>
      <c r="P664" s="148" t="s">
        <v>996</v>
      </c>
      <c r="Q664" s="486">
        <v>30</v>
      </c>
      <c r="R664" s="547"/>
      <c r="S664" s="547"/>
      <c r="T664" s="547"/>
      <c r="U664" s="546"/>
      <c r="V664" s="547"/>
      <c r="W664" s="547"/>
      <c r="X664" s="548"/>
      <c r="Y664" s="548"/>
      <c r="Z664" s="548"/>
      <c r="AA664" s="548"/>
      <c r="AB664" s="548"/>
      <c r="AC664" s="548"/>
    </row>
    <row r="665" spans="1:29" s="96" customFormat="1">
      <c r="A665" s="92"/>
      <c r="B665" s="143" t="s">
        <v>475</v>
      </c>
      <c r="C665" s="133">
        <v>3</v>
      </c>
      <c r="D665" s="133">
        <v>3</v>
      </c>
      <c r="E665" s="133">
        <v>3</v>
      </c>
      <c r="F665" s="133">
        <v>3</v>
      </c>
      <c r="G665" s="154">
        <v>0.3</v>
      </c>
      <c r="H665" s="154">
        <v>0.3</v>
      </c>
      <c r="I665" s="148">
        <v>24</v>
      </c>
      <c r="J665" s="148" t="s">
        <v>996</v>
      </c>
      <c r="K665" s="148">
        <v>24</v>
      </c>
      <c r="L665" s="148" t="s">
        <v>996</v>
      </c>
      <c r="M665" s="148">
        <v>24</v>
      </c>
      <c r="N665" s="148" t="s">
        <v>996</v>
      </c>
      <c r="O665" s="148">
        <v>24</v>
      </c>
      <c r="P665" s="148" t="s">
        <v>996</v>
      </c>
      <c r="Q665" s="486">
        <v>30</v>
      </c>
      <c r="R665" s="547"/>
      <c r="S665" s="547"/>
      <c r="T665" s="547"/>
      <c r="U665" s="546"/>
      <c r="V665" s="547"/>
      <c r="W665" s="547"/>
      <c r="X665" s="548"/>
      <c r="Y665" s="548"/>
      <c r="Z665" s="548"/>
      <c r="AA665" s="548"/>
      <c r="AB665" s="548"/>
      <c r="AC665" s="548"/>
    </row>
    <row r="666" spans="1:29" s="96" customFormat="1">
      <c r="A666" s="92"/>
      <c r="B666" s="143" t="s">
        <v>442</v>
      </c>
      <c r="C666" s="92">
        <v>3</v>
      </c>
      <c r="D666" s="92">
        <v>3</v>
      </c>
      <c r="E666" s="92">
        <v>3</v>
      </c>
      <c r="F666" s="92">
        <v>3</v>
      </c>
      <c r="G666" s="154">
        <v>0.26</v>
      </c>
      <c r="H666" s="154">
        <v>0.26</v>
      </c>
      <c r="I666" s="148">
        <v>24</v>
      </c>
      <c r="J666" s="148" t="s">
        <v>996</v>
      </c>
      <c r="K666" s="148">
        <v>24</v>
      </c>
      <c r="L666" s="148" t="s">
        <v>996</v>
      </c>
      <c r="M666" s="148">
        <v>24</v>
      </c>
      <c r="N666" s="148" t="s">
        <v>996</v>
      </c>
      <c r="O666" s="148">
        <v>24</v>
      </c>
      <c r="P666" s="148" t="s">
        <v>996</v>
      </c>
      <c r="Q666" s="486">
        <v>30</v>
      </c>
      <c r="R666" s="547"/>
      <c r="S666" s="547"/>
      <c r="T666" s="547"/>
      <c r="U666" s="546"/>
      <c r="V666" s="547"/>
      <c r="W666" s="547"/>
      <c r="X666" s="548"/>
      <c r="Y666" s="548"/>
      <c r="Z666" s="548"/>
      <c r="AA666" s="548"/>
      <c r="AB666" s="548"/>
      <c r="AC666" s="548"/>
    </row>
    <row r="667" spans="1:29" s="96" customFormat="1">
      <c r="A667" s="92"/>
      <c r="B667" s="556" t="s">
        <v>1745</v>
      </c>
      <c r="C667" s="557">
        <v>1</v>
      </c>
      <c r="D667" s="557">
        <v>1</v>
      </c>
      <c r="E667" s="557">
        <v>1</v>
      </c>
      <c r="F667" s="557">
        <v>1</v>
      </c>
      <c r="G667" s="558">
        <v>5.5650000000000004</v>
      </c>
      <c r="H667" s="558">
        <v>5.5650000000000004</v>
      </c>
      <c r="I667" s="148">
        <v>24</v>
      </c>
      <c r="J667" s="148" t="s">
        <v>996</v>
      </c>
      <c r="K667" s="148">
        <v>24</v>
      </c>
      <c r="L667" s="148" t="s">
        <v>996</v>
      </c>
      <c r="M667" s="148">
        <v>24</v>
      </c>
      <c r="N667" s="148" t="s">
        <v>996</v>
      </c>
      <c r="O667" s="148">
        <v>24</v>
      </c>
      <c r="P667" s="148" t="s">
        <v>996</v>
      </c>
      <c r="Q667" s="486">
        <v>30</v>
      </c>
      <c r="R667" s="547"/>
      <c r="S667" s="547"/>
      <c r="T667" s="547"/>
      <c r="U667" s="546"/>
      <c r="V667" s="547"/>
      <c r="W667" s="547"/>
      <c r="X667" s="548"/>
      <c r="Y667" s="548"/>
      <c r="Z667" s="548"/>
      <c r="AA667" s="548"/>
      <c r="AB667" s="548"/>
      <c r="AC667" s="548"/>
    </row>
    <row r="668" spans="1:29" s="96" customFormat="1">
      <c r="A668" s="92"/>
      <c r="B668" s="556" t="s">
        <v>671</v>
      </c>
      <c r="C668" s="557">
        <v>1</v>
      </c>
      <c r="D668" s="557">
        <v>1</v>
      </c>
      <c r="E668" s="557">
        <v>1</v>
      </c>
      <c r="F668" s="557">
        <v>1</v>
      </c>
      <c r="G668" s="558">
        <v>0.35</v>
      </c>
      <c r="H668" s="558">
        <v>0.35</v>
      </c>
      <c r="I668" s="148">
        <v>17</v>
      </c>
      <c r="J668" s="148" t="s">
        <v>1744</v>
      </c>
      <c r="K668" s="148">
        <v>17</v>
      </c>
      <c r="L668" s="148" t="s">
        <v>1744</v>
      </c>
      <c r="M668" s="148">
        <v>17</v>
      </c>
      <c r="N668" s="148" t="s">
        <v>1744</v>
      </c>
      <c r="O668" s="148">
        <v>17</v>
      </c>
      <c r="P668" s="148" t="s">
        <v>1744</v>
      </c>
      <c r="Q668" s="486">
        <v>30</v>
      </c>
      <c r="R668" s="547"/>
      <c r="S668" s="547"/>
      <c r="T668" s="547"/>
      <c r="U668" s="546"/>
      <c r="V668" s="547"/>
      <c r="W668" s="547"/>
      <c r="X668" s="548"/>
      <c r="Y668" s="548"/>
      <c r="Z668" s="548"/>
      <c r="AA668" s="548"/>
      <c r="AB668" s="548"/>
      <c r="AC668" s="548"/>
    </row>
    <row r="669" spans="1:29" s="96" customFormat="1">
      <c r="A669" s="92"/>
      <c r="B669" s="143" t="s">
        <v>808</v>
      </c>
      <c r="C669" s="92">
        <v>2</v>
      </c>
      <c r="D669" s="92">
        <v>2</v>
      </c>
      <c r="E669" s="92">
        <v>2</v>
      </c>
      <c r="F669" s="92">
        <v>2</v>
      </c>
      <c r="G669" s="92">
        <v>0.12</v>
      </c>
      <c r="H669" s="92">
        <v>0.12</v>
      </c>
      <c r="I669" s="148">
        <v>17</v>
      </c>
      <c r="J669" s="148" t="s">
        <v>1744</v>
      </c>
      <c r="K669" s="148">
        <v>17</v>
      </c>
      <c r="L669" s="148" t="s">
        <v>1744</v>
      </c>
      <c r="M669" s="148">
        <v>17</v>
      </c>
      <c r="N669" s="148" t="s">
        <v>1744</v>
      </c>
      <c r="O669" s="148">
        <v>17</v>
      </c>
      <c r="P669" s="148" t="s">
        <v>1744</v>
      </c>
      <c r="Q669" s="486">
        <v>30</v>
      </c>
      <c r="R669" s="547"/>
      <c r="S669" s="547"/>
      <c r="T669" s="547"/>
      <c r="U669" s="546"/>
      <c r="V669" s="547"/>
      <c r="W669" s="547"/>
      <c r="X669" s="548"/>
      <c r="Y669" s="548"/>
      <c r="Z669" s="548"/>
      <c r="AA669" s="548"/>
      <c r="AB669" s="548"/>
      <c r="AC669" s="548"/>
    </row>
    <row r="670" spans="1:29" s="96" customFormat="1">
      <c r="A670" s="92"/>
      <c r="B670" s="556" t="s">
        <v>1746</v>
      </c>
      <c r="C670" s="557">
        <v>1</v>
      </c>
      <c r="D670" s="557">
        <v>1</v>
      </c>
      <c r="E670" s="557">
        <v>1</v>
      </c>
      <c r="F670" s="557">
        <v>1</v>
      </c>
      <c r="G670" s="558">
        <v>0.43</v>
      </c>
      <c r="H670" s="558">
        <v>0.43</v>
      </c>
      <c r="I670" s="148">
        <v>24</v>
      </c>
      <c r="J670" s="148" t="s">
        <v>996</v>
      </c>
      <c r="K670" s="148">
        <v>24</v>
      </c>
      <c r="L670" s="148" t="s">
        <v>996</v>
      </c>
      <c r="M670" s="148">
        <v>24</v>
      </c>
      <c r="N670" s="148" t="s">
        <v>996</v>
      </c>
      <c r="O670" s="148">
        <v>24</v>
      </c>
      <c r="P670" s="148" t="s">
        <v>996</v>
      </c>
      <c r="Q670" s="486">
        <v>30</v>
      </c>
      <c r="R670" s="547"/>
      <c r="S670" s="547"/>
      <c r="T670" s="547"/>
      <c r="U670" s="546"/>
      <c r="V670" s="547"/>
      <c r="W670" s="547"/>
      <c r="X670" s="548"/>
      <c r="Y670" s="548"/>
      <c r="Z670" s="548"/>
      <c r="AA670" s="548"/>
      <c r="AB670" s="548"/>
      <c r="AC670" s="548"/>
    </row>
    <row r="671" spans="1:29" s="96" customFormat="1">
      <c r="A671" s="92"/>
      <c r="B671" s="556" t="s">
        <v>1747</v>
      </c>
      <c r="C671" s="557">
        <v>1</v>
      </c>
      <c r="D671" s="557">
        <v>1</v>
      </c>
      <c r="E671" s="557">
        <v>1</v>
      </c>
      <c r="F671" s="557">
        <v>1</v>
      </c>
      <c r="G671" s="558">
        <v>0.5</v>
      </c>
      <c r="H671" s="558">
        <v>0.5</v>
      </c>
      <c r="I671" s="148">
        <v>17</v>
      </c>
      <c r="J671" s="148" t="s">
        <v>1744</v>
      </c>
      <c r="K671" s="148">
        <v>17</v>
      </c>
      <c r="L671" s="148" t="s">
        <v>1744</v>
      </c>
      <c r="M671" s="148">
        <v>17</v>
      </c>
      <c r="N671" s="148" t="s">
        <v>1744</v>
      </c>
      <c r="O671" s="148">
        <v>17</v>
      </c>
      <c r="P671" s="148" t="s">
        <v>1744</v>
      </c>
      <c r="Q671" s="486">
        <v>30</v>
      </c>
      <c r="R671" s="547"/>
      <c r="S671" s="547"/>
      <c r="T671" s="547"/>
      <c r="U671" s="546"/>
      <c r="V671" s="547"/>
      <c r="W671" s="547"/>
      <c r="X671" s="548"/>
      <c r="Y671" s="548"/>
      <c r="Z671" s="548"/>
      <c r="AA671" s="548"/>
      <c r="AB671" s="548"/>
      <c r="AC671" s="548"/>
    </row>
    <row r="672" spans="1:29" s="96" customFormat="1" ht="30">
      <c r="A672" s="92"/>
      <c r="B672" s="556" t="s">
        <v>1748</v>
      </c>
      <c r="C672" s="557">
        <v>2</v>
      </c>
      <c r="D672" s="557">
        <v>2</v>
      </c>
      <c r="E672" s="557">
        <v>2</v>
      </c>
      <c r="F672" s="557">
        <v>2</v>
      </c>
      <c r="G672" s="558">
        <v>0.18</v>
      </c>
      <c r="H672" s="558">
        <v>0.18</v>
      </c>
      <c r="I672" s="148">
        <v>8</v>
      </c>
      <c r="J672" s="148" t="s">
        <v>1749</v>
      </c>
      <c r="K672" s="148">
        <v>8</v>
      </c>
      <c r="L672" s="148" t="s">
        <v>1749</v>
      </c>
      <c r="M672" s="148">
        <v>8</v>
      </c>
      <c r="N672" s="148" t="s">
        <v>1749</v>
      </c>
      <c r="O672" s="148">
        <v>8</v>
      </c>
      <c r="P672" s="148" t="s">
        <v>1749</v>
      </c>
      <c r="Q672" s="486">
        <v>30</v>
      </c>
      <c r="R672" s="547"/>
      <c r="S672" s="547"/>
      <c r="T672" s="547"/>
      <c r="U672" s="546"/>
      <c r="V672" s="547"/>
      <c r="W672" s="547"/>
      <c r="X672" s="548"/>
      <c r="Y672" s="548"/>
      <c r="Z672" s="548"/>
      <c r="AA672" s="548"/>
      <c r="AB672" s="548"/>
      <c r="AC672" s="548"/>
    </row>
    <row r="673" spans="1:29" s="96" customFormat="1">
      <c r="A673" s="92"/>
      <c r="B673" s="556" t="s">
        <v>561</v>
      </c>
      <c r="C673" s="557">
        <v>1</v>
      </c>
      <c r="D673" s="557">
        <v>1</v>
      </c>
      <c r="E673" s="557">
        <v>1</v>
      </c>
      <c r="F673" s="557">
        <v>1</v>
      </c>
      <c r="G673" s="558">
        <v>1</v>
      </c>
      <c r="H673" s="558">
        <v>1</v>
      </c>
      <c r="I673" s="148">
        <v>24</v>
      </c>
      <c r="J673" s="148" t="s">
        <v>996</v>
      </c>
      <c r="K673" s="148">
        <v>24</v>
      </c>
      <c r="L673" s="148" t="s">
        <v>996</v>
      </c>
      <c r="M673" s="148">
        <v>24</v>
      </c>
      <c r="N673" s="148" t="s">
        <v>996</v>
      </c>
      <c r="O673" s="148">
        <v>24</v>
      </c>
      <c r="P673" s="148" t="s">
        <v>996</v>
      </c>
      <c r="Q673" s="486">
        <v>30</v>
      </c>
      <c r="R673" s="547"/>
      <c r="S673" s="547"/>
      <c r="T673" s="547"/>
      <c r="U673" s="546"/>
      <c r="V673" s="547"/>
      <c r="W673" s="547"/>
      <c r="X673" s="548"/>
      <c r="Y673" s="548"/>
      <c r="Z673" s="548"/>
      <c r="AA673" s="548"/>
      <c r="AB673" s="548"/>
      <c r="AC673" s="548"/>
    </row>
    <row r="674" spans="1:29" s="96" customFormat="1" ht="30">
      <c r="A674" s="92"/>
      <c r="B674" s="556" t="s">
        <v>1750</v>
      </c>
      <c r="C674" s="557">
        <v>1</v>
      </c>
      <c r="D674" s="557">
        <v>1</v>
      </c>
      <c r="E674" s="557">
        <v>1</v>
      </c>
      <c r="F674" s="557">
        <v>1</v>
      </c>
      <c r="G674" s="558"/>
      <c r="H674" s="558"/>
      <c r="I674" s="148">
        <v>14</v>
      </c>
      <c r="J674" s="148" t="s">
        <v>1751</v>
      </c>
      <c r="K674" s="148">
        <v>14</v>
      </c>
      <c r="L674" s="148" t="s">
        <v>1751</v>
      </c>
      <c r="M674" s="148">
        <v>14</v>
      </c>
      <c r="N674" s="148" t="s">
        <v>1751</v>
      </c>
      <c r="O674" s="148">
        <v>14</v>
      </c>
      <c r="P674" s="148" t="s">
        <v>1751</v>
      </c>
      <c r="Q674" s="486">
        <v>30</v>
      </c>
      <c r="R674" s="547"/>
      <c r="S674" s="547"/>
      <c r="T674" s="547"/>
      <c r="U674" s="546"/>
      <c r="V674" s="547"/>
      <c r="W674" s="547"/>
      <c r="X674" s="548"/>
      <c r="Y674" s="548"/>
      <c r="Z674" s="548"/>
      <c r="AA674" s="548"/>
      <c r="AB674" s="548"/>
      <c r="AC674" s="548"/>
    </row>
    <row r="675" spans="1:29" s="96" customFormat="1">
      <c r="A675" s="92"/>
      <c r="B675" s="556" t="s">
        <v>1752</v>
      </c>
      <c r="C675" s="557">
        <v>1</v>
      </c>
      <c r="D675" s="557">
        <v>1</v>
      </c>
      <c r="E675" s="557">
        <v>1</v>
      </c>
      <c r="F675" s="557">
        <v>1</v>
      </c>
      <c r="G675" s="558"/>
      <c r="H675" s="558"/>
      <c r="I675" s="148">
        <v>7</v>
      </c>
      <c r="J675" s="148" t="s">
        <v>1753</v>
      </c>
      <c r="K675" s="148">
        <v>7</v>
      </c>
      <c r="L675" s="148" t="s">
        <v>1753</v>
      </c>
      <c r="M675" s="148">
        <v>7</v>
      </c>
      <c r="N675" s="148" t="s">
        <v>1753</v>
      </c>
      <c r="O675" s="148">
        <v>7</v>
      </c>
      <c r="P675" s="148" t="s">
        <v>1753</v>
      </c>
      <c r="Q675" s="486">
        <v>30</v>
      </c>
      <c r="R675" s="547"/>
      <c r="S675" s="547"/>
      <c r="T675" s="547"/>
      <c r="U675" s="546"/>
      <c r="V675" s="547"/>
      <c r="W675" s="547"/>
      <c r="X675" s="548"/>
      <c r="Y675" s="548"/>
      <c r="Z675" s="548"/>
      <c r="AA675" s="548"/>
      <c r="AB675" s="548"/>
      <c r="AC675" s="548"/>
    </row>
    <row r="676" spans="1:29" s="96" customFormat="1" ht="30">
      <c r="A676" s="92"/>
      <c r="B676" s="556" t="s">
        <v>829</v>
      </c>
      <c r="C676" s="557">
        <v>3</v>
      </c>
      <c r="D676" s="557">
        <v>3</v>
      </c>
      <c r="E676" s="557">
        <v>3</v>
      </c>
      <c r="F676" s="557">
        <v>3</v>
      </c>
      <c r="G676" s="558"/>
      <c r="H676" s="558"/>
      <c r="I676" s="148">
        <v>6</v>
      </c>
      <c r="J676" s="148" t="s">
        <v>1754</v>
      </c>
      <c r="K676" s="148">
        <v>6</v>
      </c>
      <c r="L676" s="148" t="s">
        <v>1754</v>
      </c>
      <c r="M676" s="148">
        <v>6</v>
      </c>
      <c r="N676" s="148" t="s">
        <v>1754</v>
      </c>
      <c r="O676" s="148">
        <v>6</v>
      </c>
      <c r="P676" s="148" t="s">
        <v>1754</v>
      </c>
      <c r="Q676" s="486">
        <v>30</v>
      </c>
      <c r="R676" s="547"/>
      <c r="S676" s="547"/>
      <c r="T676" s="547"/>
      <c r="U676" s="546"/>
      <c r="V676" s="547"/>
      <c r="W676" s="547"/>
      <c r="X676" s="548"/>
      <c r="Y676" s="548"/>
      <c r="Z676" s="548"/>
      <c r="AA676" s="548"/>
      <c r="AB676" s="548"/>
      <c r="AC676" s="548"/>
    </row>
    <row r="677" spans="1:29" s="96" customFormat="1">
      <c r="A677" s="92"/>
      <c r="B677" s="556" t="s">
        <v>1755</v>
      </c>
      <c r="C677" s="557">
        <v>1</v>
      </c>
      <c r="D677" s="557">
        <v>1</v>
      </c>
      <c r="E677" s="557">
        <v>1</v>
      </c>
      <c r="F677" s="557">
        <v>1</v>
      </c>
      <c r="G677" s="558"/>
      <c r="H677" s="558"/>
      <c r="I677" s="148">
        <v>7</v>
      </c>
      <c r="J677" s="148" t="s">
        <v>1753</v>
      </c>
      <c r="K677" s="148">
        <v>7</v>
      </c>
      <c r="L677" s="148" t="s">
        <v>1753</v>
      </c>
      <c r="M677" s="148">
        <v>7</v>
      </c>
      <c r="N677" s="148" t="s">
        <v>1753</v>
      </c>
      <c r="O677" s="148">
        <v>7</v>
      </c>
      <c r="P677" s="148" t="s">
        <v>1753</v>
      </c>
      <c r="Q677" s="486">
        <v>30</v>
      </c>
      <c r="R677" s="547"/>
      <c r="S677" s="547"/>
      <c r="T677" s="547"/>
      <c r="U677" s="546"/>
      <c r="V677" s="547"/>
      <c r="W677" s="547"/>
      <c r="X677" s="548"/>
      <c r="Y677" s="548"/>
      <c r="Z677" s="548"/>
      <c r="AA677" s="548"/>
      <c r="AB677" s="548"/>
      <c r="AC677" s="548"/>
    </row>
    <row r="678" spans="1:29" s="96" customFormat="1">
      <c r="A678" s="92"/>
      <c r="B678" s="566" t="s">
        <v>325</v>
      </c>
      <c r="C678" s="557"/>
      <c r="D678" s="557"/>
      <c r="E678" s="557"/>
      <c r="F678" s="557"/>
      <c r="G678" s="558"/>
      <c r="H678" s="558"/>
      <c r="I678" s="148"/>
      <c r="J678" s="148"/>
      <c r="K678" s="148"/>
      <c r="L678" s="148"/>
      <c r="M678" s="148"/>
      <c r="N678" s="148"/>
      <c r="O678" s="148"/>
      <c r="P678" s="148"/>
      <c r="Q678" s="486"/>
      <c r="R678" s="547"/>
      <c r="S678" s="547"/>
      <c r="T678" s="547"/>
      <c r="U678" s="546"/>
      <c r="V678" s="547"/>
      <c r="W678" s="547"/>
      <c r="X678" s="548"/>
      <c r="Y678" s="548"/>
      <c r="Z678" s="548"/>
      <c r="AA678" s="548"/>
      <c r="AB678" s="548"/>
      <c r="AC678" s="548"/>
    </row>
    <row r="679" spans="1:29" s="96" customFormat="1" ht="30">
      <c r="A679" s="92"/>
      <c r="B679" s="556" t="s">
        <v>829</v>
      </c>
      <c r="C679" s="557">
        <v>3</v>
      </c>
      <c r="D679" s="557">
        <v>4</v>
      </c>
      <c r="E679" s="557">
        <v>4</v>
      </c>
      <c r="F679" s="557">
        <v>4</v>
      </c>
      <c r="G679" s="558"/>
      <c r="H679" s="558"/>
      <c r="I679" s="148">
        <v>6</v>
      </c>
      <c r="J679" s="148" t="s">
        <v>1754</v>
      </c>
      <c r="K679" s="148">
        <v>6</v>
      </c>
      <c r="L679" s="148" t="s">
        <v>1754</v>
      </c>
      <c r="M679" s="148">
        <v>6</v>
      </c>
      <c r="N679" s="148" t="s">
        <v>1754</v>
      </c>
      <c r="O679" s="148">
        <v>6</v>
      </c>
      <c r="P679" s="148" t="s">
        <v>1754</v>
      </c>
      <c r="Q679" s="486">
        <v>30</v>
      </c>
      <c r="R679" s="547"/>
      <c r="S679" s="547"/>
      <c r="T679" s="547"/>
      <c r="U679" s="546"/>
      <c r="V679" s="547"/>
      <c r="W679" s="547"/>
      <c r="X679" s="548"/>
      <c r="Y679" s="548"/>
      <c r="Z679" s="548"/>
      <c r="AA679" s="548"/>
      <c r="AB679" s="548"/>
      <c r="AC679" s="548"/>
    </row>
    <row r="680" spans="1:29" s="96" customFormat="1" ht="30">
      <c r="A680" s="92"/>
      <c r="B680" s="556" t="s">
        <v>1750</v>
      </c>
      <c r="C680" s="557">
        <v>1</v>
      </c>
      <c r="D680" s="557">
        <v>1</v>
      </c>
      <c r="E680" s="557">
        <v>1</v>
      </c>
      <c r="F680" s="557">
        <v>1</v>
      </c>
      <c r="G680" s="558"/>
      <c r="H680" s="558"/>
      <c r="I680" s="148">
        <v>14</v>
      </c>
      <c r="J680" s="148" t="s">
        <v>1751</v>
      </c>
      <c r="K680" s="148">
        <v>14</v>
      </c>
      <c r="L680" s="148" t="s">
        <v>1751</v>
      </c>
      <c r="M680" s="148">
        <v>14</v>
      </c>
      <c r="N680" s="148" t="s">
        <v>1751</v>
      </c>
      <c r="O680" s="148">
        <v>14</v>
      </c>
      <c r="P680" s="148" t="s">
        <v>1751</v>
      </c>
      <c r="Q680" s="486">
        <v>30</v>
      </c>
      <c r="R680" s="547"/>
      <c r="S680" s="547"/>
      <c r="T680" s="547"/>
      <c r="U680" s="546"/>
      <c r="V680" s="547"/>
      <c r="W680" s="547"/>
      <c r="X680" s="548"/>
      <c r="Y680" s="548"/>
      <c r="Z680" s="548"/>
      <c r="AA680" s="548"/>
      <c r="AB680" s="548"/>
      <c r="AC680" s="548"/>
    </row>
    <row r="681" spans="1:29" s="96" customFormat="1">
      <c r="A681" s="92"/>
      <c r="B681" s="565" t="s">
        <v>1756</v>
      </c>
      <c r="C681" s="557"/>
      <c r="D681" s="557"/>
      <c r="E681" s="557"/>
      <c r="F681" s="557"/>
      <c r="G681" s="558"/>
      <c r="H681" s="558"/>
      <c r="I681" s="148"/>
      <c r="J681" s="148"/>
      <c r="K681" s="148"/>
      <c r="L681" s="148"/>
      <c r="M681" s="148"/>
      <c r="N681" s="148"/>
      <c r="O681" s="148"/>
      <c r="P681" s="148"/>
      <c r="Q681" s="486"/>
      <c r="R681" s="547"/>
      <c r="S681" s="547"/>
      <c r="T681" s="547"/>
      <c r="U681" s="546"/>
      <c r="V681" s="547"/>
      <c r="W681" s="547"/>
      <c r="X681" s="548"/>
      <c r="Y681" s="548"/>
      <c r="Z681" s="548"/>
      <c r="AA681" s="548"/>
      <c r="AB681" s="548"/>
      <c r="AC681" s="548"/>
    </row>
    <row r="682" spans="1:29" s="96" customFormat="1">
      <c r="A682" s="92"/>
      <c r="B682" s="549" t="s">
        <v>1757</v>
      </c>
      <c r="C682" s="557">
        <v>2</v>
      </c>
      <c r="D682" s="557">
        <v>2</v>
      </c>
      <c r="E682" s="557">
        <v>2</v>
      </c>
      <c r="F682" s="557">
        <v>2</v>
      </c>
      <c r="G682" s="561">
        <v>0.75</v>
      </c>
      <c r="H682" s="561">
        <v>0.75</v>
      </c>
      <c r="I682" s="148">
        <v>24</v>
      </c>
      <c r="J682" s="148" t="s">
        <v>996</v>
      </c>
      <c r="K682" s="148">
        <v>24</v>
      </c>
      <c r="L682" s="148" t="s">
        <v>996</v>
      </c>
      <c r="M682" s="148">
        <v>24</v>
      </c>
      <c r="N682" s="148" t="s">
        <v>996</v>
      </c>
      <c r="O682" s="148">
        <v>24</v>
      </c>
      <c r="P682" s="148" t="s">
        <v>996</v>
      </c>
      <c r="Q682" s="486">
        <v>30</v>
      </c>
      <c r="R682" s="547"/>
      <c r="S682" s="547"/>
      <c r="T682" s="547"/>
      <c r="U682" s="546"/>
      <c r="V682" s="547"/>
      <c r="W682" s="547"/>
      <c r="X682" s="548"/>
      <c r="Y682" s="548"/>
      <c r="Z682" s="548"/>
      <c r="AA682" s="548"/>
      <c r="AB682" s="548"/>
      <c r="AC682" s="548"/>
    </row>
    <row r="683" spans="1:29" s="96" customFormat="1">
      <c r="A683" s="92"/>
      <c r="B683" s="549" t="s">
        <v>1334</v>
      </c>
      <c r="C683" s="557">
        <v>1</v>
      </c>
      <c r="D683" s="557">
        <v>1</v>
      </c>
      <c r="E683" s="557">
        <v>1</v>
      </c>
      <c r="F683" s="557">
        <v>1</v>
      </c>
      <c r="G683" s="561">
        <v>1.5</v>
      </c>
      <c r="H683" s="561">
        <v>1.5</v>
      </c>
      <c r="I683" s="148">
        <v>18</v>
      </c>
      <c r="J683" s="148" t="s">
        <v>1758</v>
      </c>
      <c r="K683" s="148">
        <v>18</v>
      </c>
      <c r="L683" s="148" t="s">
        <v>1758</v>
      </c>
      <c r="M683" s="148">
        <v>18</v>
      </c>
      <c r="N683" s="148" t="s">
        <v>1758</v>
      </c>
      <c r="O683" s="148">
        <v>18</v>
      </c>
      <c r="P683" s="148" t="s">
        <v>1758</v>
      </c>
      <c r="Q683" s="486">
        <v>30</v>
      </c>
      <c r="R683" s="547"/>
      <c r="S683" s="547"/>
      <c r="T683" s="547"/>
      <c r="U683" s="546"/>
      <c r="V683" s="547"/>
      <c r="W683" s="547"/>
      <c r="X683" s="548"/>
      <c r="Y683" s="548"/>
      <c r="Z683" s="548"/>
      <c r="AA683" s="548"/>
      <c r="AB683" s="548"/>
      <c r="AC683" s="548"/>
    </row>
    <row r="684" spans="1:29" s="96" customFormat="1" ht="30">
      <c r="A684" s="92"/>
      <c r="B684" s="549" t="s">
        <v>293</v>
      </c>
      <c r="C684" s="557">
        <v>3</v>
      </c>
      <c r="D684" s="557">
        <v>3</v>
      </c>
      <c r="E684" s="557">
        <v>4</v>
      </c>
      <c r="F684" s="557">
        <v>4</v>
      </c>
      <c r="G684" s="561">
        <v>0.35</v>
      </c>
      <c r="H684" s="561">
        <v>0.35</v>
      </c>
      <c r="I684" s="148">
        <v>24</v>
      </c>
      <c r="J684" s="148" t="s">
        <v>996</v>
      </c>
      <c r="K684" s="148">
        <v>24</v>
      </c>
      <c r="L684" s="148" t="s">
        <v>996</v>
      </c>
      <c r="M684" s="148">
        <v>24</v>
      </c>
      <c r="N684" s="148" t="s">
        <v>996</v>
      </c>
      <c r="O684" s="148">
        <v>24</v>
      </c>
      <c r="P684" s="148" t="s">
        <v>996</v>
      </c>
      <c r="Q684" s="486">
        <v>30</v>
      </c>
      <c r="R684" s="547"/>
      <c r="S684" s="547"/>
      <c r="T684" s="547"/>
      <c r="U684" s="546"/>
      <c r="V684" s="547"/>
      <c r="W684" s="547"/>
      <c r="X684" s="548"/>
      <c r="Y684" s="548"/>
      <c r="Z684" s="548"/>
      <c r="AA684" s="548"/>
      <c r="AB684" s="548"/>
      <c r="AC684" s="548"/>
    </row>
    <row r="685" spans="1:29" s="96" customFormat="1">
      <c r="A685" s="92"/>
      <c r="B685" s="549" t="s">
        <v>1759</v>
      </c>
      <c r="C685" s="557">
        <v>1</v>
      </c>
      <c r="D685" s="557">
        <v>1</v>
      </c>
      <c r="E685" s="557">
        <v>1</v>
      </c>
      <c r="F685" s="557">
        <v>1</v>
      </c>
      <c r="G685" s="561">
        <v>0.5</v>
      </c>
      <c r="H685" s="561">
        <v>0.5</v>
      </c>
      <c r="I685" s="148">
        <v>24</v>
      </c>
      <c r="J685" s="148" t="s">
        <v>996</v>
      </c>
      <c r="K685" s="148">
        <v>24</v>
      </c>
      <c r="L685" s="148" t="s">
        <v>996</v>
      </c>
      <c r="M685" s="148">
        <v>24</v>
      </c>
      <c r="N685" s="148" t="s">
        <v>996</v>
      </c>
      <c r="O685" s="148">
        <v>24</v>
      </c>
      <c r="P685" s="148" t="s">
        <v>1760</v>
      </c>
      <c r="Q685" s="486">
        <v>30</v>
      </c>
      <c r="R685" s="547"/>
      <c r="S685" s="547"/>
      <c r="T685" s="547"/>
      <c r="U685" s="546"/>
      <c r="V685" s="547"/>
      <c r="W685" s="547"/>
      <c r="X685" s="548"/>
      <c r="Y685" s="548"/>
      <c r="Z685" s="548"/>
      <c r="AA685" s="548"/>
      <c r="AB685" s="548"/>
      <c r="AC685" s="548"/>
    </row>
    <row r="686" spans="1:29" s="96" customFormat="1">
      <c r="A686" s="92"/>
      <c r="B686" s="549" t="s">
        <v>1761</v>
      </c>
      <c r="C686" s="557">
        <v>1</v>
      </c>
      <c r="D686" s="557">
        <v>1</v>
      </c>
      <c r="E686" s="557">
        <v>1</v>
      </c>
      <c r="F686" s="557">
        <v>1</v>
      </c>
      <c r="G686" s="561">
        <v>0.75</v>
      </c>
      <c r="H686" s="561">
        <v>0.75</v>
      </c>
      <c r="I686" s="148">
        <v>24</v>
      </c>
      <c r="J686" s="148" t="s">
        <v>996</v>
      </c>
      <c r="K686" s="148">
        <v>24</v>
      </c>
      <c r="L686" s="148" t="s">
        <v>996</v>
      </c>
      <c r="M686" s="148">
        <v>24</v>
      </c>
      <c r="N686" s="148" t="s">
        <v>996</v>
      </c>
      <c r="O686" s="148">
        <v>24</v>
      </c>
      <c r="P686" s="148" t="s">
        <v>1760</v>
      </c>
      <c r="Q686" s="486">
        <v>30</v>
      </c>
      <c r="R686" s="547"/>
      <c r="S686" s="547"/>
      <c r="T686" s="547"/>
      <c r="U686" s="546"/>
      <c r="V686" s="547"/>
      <c r="W686" s="547"/>
      <c r="X686" s="548"/>
      <c r="Y686" s="548"/>
      <c r="Z686" s="548"/>
      <c r="AA686" s="548"/>
      <c r="AB686" s="548"/>
      <c r="AC686" s="548"/>
    </row>
    <row r="687" spans="1:29" s="96" customFormat="1">
      <c r="A687" s="92"/>
      <c r="B687" s="549" t="s">
        <v>1762</v>
      </c>
      <c r="C687" s="557">
        <v>1</v>
      </c>
      <c r="D687" s="557">
        <v>1</v>
      </c>
      <c r="E687" s="557">
        <v>1</v>
      </c>
      <c r="F687" s="557">
        <v>1</v>
      </c>
      <c r="G687" s="561">
        <v>0.75</v>
      </c>
      <c r="H687" s="561">
        <v>0.75</v>
      </c>
      <c r="I687" s="148">
        <v>24</v>
      </c>
      <c r="J687" s="148" t="s">
        <v>996</v>
      </c>
      <c r="K687" s="148">
        <v>24</v>
      </c>
      <c r="L687" s="148" t="s">
        <v>996</v>
      </c>
      <c r="M687" s="148">
        <v>24</v>
      </c>
      <c r="N687" s="148" t="s">
        <v>996</v>
      </c>
      <c r="O687" s="148">
        <v>24</v>
      </c>
      <c r="P687" s="148" t="s">
        <v>1760</v>
      </c>
      <c r="Q687" s="486">
        <v>30</v>
      </c>
      <c r="R687" s="547"/>
      <c r="S687" s="547"/>
      <c r="T687" s="547"/>
      <c r="U687" s="546"/>
      <c r="V687" s="547"/>
      <c r="W687" s="547"/>
      <c r="X687" s="548"/>
      <c r="Y687" s="548"/>
      <c r="Z687" s="548"/>
      <c r="AA687" s="548"/>
      <c r="AB687" s="548"/>
      <c r="AC687" s="548"/>
    </row>
    <row r="688" spans="1:29" s="96" customFormat="1" ht="30">
      <c r="A688" s="92"/>
      <c r="B688" s="549" t="s">
        <v>308</v>
      </c>
      <c r="C688" s="557">
        <v>1</v>
      </c>
      <c r="D688" s="557">
        <v>1</v>
      </c>
      <c r="E688" s="557">
        <v>1</v>
      </c>
      <c r="F688" s="557">
        <v>1</v>
      </c>
      <c r="G688" s="561">
        <v>14.4</v>
      </c>
      <c r="H688" s="561">
        <v>14.4</v>
      </c>
      <c r="I688" s="148">
        <v>5</v>
      </c>
      <c r="J688" s="148" t="s">
        <v>1751</v>
      </c>
      <c r="K688" s="148">
        <v>14</v>
      </c>
      <c r="L688" s="148" t="s">
        <v>1751</v>
      </c>
      <c r="M688" s="148">
        <v>14</v>
      </c>
      <c r="N688" s="148" t="s">
        <v>1751</v>
      </c>
      <c r="O688" s="148">
        <v>14</v>
      </c>
      <c r="P688" s="148" t="s">
        <v>1751</v>
      </c>
      <c r="Q688" s="486">
        <v>30</v>
      </c>
      <c r="R688" s="547"/>
      <c r="S688" s="547"/>
      <c r="T688" s="547"/>
      <c r="U688" s="546"/>
      <c r="V688" s="547"/>
      <c r="W688" s="547"/>
      <c r="X688" s="548"/>
      <c r="Y688" s="548"/>
      <c r="Z688" s="548"/>
      <c r="AA688" s="548"/>
      <c r="AB688" s="548"/>
      <c r="AC688" s="548"/>
    </row>
    <row r="689" spans="1:39" s="96" customFormat="1" ht="30">
      <c r="A689" s="92"/>
      <c r="B689" s="549" t="s">
        <v>307</v>
      </c>
      <c r="C689" s="557">
        <v>1</v>
      </c>
      <c r="D689" s="557">
        <v>1</v>
      </c>
      <c r="E689" s="557">
        <v>1</v>
      </c>
      <c r="F689" s="557">
        <v>1</v>
      </c>
      <c r="G689" s="558">
        <v>12</v>
      </c>
      <c r="H689" s="558">
        <v>12</v>
      </c>
      <c r="I689" s="148">
        <v>9</v>
      </c>
      <c r="J689" s="148" t="s">
        <v>1763</v>
      </c>
      <c r="K689" s="148">
        <v>9</v>
      </c>
      <c r="L689" s="148" t="s">
        <v>1763</v>
      </c>
      <c r="M689" s="148">
        <v>9</v>
      </c>
      <c r="N689" s="148" t="s">
        <v>1763</v>
      </c>
      <c r="O689" s="148">
        <v>9</v>
      </c>
      <c r="P689" s="148" t="s">
        <v>1763</v>
      </c>
      <c r="Q689" s="486">
        <v>30</v>
      </c>
      <c r="R689" s="547"/>
      <c r="S689" s="547"/>
      <c r="T689" s="547"/>
      <c r="U689" s="546"/>
      <c r="V689" s="547"/>
      <c r="W689" s="547"/>
      <c r="X689" s="548"/>
      <c r="Y689" s="548"/>
      <c r="Z689" s="548"/>
      <c r="AA689" s="548"/>
      <c r="AB689" s="548"/>
      <c r="AC689" s="548"/>
    </row>
    <row r="690" spans="1:39" s="96" customFormat="1" ht="30">
      <c r="A690" s="92"/>
      <c r="B690" s="549" t="s">
        <v>1764</v>
      </c>
      <c r="C690" s="557">
        <v>1</v>
      </c>
      <c r="D690" s="557">
        <v>1</v>
      </c>
      <c r="E690" s="557">
        <v>1</v>
      </c>
      <c r="F690" s="557">
        <v>1</v>
      </c>
      <c r="G690" s="561">
        <v>2.8</v>
      </c>
      <c r="H690" s="561">
        <v>2.8</v>
      </c>
      <c r="I690" s="148">
        <v>14</v>
      </c>
      <c r="J690" s="148" t="s">
        <v>1751</v>
      </c>
      <c r="K690" s="148">
        <v>14</v>
      </c>
      <c r="L690" s="148" t="s">
        <v>1751</v>
      </c>
      <c r="M690" s="148">
        <v>14</v>
      </c>
      <c r="N690" s="148" t="s">
        <v>1751</v>
      </c>
      <c r="O690" s="148">
        <v>14</v>
      </c>
      <c r="P690" s="148" t="s">
        <v>1751</v>
      </c>
      <c r="Q690" s="486">
        <v>30</v>
      </c>
      <c r="R690" s="547"/>
      <c r="S690" s="547"/>
      <c r="T690" s="547"/>
      <c r="U690" s="546"/>
      <c r="V690" s="547"/>
      <c r="W690" s="547"/>
      <c r="X690" s="548"/>
      <c r="Y690" s="548"/>
      <c r="Z690" s="548"/>
      <c r="AA690" s="548"/>
      <c r="AB690" s="548"/>
      <c r="AC690" s="548"/>
    </row>
    <row r="691" spans="1:39" s="96" customFormat="1">
      <c r="A691" s="92"/>
      <c r="B691" s="549" t="s">
        <v>1765</v>
      </c>
      <c r="C691" s="557">
        <v>2</v>
      </c>
      <c r="D691" s="557">
        <v>2</v>
      </c>
      <c r="E691" s="557">
        <v>2</v>
      </c>
      <c r="F691" s="557">
        <v>2</v>
      </c>
      <c r="G691" s="561">
        <v>0.56000000000000005</v>
      </c>
      <c r="H691" s="561">
        <v>0.56000000000000005</v>
      </c>
      <c r="I691" s="148">
        <v>24</v>
      </c>
      <c r="J691" s="148" t="s">
        <v>996</v>
      </c>
      <c r="K691" s="148">
        <v>24</v>
      </c>
      <c r="L691" s="148" t="s">
        <v>996</v>
      </c>
      <c r="M691" s="148">
        <v>24</v>
      </c>
      <c r="N691" s="148" t="s">
        <v>996</v>
      </c>
      <c r="O691" s="148">
        <v>24</v>
      </c>
      <c r="P691" s="148" t="s">
        <v>996</v>
      </c>
      <c r="Q691" s="486">
        <v>30</v>
      </c>
      <c r="R691" s="547"/>
      <c r="S691" s="547"/>
      <c r="T691" s="547"/>
      <c r="U691" s="546"/>
      <c r="V691" s="547"/>
      <c r="W691" s="547"/>
      <c r="X691" s="548"/>
      <c r="Y691" s="548"/>
      <c r="Z691" s="548"/>
      <c r="AA691" s="548"/>
      <c r="AB691" s="548"/>
      <c r="AC691" s="548"/>
    </row>
    <row r="692" spans="1:39" s="96" customFormat="1" ht="30">
      <c r="A692" s="92"/>
      <c r="B692" s="562" t="s">
        <v>1766</v>
      </c>
      <c r="C692" s="557">
        <v>1</v>
      </c>
      <c r="D692" s="557">
        <v>1</v>
      </c>
      <c r="E692" s="557">
        <v>1</v>
      </c>
      <c r="F692" s="557">
        <v>1</v>
      </c>
      <c r="G692" s="558">
        <v>15</v>
      </c>
      <c r="H692" s="558">
        <v>15</v>
      </c>
      <c r="I692" s="148">
        <v>14</v>
      </c>
      <c r="J692" s="148" t="s">
        <v>1751</v>
      </c>
      <c r="K692" s="148">
        <v>14</v>
      </c>
      <c r="L692" s="148" t="s">
        <v>1751</v>
      </c>
      <c r="M692" s="148">
        <v>14</v>
      </c>
      <c r="N692" s="148" t="s">
        <v>1751</v>
      </c>
      <c r="O692" s="148">
        <v>14</v>
      </c>
      <c r="P692" s="148" t="s">
        <v>1751</v>
      </c>
      <c r="Q692" s="486">
        <v>30</v>
      </c>
      <c r="R692" s="547"/>
      <c r="S692" s="547"/>
      <c r="T692" s="547"/>
      <c r="U692" s="546"/>
      <c r="V692" s="547"/>
      <c r="W692" s="547"/>
      <c r="X692" s="548"/>
      <c r="Y692" s="548"/>
      <c r="Z692" s="548"/>
      <c r="AA692" s="548"/>
      <c r="AB692" s="548"/>
      <c r="AC692" s="548"/>
    </row>
    <row r="693" spans="1:39" s="96" customFormat="1">
      <c r="A693" s="92"/>
      <c r="B693" s="562" t="s">
        <v>1767</v>
      </c>
      <c r="C693" s="557">
        <v>1</v>
      </c>
      <c r="D693" s="557">
        <v>1</v>
      </c>
      <c r="E693" s="557">
        <v>1</v>
      </c>
      <c r="F693" s="557">
        <v>1</v>
      </c>
      <c r="G693" s="561">
        <v>2.2000000000000002</v>
      </c>
      <c r="H693" s="561">
        <v>2.2000000000000002</v>
      </c>
      <c r="I693" s="148">
        <v>5</v>
      </c>
      <c r="J693" s="148" t="s">
        <v>1768</v>
      </c>
      <c r="K693" s="148">
        <v>5</v>
      </c>
      <c r="L693" s="148" t="s">
        <v>1768</v>
      </c>
      <c r="M693" s="148">
        <v>5</v>
      </c>
      <c r="N693" s="148" t="s">
        <v>1768</v>
      </c>
      <c r="O693" s="148">
        <v>5</v>
      </c>
      <c r="P693" s="148" t="s">
        <v>1768</v>
      </c>
      <c r="Q693" s="486">
        <v>30</v>
      </c>
      <c r="R693" s="547"/>
      <c r="S693" s="547"/>
      <c r="T693" s="547"/>
      <c r="U693" s="546"/>
      <c r="V693" s="547"/>
      <c r="W693" s="547"/>
      <c r="X693" s="548"/>
      <c r="Y693" s="548"/>
      <c r="Z693" s="548"/>
      <c r="AA693" s="548"/>
      <c r="AB693" s="548"/>
      <c r="AC693" s="548"/>
      <c r="AM693" s="96">
        <v>5</v>
      </c>
    </row>
    <row r="694" spans="1:39" s="96" customFormat="1">
      <c r="A694" s="92"/>
      <c r="B694" s="549" t="s">
        <v>341</v>
      </c>
      <c r="C694" s="557">
        <v>1</v>
      </c>
      <c r="D694" s="557">
        <v>1</v>
      </c>
      <c r="E694" s="557">
        <v>1</v>
      </c>
      <c r="F694" s="557">
        <v>1</v>
      </c>
      <c r="G694" s="561">
        <v>0.56000000000000005</v>
      </c>
      <c r="H694" s="561">
        <v>0.56000000000000005</v>
      </c>
      <c r="I694" s="148">
        <v>24</v>
      </c>
      <c r="J694" s="148" t="s">
        <v>1769</v>
      </c>
      <c r="K694" s="148">
        <v>24</v>
      </c>
      <c r="L694" s="148" t="s">
        <v>1769</v>
      </c>
      <c r="M694" s="148">
        <v>24</v>
      </c>
      <c r="N694" s="148" t="s">
        <v>1769</v>
      </c>
      <c r="O694" s="148">
        <v>24</v>
      </c>
      <c r="P694" s="148" t="s">
        <v>1769</v>
      </c>
      <c r="Q694" s="486">
        <v>30</v>
      </c>
      <c r="R694" s="547"/>
      <c r="S694" s="547"/>
      <c r="T694" s="547"/>
      <c r="U694" s="546"/>
      <c r="V694" s="547"/>
      <c r="W694" s="547"/>
      <c r="X694" s="548"/>
      <c r="Y694" s="548"/>
      <c r="Z694" s="548"/>
      <c r="AA694" s="548"/>
      <c r="AB694" s="548"/>
      <c r="AC694" s="548"/>
    </row>
    <row r="695" spans="1:39" s="96" customFormat="1">
      <c r="A695" s="92"/>
      <c r="B695" s="549" t="s">
        <v>1770</v>
      </c>
      <c r="C695" s="557">
        <v>1</v>
      </c>
      <c r="D695" s="557">
        <v>1</v>
      </c>
      <c r="E695" s="557">
        <v>1</v>
      </c>
      <c r="F695" s="557">
        <v>1</v>
      </c>
      <c r="G695" s="561">
        <v>0.4</v>
      </c>
      <c r="H695" s="561">
        <v>0.4</v>
      </c>
      <c r="I695" s="148">
        <v>2</v>
      </c>
      <c r="J695" s="148" t="s">
        <v>1771</v>
      </c>
      <c r="K695" s="148">
        <v>2</v>
      </c>
      <c r="L695" s="148" t="s">
        <v>1771</v>
      </c>
      <c r="M695" s="148">
        <v>2</v>
      </c>
      <c r="N695" s="148" t="s">
        <v>1771</v>
      </c>
      <c r="O695" s="148">
        <v>2</v>
      </c>
      <c r="P695" s="148" t="s">
        <v>1771</v>
      </c>
      <c r="Q695" s="486">
        <v>30</v>
      </c>
      <c r="R695" s="547"/>
      <c r="S695" s="547"/>
      <c r="T695" s="547"/>
      <c r="U695" s="546"/>
      <c r="V695" s="547"/>
      <c r="W695" s="547"/>
      <c r="X695" s="548"/>
      <c r="Y695" s="548"/>
      <c r="Z695" s="548"/>
      <c r="AA695" s="548"/>
      <c r="AB695" s="548"/>
      <c r="AC695" s="548"/>
    </row>
    <row r="696" spans="1:39" s="96" customFormat="1" ht="30">
      <c r="A696" s="92"/>
      <c r="B696" s="549" t="s">
        <v>1327</v>
      </c>
      <c r="C696" s="557">
        <v>1</v>
      </c>
      <c r="D696" s="557">
        <v>1</v>
      </c>
      <c r="E696" s="557">
        <v>1</v>
      </c>
      <c r="F696" s="557">
        <v>1</v>
      </c>
      <c r="G696" s="561">
        <v>0.4</v>
      </c>
      <c r="H696" s="561">
        <v>0.4</v>
      </c>
      <c r="I696" s="148">
        <v>14</v>
      </c>
      <c r="J696" s="148" t="s">
        <v>1751</v>
      </c>
      <c r="K696" s="148">
        <v>14</v>
      </c>
      <c r="L696" s="148" t="s">
        <v>1751</v>
      </c>
      <c r="M696" s="148">
        <v>14</v>
      </c>
      <c r="N696" s="148" t="s">
        <v>1751</v>
      </c>
      <c r="O696" s="148">
        <v>14</v>
      </c>
      <c r="P696" s="148" t="s">
        <v>1751</v>
      </c>
      <c r="Q696" s="486">
        <v>30</v>
      </c>
      <c r="R696" s="547"/>
      <c r="S696" s="547"/>
      <c r="T696" s="547"/>
      <c r="U696" s="546"/>
      <c r="V696" s="547"/>
      <c r="W696" s="547"/>
      <c r="X696" s="548"/>
      <c r="Y696" s="548"/>
      <c r="Z696" s="548"/>
      <c r="AA696" s="548"/>
      <c r="AB696" s="548"/>
      <c r="AC696" s="548"/>
    </row>
    <row r="697" spans="1:39" s="96" customFormat="1">
      <c r="A697" s="92"/>
      <c r="B697" s="556" t="s">
        <v>1772</v>
      </c>
      <c r="C697" s="557">
        <v>1</v>
      </c>
      <c r="D697" s="557">
        <v>1</v>
      </c>
      <c r="E697" s="557">
        <v>1</v>
      </c>
      <c r="F697" s="557">
        <v>1</v>
      </c>
      <c r="G697" s="561">
        <v>14.4</v>
      </c>
      <c r="H697" s="561">
        <v>14.4</v>
      </c>
      <c r="I697" s="148">
        <v>11</v>
      </c>
      <c r="J697" s="148" t="s">
        <v>1753</v>
      </c>
      <c r="K697" s="148">
        <v>11</v>
      </c>
      <c r="L697" s="148" t="s">
        <v>1753</v>
      </c>
      <c r="M697" s="148">
        <v>11</v>
      </c>
      <c r="N697" s="148" t="s">
        <v>1753</v>
      </c>
      <c r="O697" s="148">
        <v>11</v>
      </c>
      <c r="P697" s="148" t="s">
        <v>1753</v>
      </c>
      <c r="Q697" s="486">
        <v>30</v>
      </c>
      <c r="R697" s="547"/>
      <c r="S697" s="547"/>
      <c r="T697" s="547"/>
      <c r="U697" s="546"/>
      <c r="V697" s="547"/>
      <c r="W697" s="547"/>
      <c r="X697" s="548"/>
      <c r="Y697" s="548"/>
      <c r="Z697" s="548"/>
      <c r="AA697" s="548"/>
      <c r="AB697" s="548"/>
      <c r="AC697" s="548"/>
    </row>
    <row r="698" spans="1:39" s="96" customFormat="1">
      <c r="A698" s="92"/>
      <c r="B698" s="559" t="s">
        <v>1372</v>
      </c>
      <c r="C698" s="557">
        <v>6</v>
      </c>
      <c r="D698" s="557">
        <v>6</v>
      </c>
      <c r="E698" s="557">
        <v>6</v>
      </c>
      <c r="F698" s="557">
        <v>6</v>
      </c>
      <c r="G698" s="560">
        <v>0.08</v>
      </c>
      <c r="H698" s="560">
        <v>0.08</v>
      </c>
      <c r="I698" s="148">
        <v>18</v>
      </c>
      <c r="J698" s="148" t="s">
        <v>1758</v>
      </c>
      <c r="K698" s="148">
        <v>18</v>
      </c>
      <c r="L698" s="148" t="s">
        <v>1758</v>
      </c>
      <c r="M698" s="148">
        <v>18</v>
      </c>
      <c r="N698" s="148" t="s">
        <v>1758</v>
      </c>
      <c r="O698" s="148">
        <v>18</v>
      </c>
      <c r="P698" s="148" t="s">
        <v>1758</v>
      </c>
      <c r="Q698" s="486">
        <v>30</v>
      </c>
      <c r="R698" s="547"/>
      <c r="S698" s="547"/>
      <c r="T698" s="547"/>
      <c r="U698" s="546"/>
      <c r="V698" s="547"/>
      <c r="W698" s="547"/>
      <c r="X698" s="548"/>
      <c r="Y698" s="548"/>
      <c r="Z698" s="548"/>
      <c r="AA698" s="548"/>
      <c r="AB698" s="548"/>
      <c r="AC698" s="548"/>
    </row>
    <row r="699" spans="1:39" s="96" customFormat="1">
      <c r="A699" s="92"/>
      <c r="B699" s="556" t="s">
        <v>1773</v>
      </c>
      <c r="C699" s="557">
        <v>1</v>
      </c>
      <c r="D699" s="557">
        <v>2</v>
      </c>
      <c r="E699" s="557">
        <v>3</v>
      </c>
      <c r="F699" s="557">
        <v>3</v>
      </c>
      <c r="G699" s="558">
        <v>9.0399999999999991</v>
      </c>
      <c r="H699" s="558">
        <v>9.0399999999999991</v>
      </c>
      <c r="I699" s="148">
        <v>15</v>
      </c>
      <c r="J699" s="148" t="s">
        <v>1774</v>
      </c>
      <c r="K699" s="148">
        <v>15</v>
      </c>
      <c r="L699" s="148" t="s">
        <v>1774</v>
      </c>
      <c r="M699" s="148">
        <v>15</v>
      </c>
      <c r="N699" s="148" t="s">
        <v>1774</v>
      </c>
      <c r="O699" s="148">
        <v>15</v>
      </c>
      <c r="P699" s="148" t="s">
        <v>1774</v>
      </c>
      <c r="Q699" s="486">
        <v>30</v>
      </c>
      <c r="R699" s="547"/>
      <c r="S699" s="547"/>
      <c r="T699" s="547"/>
      <c r="U699" s="546"/>
      <c r="V699" s="547"/>
      <c r="W699" s="547"/>
      <c r="X699" s="548"/>
      <c r="Y699" s="548"/>
      <c r="Z699" s="548"/>
      <c r="AA699" s="548"/>
      <c r="AB699" s="548"/>
      <c r="AC699" s="548"/>
    </row>
  </sheetData>
  <mergeCells count="19">
    <mergeCell ref="D431:T431"/>
    <mergeCell ref="D459:T459"/>
    <mergeCell ref="A1:AB1"/>
    <mergeCell ref="Q2:Q3"/>
    <mergeCell ref="R2:U2"/>
    <mergeCell ref="V2:Y2"/>
    <mergeCell ref="Z2:AC2"/>
    <mergeCell ref="I3:J3"/>
    <mergeCell ref="K3:L3"/>
    <mergeCell ref="M3:N3"/>
    <mergeCell ref="O3:P3"/>
    <mergeCell ref="C2:F2"/>
    <mergeCell ref="H2:H3"/>
    <mergeCell ref="I2:P2"/>
    <mergeCell ref="A2:A3"/>
    <mergeCell ref="B2:B3"/>
    <mergeCell ref="G2:G3"/>
    <mergeCell ref="D415:T415"/>
    <mergeCell ref="D421:T421"/>
  </mergeCells>
  <pageMargins left="0.7" right="0.7" top="0.75" bottom="0.75" header="0.3" footer="0.3"/>
  <pageSetup scale="32" orientation="portrait" r:id="rId1"/>
  <colBreaks count="1" manualBreakCount="1">
    <brk id="17" max="54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CF72-BE69-452D-AB78-FB820C1D60A6}">
  <dimension ref="A1:AG96"/>
  <sheetViews>
    <sheetView tabSelected="1" zoomScale="70" zoomScaleNormal="70" workbookViewId="0">
      <pane ySplit="4" topLeftCell="A68" activePane="bottomLeft" state="frozen"/>
      <selection pane="bottomLeft" activeCell="O94" sqref="O94"/>
    </sheetView>
  </sheetViews>
  <sheetFormatPr defaultColWidth="8.85546875" defaultRowHeight="15"/>
  <cols>
    <col min="1" max="1" width="9" style="137" customWidth="1"/>
    <col min="2" max="2" width="45" style="136" customWidth="1"/>
    <col min="3" max="3" width="10.42578125" style="160" customWidth="1"/>
    <col min="4" max="4" width="11.42578125" style="160" bestFit="1" customWidth="1"/>
    <col min="5" max="6" width="10.42578125" style="160" customWidth="1"/>
    <col min="7" max="8" width="15.42578125" style="136" customWidth="1"/>
    <col min="9" max="9" width="21.85546875" style="161" customWidth="1"/>
    <col min="10" max="10" width="23" style="161" customWidth="1"/>
    <col min="11" max="11" width="16.28515625" style="161" customWidth="1"/>
    <col min="12" max="12" width="22.42578125" style="161" customWidth="1"/>
    <col min="13" max="13" width="19.5703125" style="161" customWidth="1"/>
    <col min="14" max="14" width="35.7109375" style="160" customWidth="1"/>
    <col min="15" max="15" width="16.28515625" style="161" customWidth="1"/>
    <col min="16" max="16" width="25" style="161" customWidth="1"/>
    <col min="17" max="17" width="11.85546875" style="136" customWidth="1"/>
    <col min="18" max="29" width="13.7109375" style="136" hidden="1" customWidth="1"/>
    <col min="30" max="16384" width="8.85546875" style="136"/>
  </cols>
  <sheetData>
    <row r="1" spans="1:33" ht="37.9" customHeight="1">
      <c r="A1" s="741" t="s">
        <v>1814</v>
      </c>
      <c r="B1" s="741"/>
      <c r="C1" s="741"/>
      <c r="D1" s="741"/>
      <c r="E1" s="741"/>
      <c r="F1" s="741"/>
      <c r="G1" s="741"/>
      <c r="H1" s="741"/>
      <c r="I1" s="742"/>
      <c r="J1" s="742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</row>
    <row r="2" spans="1:33" ht="39.75" customHeight="1">
      <c r="A2" s="745" t="s">
        <v>1</v>
      </c>
      <c r="B2" s="745" t="s">
        <v>2</v>
      </c>
      <c r="C2" s="812" t="s">
        <v>536</v>
      </c>
      <c r="D2" s="812"/>
      <c r="E2" s="812"/>
      <c r="F2" s="813"/>
      <c r="G2" s="745" t="s">
        <v>8</v>
      </c>
      <c r="H2" s="814" t="s">
        <v>497</v>
      </c>
      <c r="I2" s="812" t="s">
        <v>616</v>
      </c>
      <c r="J2" s="812"/>
      <c r="K2" s="812"/>
      <c r="L2" s="812"/>
      <c r="M2" s="812"/>
      <c r="N2" s="812"/>
      <c r="O2" s="812"/>
      <c r="P2" s="813"/>
      <c r="Q2" s="745" t="s">
        <v>5</v>
      </c>
      <c r="R2" s="736" t="s">
        <v>501</v>
      </c>
      <c r="S2" s="736"/>
      <c r="T2" s="736"/>
      <c r="U2" s="737"/>
      <c r="V2" s="736" t="s">
        <v>502</v>
      </c>
      <c r="W2" s="736"/>
      <c r="X2" s="736"/>
      <c r="Y2" s="737"/>
      <c r="Z2" s="736" t="s">
        <v>503</v>
      </c>
      <c r="AA2" s="736"/>
      <c r="AB2" s="736"/>
      <c r="AC2" s="737"/>
    </row>
    <row r="3" spans="1:33" s="137" customFormat="1" ht="49.5" customHeight="1">
      <c r="A3" s="746"/>
      <c r="B3" s="746"/>
      <c r="C3" s="640" t="s">
        <v>612</v>
      </c>
      <c r="D3" s="640" t="s">
        <v>613</v>
      </c>
      <c r="E3" s="640" t="s">
        <v>534</v>
      </c>
      <c r="F3" s="640" t="s">
        <v>535</v>
      </c>
      <c r="G3" s="746"/>
      <c r="H3" s="814"/>
      <c r="I3" s="812" t="s">
        <v>612</v>
      </c>
      <c r="J3" s="813"/>
      <c r="K3" s="815" t="s">
        <v>613</v>
      </c>
      <c r="L3" s="813"/>
      <c r="M3" s="814" t="s">
        <v>534</v>
      </c>
      <c r="N3" s="814"/>
      <c r="O3" s="814" t="s">
        <v>535</v>
      </c>
      <c r="P3" s="814"/>
      <c r="Q3" s="746"/>
      <c r="R3" s="279" t="s">
        <v>612</v>
      </c>
      <c r="S3" s="279" t="s">
        <v>613</v>
      </c>
      <c r="T3" s="279" t="s">
        <v>534</v>
      </c>
      <c r="U3" s="279" t="s">
        <v>535</v>
      </c>
      <c r="V3" s="279" t="s">
        <v>612</v>
      </c>
      <c r="W3" s="279" t="s">
        <v>613</v>
      </c>
      <c r="X3" s="279" t="s">
        <v>534</v>
      </c>
      <c r="Y3" s="279" t="s">
        <v>535</v>
      </c>
      <c r="Z3" s="279" t="s">
        <v>612</v>
      </c>
      <c r="AA3" s="279" t="s">
        <v>613</v>
      </c>
      <c r="AB3" s="279" t="s">
        <v>534</v>
      </c>
      <c r="AC3" s="279" t="s">
        <v>535</v>
      </c>
    </row>
    <row r="4" spans="1:33" s="137" customFormat="1" ht="15.75">
      <c r="A4" s="279"/>
      <c r="B4" s="279"/>
      <c r="C4" s="284"/>
      <c r="D4" s="284"/>
      <c r="E4" s="284"/>
      <c r="F4" s="284"/>
      <c r="G4" s="279"/>
      <c r="H4" s="284"/>
      <c r="I4" s="693" t="s">
        <v>498</v>
      </c>
      <c r="J4" s="693" t="s">
        <v>496</v>
      </c>
      <c r="K4" s="693" t="s">
        <v>498</v>
      </c>
      <c r="L4" s="693" t="s">
        <v>496</v>
      </c>
      <c r="M4" s="693" t="s">
        <v>498</v>
      </c>
      <c r="N4" s="712" t="s">
        <v>496</v>
      </c>
      <c r="O4" s="693" t="s">
        <v>498</v>
      </c>
      <c r="P4" s="693" t="s">
        <v>496</v>
      </c>
      <c r="Q4" s="431"/>
      <c r="R4" s="282"/>
      <c r="S4" s="281"/>
      <c r="T4" s="281"/>
      <c r="U4" s="281"/>
      <c r="V4" s="282"/>
      <c r="W4" s="281"/>
      <c r="X4" s="281"/>
      <c r="Y4" s="281"/>
      <c r="Z4" s="282"/>
      <c r="AA4" s="281"/>
      <c r="AB4" s="281"/>
      <c r="AC4" s="281"/>
    </row>
    <row r="5" spans="1:33" s="96" customFormat="1" ht="23.25" customHeight="1">
      <c r="A5" s="138">
        <v>1</v>
      </c>
      <c r="B5" s="138" t="s">
        <v>321</v>
      </c>
      <c r="C5" s="139"/>
      <c r="D5" s="139"/>
      <c r="E5" s="139"/>
      <c r="F5" s="139"/>
      <c r="G5" s="138"/>
      <c r="H5" s="138"/>
      <c r="I5" s="140"/>
      <c r="J5" s="141"/>
      <c r="K5" s="140"/>
      <c r="L5" s="141"/>
      <c r="M5" s="141"/>
      <c r="N5" s="713"/>
      <c r="O5" s="141"/>
      <c r="P5" s="141"/>
      <c r="Q5" s="142">
        <v>8</v>
      </c>
      <c r="R5" s="138"/>
      <c r="S5" s="139"/>
      <c r="T5" s="139"/>
      <c r="U5" s="139"/>
      <c r="V5" s="138"/>
      <c r="W5" s="139"/>
      <c r="X5" s="139"/>
      <c r="Y5" s="139"/>
      <c r="Z5" s="138"/>
      <c r="AA5" s="139"/>
      <c r="AB5" s="139"/>
      <c r="AC5" s="139"/>
    </row>
    <row r="6" spans="1:33" s="96" customFormat="1" ht="18.75" customHeight="1">
      <c r="A6" s="432" t="s">
        <v>6</v>
      </c>
      <c r="B6" s="433" t="s">
        <v>1817</v>
      </c>
      <c r="C6" s="434">
        <v>1</v>
      </c>
      <c r="D6" s="435">
        <v>1</v>
      </c>
      <c r="E6" s="435">
        <v>1</v>
      </c>
      <c r="F6" s="435">
        <v>1</v>
      </c>
      <c r="G6" s="436"/>
      <c r="H6" s="436"/>
      <c r="I6" s="140">
        <v>4</v>
      </c>
      <c r="J6" s="141" t="s">
        <v>1819</v>
      </c>
      <c r="K6" s="140">
        <v>5</v>
      </c>
      <c r="L6" s="141" t="s">
        <v>1820</v>
      </c>
      <c r="M6" s="439"/>
      <c r="N6" s="713" t="s">
        <v>1821</v>
      </c>
      <c r="O6" s="435">
        <v>9</v>
      </c>
      <c r="P6" s="141" t="s">
        <v>1818</v>
      </c>
      <c r="Q6" s="206">
        <v>26</v>
      </c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</row>
    <row r="7" spans="1:33" s="96" customFormat="1">
      <c r="A7" s="92">
        <v>1</v>
      </c>
      <c r="B7" s="143"/>
      <c r="C7" s="14"/>
      <c r="D7" s="14"/>
      <c r="E7" s="14"/>
      <c r="F7" s="14"/>
      <c r="G7" s="149"/>
      <c r="H7" s="149"/>
      <c r="I7" s="144"/>
      <c r="J7" s="150"/>
      <c r="K7" s="144"/>
      <c r="L7" s="150"/>
      <c r="M7" s="144"/>
      <c r="N7" s="129"/>
      <c r="O7" s="144"/>
      <c r="P7" s="150"/>
      <c r="Q7" s="206"/>
      <c r="R7" s="145"/>
      <c r="S7" s="146"/>
      <c r="T7" s="146"/>
      <c r="U7" s="146">
        <f t="shared" ref="U7:U52" si="0">F7*G7*O7*Q7</f>
        <v>0</v>
      </c>
      <c r="V7" s="145">
        <f t="shared" ref="V7:V50" si="1">C7*H7*I7*Q7</f>
        <v>0</v>
      </c>
      <c r="W7" s="146">
        <f t="shared" ref="W7:W50" si="2">D7*H7*K7*Q7</f>
        <v>0</v>
      </c>
      <c r="X7" s="146">
        <f t="shared" ref="X7:X50" si="3">E7*H7*M7*Q7</f>
        <v>0</v>
      </c>
      <c r="Y7" s="146">
        <f t="shared" ref="Y7:Y52" si="4">F7*H7*O7*Q7</f>
        <v>0</v>
      </c>
      <c r="Z7" s="95" t="e">
        <f t="shared" ref="Z7:AC22" si="5">V7/R7</f>
        <v>#DIV/0!</v>
      </c>
      <c r="AA7" s="95" t="e">
        <f t="shared" si="5"/>
        <v>#DIV/0!</v>
      </c>
      <c r="AB7" s="95" t="e">
        <f t="shared" si="5"/>
        <v>#DIV/0!</v>
      </c>
      <c r="AC7" s="95" t="e">
        <f t="shared" si="5"/>
        <v>#DIV/0!</v>
      </c>
    </row>
    <row r="8" spans="1:33" s="96" customFormat="1">
      <c r="A8" s="92">
        <v>2</v>
      </c>
      <c r="B8" s="143"/>
      <c r="C8" s="92"/>
      <c r="D8" s="92"/>
      <c r="E8" s="92"/>
      <c r="F8" s="92"/>
      <c r="G8" s="149"/>
      <c r="H8" s="149"/>
      <c r="I8" s="144"/>
      <c r="J8" s="144"/>
      <c r="K8" s="144"/>
      <c r="L8" s="144"/>
      <c r="M8" s="144"/>
      <c r="N8" s="92"/>
      <c r="O8" s="144"/>
      <c r="P8" s="144"/>
      <c r="Q8" s="206"/>
      <c r="R8" s="145"/>
      <c r="S8" s="146"/>
      <c r="T8" s="146"/>
      <c r="U8" s="146">
        <f t="shared" si="0"/>
        <v>0</v>
      </c>
      <c r="V8" s="145">
        <f t="shared" si="1"/>
        <v>0</v>
      </c>
      <c r="W8" s="146">
        <f t="shared" si="2"/>
        <v>0</v>
      </c>
      <c r="X8" s="146">
        <f t="shared" si="3"/>
        <v>0</v>
      </c>
      <c r="Y8" s="146">
        <f t="shared" si="4"/>
        <v>0</v>
      </c>
      <c r="Z8" s="95" t="e">
        <f t="shared" si="5"/>
        <v>#DIV/0!</v>
      </c>
      <c r="AA8" s="95" t="e">
        <f t="shared" si="5"/>
        <v>#DIV/0!</v>
      </c>
      <c r="AB8" s="95" t="e">
        <f t="shared" si="5"/>
        <v>#DIV/0!</v>
      </c>
      <c r="AC8" s="95" t="e">
        <f t="shared" si="5"/>
        <v>#DIV/0!</v>
      </c>
    </row>
    <row r="9" spans="1:33" s="96" customFormat="1">
      <c r="A9" s="92">
        <v>3</v>
      </c>
      <c r="B9" s="126"/>
      <c r="C9" s="92"/>
      <c r="D9" s="92"/>
      <c r="E9" s="92"/>
      <c r="F9" s="92"/>
      <c r="G9" s="149"/>
      <c r="H9" s="149"/>
      <c r="I9" s="144"/>
      <c r="J9" s="144"/>
      <c r="K9" s="144"/>
      <c r="L9" s="144"/>
      <c r="M9" s="144"/>
      <c r="N9" s="92"/>
      <c r="O9" s="144"/>
      <c r="P9" s="144"/>
      <c r="Q9" s="206"/>
      <c r="R9" s="145"/>
      <c r="S9" s="146"/>
      <c r="T9" s="146"/>
      <c r="U9" s="146">
        <f t="shared" si="0"/>
        <v>0</v>
      </c>
      <c r="V9" s="145">
        <f t="shared" si="1"/>
        <v>0</v>
      </c>
      <c r="W9" s="146">
        <f t="shared" si="2"/>
        <v>0</v>
      </c>
      <c r="X9" s="146">
        <f t="shared" si="3"/>
        <v>0</v>
      </c>
      <c r="Y9" s="146">
        <f t="shared" si="4"/>
        <v>0</v>
      </c>
      <c r="Z9" s="95" t="e">
        <f t="shared" si="5"/>
        <v>#DIV/0!</v>
      </c>
      <c r="AA9" s="95" t="e">
        <f t="shared" si="5"/>
        <v>#DIV/0!</v>
      </c>
      <c r="AB9" s="95" t="e">
        <f t="shared" si="5"/>
        <v>#DIV/0!</v>
      </c>
      <c r="AC9" s="95" t="e">
        <f t="shared" si="5"/>
        <v>#DIV/0!</v>
      </c>
    </row>
    <row r="10" spans="1:33" s="96" customFormat="1">
      <c r="A10" s="92">
        <v>4</v>
      </c>
      <c r="B10" s="143"/>
      <c r="C10" s="92"/>
      <c r="D10" s="92"/>
      <c r="E10" s="92"/>
      <c r="F10" s="92"/>
      <c r="G10" s="149"/>
      <c r="H10" s="149"/>
      <c r="I10" s="144"/>
      <c r="J10" s="144"/>
      <c r="K10" s="144"/>
      <c r="L10" s="144"/>
      <c r="M10" s="144"/>
      <c r="N10" s="92"/>
      <c r="O10" s="144"/>
      <c r="P10" s="144"/>
      <c r="Q10" s="206"/>
      <c r="R10" s="145"/>
      <c r="S10" s="146"/>
      <c r="T10" s="146"/>
      <c r="U10" s="146">
        <f t="shared" si="0"/>
        <v>0</v>
      </c>
      <c r="V10" s="145">
        <f t="shared" si="1"/>
        <v>0</v>
      </c>
      <c r="W10" s="146">
        <f t="shared" si="2"/>
        <v>0</v>
      </c>
      <c r="X10" s="146">
        <f t="shared" si="3"/>
        <v>0</v>
      </c>
      <c r="Y10" s="146">
        <f t="shared" si="4"/>
        <v>0</v>
      </c>
      <c r="Z10" s="95" t="e">
        <f t="shared" si="5"/>
        <v>#DIV/0!</v>
      </c>
      <c r="AA10" s="95" t="e">
        <f t="shared" si="5"/>
        <v>#DIV/0!</v>
      </c>
      <c r="AB10" s="95" t="e">
        <f t="shared" si="5"/>
        <v>#DIV/0!</v>
      </c>
      <c r="AC10" s="95" t="e">
        <f t="shared" si="5"/>
        <v>#DIV/0!</v>
      </c>
    </row>
    <row r="11" spans="1:33" s="96" customFormat="1">
      <c r="A11" s="92">
        <v>5</v>
      </c>
      <c r="B11" s="143"/>
      <c r="C11" s="92"/>
      <c r="D11" s="92"/>
      <c r="E11" s="92"/>
      <c r="F11" s="92"/>
      <c r="G11" s="149"/>
      <c r="H11" s="149"/>
      <c r="I11" s="144"/>
      <c r="J11" s="144"/>
      <c r="K11" s="144"/>
      <c r="L11" s="144"/>
      <c r="M11" s="144"/>
      <c r="N11" s="92"/>
      <c r="O11" s="144"/>
      <c r="P11" s="144"/>
      <c r="Q11" s="206"/>
      <c r="R11" s="145"/>
      <c r="S11" s="146"/>
      <c r="T11" s="146"/>
      <c r="U11" s="146">
        <f t="shared" si="0"/>
        <v>0</v>
      </c>
      <c r="V11" s="145">
        <f t="shared" si="1"/>
        <v>0</v>
      </c>
      <c r="W11" s="146">
        <f t="shared" si="2"/>
        <v>0</v>
      </c>
      <c r="X11" s="146">
        <f t="shared" si="3"/>
        <v>0</v>
      </c>
      <c r="Y11" s="146">
        <f t="shared" si="4"/>
        <v>0</v>
      </c>
      <c r="Z11" s="95" t="e">
        <f t="shared" si="5"/>
        <v>#DIV/0!</v>
      </c>
      <c r="AA11" s="95" t="e">
        <f t="shared" si="5"/>
        <v>#DIV/0!</v>
      </c>
      <c r="AB11" s="95" t="e">
        <f t="shared" si="5"/>
        <v>#DIV/0!</v>
      </c>
      <c r="AC11" s="95" t="e">
        <f t="shared" si="5"/>
        <v>#DIV/0!</v>
      </c>
    </row>
    <row r="12" spans="1:33" s="96" customFormat="1">
      <c r="A12" s="92">
        <v>1</v>
      </c>
      <c r="B12" s="143"/>
      <c r="C12" s="92"/>
      <c r="D12" s="92"/>
      <c r="E12" s="92"/>
      <c r="F12" s="92"/>
      <c r="G12" s="126"/>
      <c r="H12" s="126"/>
      <c r="I12" s="144"/>
      <c r="J12" s="144"/>
      <c r="K12" s="144"/>
      <c r="L12" s="144"/>
      <c r="M12" s="144"/>
      <c r="N12" s="92"/>
      <c r="O12" s="144"/>
      <c r="P12" s="144"/>
      <c r="Q12" s="206"/>
      <c r="R12" s="145"/>
      <c r="S12" s="146"/>
      <c r="T12" s="146"/>
      <c r="U12" s="146">
        <f t="shared" si="0"/>
        <v>0</v>
      </c>
      <c r="V12" s="145">
        <f t="shared" si="1"/>
        <v>0</v>
      </c>
      <c r="W12" s="146">
        <f t="shared" si="2"/>
        <v>0</v>
      </c>
      <c r="X12" s="146">
        <f t="shared" si="3"/>
        <v>0</v>
      </c>
      <c r="Y12" s="146">
        <f t="shared" si="4"/>
        <v>0</v>
      </c>
      <c r="Z12" s="147" t="e">
        <f t="shared" si="5"/>
        <v>#DIV/0!</v>
      </c>
      <c r="AA12" s="147" t="e">
        <f t="shared" si="5"/>
        <v>#DIV/0!</v>
      </c>
      <c r="AB12" s="147" t="e">
        <f t="shared" si="5"/>
        <v>#DIV/0!</v>
      </c>
      <c r="AC12" s="147" t="e">
        <f t="shared" si="5"/>
        <v>#DIV/0!</v>
      </c>
    </row>
    <row r="13" spans="1:33" s="96" customFormat="1">
      <c r="A13" s="92">
        <v>2</v>
      </c>
      <c r="B13" s="143"/>
      <c r="C13" s="92"/>
      <c r="D13" s="92"/>
      <c r="E13" s="92"/>
      <c r="F13" s="92"/>
      <c r="G13" s="126"/>
      <c r="H13" s="126"/>
      <c r="I13" s="144"/>
      <c r="J13" s="144"/>
      <c r="K13" s="144"/>
      <c r="L13" s="144"/>
      <c r="M13" s="144"/>
      <c r="N13" s="92"/>
      <c r="O13" s="144"/>
      <c r="P13" s="144"/>
      <c r="Q13" s="206"/>
      <c r="R13" s="145"/>
      <c r="S13" s="146"/>
      <c r="T13" s="146"/>
      <c r="U13" s="146">
        <f t="shared" si="0"/>
        <v>0</v>
      </c>
      <c r="V13" s="145">
        <f t="shared" si="1"/>
        <v>0</v>
      </c>
      <c r="W13" s="146">
        <f t="shared" si="2"/>
        <v>0</v>
      </c>
      <c r="X13" s="146">
        <f t="shared" si="3"/>
        <v>0</v>
      </c>
      <c r="Y13" s="146">
        <f t="shared" si="4"/>
        <v>0</v>
      </c>
      <c r="Z13" s="147" t="e">
        <f t="shared" si="5"/>
        <v>#DIV/0!</v>
      </c>
      <c r="AA13" s="147" t="e">
        <f t="shared" si="5"/>
        <v>#DIV/0!</v>
      </c>
      <c r="AB13" s="147" t="e">
        <f t="shared" si="5"/>
        <v>#DIV/0!</v>
      </c>
      <c r="AC13" s="147" t="e">
        <f t="shared" si="5"/>
        <v>#DIV/0!</v>
      </c>
    </row>
    <row r="14" spans="1:33" s="96" customFormat="1">
      <c r="A14" s="92">
        <v>3</v>
      </c>
      <c r="B14" s="143"/>
      <c r="C14" s="92"/>
      <c r="D14" s="92"/>
      <c r="E14" s="92"/>
      <c r="F14" s="92"/>
      <c r="G14" s="126"/>
      <c r="H14" s="126"/>
      <c r="I14" s="144"/>
      <c r="J14" s="144"/>
      <c r="K14" s="144"/>
      <c r="L14" s="144"/>
      <c r="M14" s="144"/>
      <c r="N14" s="92"/>
      <c r="O14" s="144"/>
      <c r="P14" s="144"/>
      <c r="Q14" s="206"/>
      <c r="R14" s="145"/>
      <c r="S14" s="146"/>
      <c r="T14" s="146"/>
      <c r="U14" s="146">
        <f t="shared" si="0"/>
        <v>0</v>
      </c>
      <c r="V14" s="145">
        <f t="shared" si="1"/>
        <v>0</v>
      </c>
      <c r="W14" s="146">
        <f t="shared" si="2"/>
        <v>0</v>
      </c>
      <c r="X14" s="146">
        <f t="shared" si="3"/>
        <v>0</v>
      </c>
      <c r="Y14" s="146">
        <f t="shared" si="4"/>
        <v>0</v>
      </c>
      <c r="Z14" s="147" t="e">
        <f t="shared" si="5"/>
        <v>#DIV/0!</v>
      </c>
      <c r="AA14" s="147" t="e">
        <f t="shared" si="5"/>
        <v>#DIV/0!</v>
      </c>
      <c r="AB14" s="147" t="e">
        <f t="shared" si="5"/>
        <v>#DIV/0!</v>
      </c>
      <c r="AC14" s="147" t="e">
        <f t="shared" si="5"/>
        <v>#DIV/0!</v>
      </c>
    </row>
    <row r="15" spans="1:33" s="96" customFormat="1">
      <c r="A15" s="92">
        <v>4</v>
      </c>
      <c r="B15" s="143"/>
      <c r="C15" s="130"/>
      <c r="D15" s="130"/>
      <c r="E15" s="130"/>
      <c r="F15" s="130"/>
      <c r="G15" s="148"/>
      <c r="H15" s="148"/>
      <c r="I15" s="148"/>
      <c r="J15" s="148"/>
      <c r="K15" s="148"/>
      <c r="L15" s="148"/>
      <c r="M15" s="148"/>
      <c r="N15" s="154"/>
      <c r="O15" s="148"/>
      <c r="P15" s="148"/>
      <c r="Q15" s="136"/>
      <c r="R15" s="145"/>
      <c r="S15" s="146"/>
      <c r="T15" s="146"/>
      <c r="U15" s="146">
        <f t="shared" si="0"/>
        <v>0</v>
      </c>
      <c r="V15" s="145">
        <f t="shared" si="1"/>
        <v>0</v>
      </c>
      <c r="W15" s="146">
        <f t="shared" si="2"/>
        <v>0</v>
      </c>
      <c r="X15" s="146">
        <f t="shared" si="3"/>
        <v>0</v>
      </c>
      <c r="Y15" s="146">
        <f t="shared" si="4"/>
        <v>0</v>
      </c>
      <c r="Z15" s="95" t="e">
        <f t="shared" si="5"/>
        <v>#DIV/0!</v>
      </c>
      <c r="AA15" s="95" t="e">
        <f t="shared" si="5"/>
        <v>#DIV/0!</v>
      </c>
      <c r="AB15" s="95" t="e">
        <f t="shared" si="5"/>
        <v>#DIV/0!</v>
      </c>
      <c r="AC15" s="95" t="e">
        <f t="shared" si="5"/>
        <v>#DIV/0!</v>
      </c>
    </row>
    <row r="16" spans="1:33" s="96" customFormat="1">
      <c r="A16" s="92">
        <v>5</v>
      </c>
      <c r="B16" s="143"/>
      <c r="C16" s="92"/>
      <c r="D16" s="92"/>
      <c r="E16" s="92"/>
      <c r="F16" s="92"/>
      <c r="G16" s="126"/>
      <c r="H16" s="126"/>
      <c r="I16" s="144"/>
      <c r="J16" s="144"/>
      <c r="K16" s="144"/>
      <c r="L16" s="144"/>
      <c r="M16" s="144"/>
      <c r="N16" s="92"/>
      <c r="O16" s="144"/>
      <c r="P16" s="144"/>
      <c r="Q16" s="206"/>
      <c r="R16" s="145"/>
      <c r="S16" s="146"/>
      <c r="T16" s="146"/>
      <c r="U16" s="146">
        <f t="shared" si="0"/>
        <v>0</v>
      </c>
      <c r="V16" s="145">
        <f t="shared" si="1"/>
        <v>0</v>
      </c>
      <c r="W16" s="146">
        <f t="shared" si="2"/>
        <v>0</v>
      </c>
      <c r="X16" s="146">
        <f t="shared" si="3"/>
        <v>0</v>
      </c>
      <c r="Y16" s="146">
        <f t="shared" si="4"/>
        <v>0</v>
      </c>
      <c r="Z16" s="147" t="e">
        <f t="shared" si="5"/>
        <v>#DIV/0!</v>
      </c>
      <c r="AA16" s="147" t="e">
        <f t="shared" si="5"/>
        <v>#DIV/0!</v>
      </c>
      <c r="AB16" s="147" t="e">
        <f t="shared" si="5"/>
        <v>#DIV/0!</v>
      </c>
      <c r="AC16" s="147" t="e">
        <f t="shared" si="5"/>
        <v>#DIV/0!</v>
      </c>
      <c r="AG16" s="96">
        <f>50*20</f>
        <v>1000</v>
      </c>
    </row>
    <row r="17" spans="1:29" s="96" customFormat="1">
      <c r="A17" s="92">
        <v>6</v>
      </c>
      <c r="B17" s="143"/>
      <c r="C17" s="92"/>
      <c r="D17" s="92"/>
      <c r="E17" s="92"/>
      <c r="F17" s="92"/>
      <c r="G17" s="126"/>
      <c r="H17" s="126"/>
      <c r="I17" s="144"/>
      <c r="J17" s="144"/>
      <c r="K17" s="144"/>
      <c r="L17" s="144"/>
      <c r="M17" s="144"/>
      <c r="N17" s="92"/>
      <c r="O17" s="144"/>
      <c r="P17" s="144"/>
      <c r="Q17" s="206"/>
      <c r="R17" s="145"/>
      <c r="S17" s="146"/>
      <c r="T17" s="146"/>
      <c r="U17" s="146">
        <f t="shared" si="0"/>
        <v>0</v>
      </c>
      <c r="V17" s="145">
        <f t="shared" si="1"/>
        <v>0</v>
      </c>
      <c r="W17" s="146">
        <f t="shared" si="2"/>
        <v>0</v>
      </c>
      <c r="X17" s="146">
        <f t="shared" si="3"/>
        <v>0</v>
      </c>
      <c r="Y17" s="146">
        <f t="shared" si="4"/>
        <v>0</v>
      </c>
      <c r="Z17" s="147" t="e">
        <f t="shared" si="5"/>
        <v>#DIV/0!</v>
      </c>
      <c r="AA17" s="147" t="e">
        <f t="shared" si="5"/>
        <v>#DIV/0!</v>
      </c>
      <c r="AB17" s="147" t="e">
        <f t="shared" si="5"/>
        <v>#DIV/0!</v>
      </c>
      <c r="AC17" s="147" t="e">
        <f t="shared" si="5"/>
        <v>#DIV/0!</v>
      </c>
    </row>
    <row r="18" spans="1:29" s="96" customFormat="1">
      <c r="A18" s="92">
        <v>7</v>
      </c>
      <c r="B18" s="143"/>
      <c r="C18" s="92"/>
      <c r="D18" s="92"/>
      <c r="E18" s="92"/>
      <c r="F18" s="92"/>
      <c r="G18" s="126"/>
      <c r="H18" s="126"/>
      <c r="I18" s="144"/>
      <c r="J18" s="144"/>
      <c r="K18" s="144"/>
      <c r="L18" s="144"/>
      <c r="M18" s="144"/>
      <c r="N18" s="129"/>
      <c r="O18" s="144"/>
      <c r="P18" s="150"/>
      <c r="Q18" s="206"/>
      <c r="R18" s="145"/>
      <c r="S18" s="146"/>
      <c r="T18" s="146"/>
      <c r="U18" s="146">
        <f t="shared" si="0"/>
        <v>0</v>
      </c>
      <c r="V18" s="145">
        <f t="shared" si="1"/>
        <v>0</v>
      </c>
      <c r="W18" s="146">
        <f t="shared" si="2"/>
        <v>0</v>
      </c>
      <c r="X18" s="146">
        <f t="shared" si="3"/>
        <v>0</v>
      </c>
      <c r="Y18" s="146">
        <f t="shared" si="4"/>
        <v>0</v>
      </c>
      <c r="Z18" s="147" t="e">
        <f t="shared" si="5"/>
        <v>#DIV/0!</v>
      </c>
      <c r="AA18" s="147" t="e">
        <f t="shared" si="5"/>
        <v>#DIV/0!</v>
      </c>
      <c r="AB18" s="147" t="e">
        <f t="shared" si="5"/>
        <v>#DIV/0!</v>
      </c>
      <c r="AC18" s="147" t="e">
        <f t="shared" si="5"/>
        <v>#DIV/0!</v>
      </c>
    </row>
    <row r="19" spans="1:29" s="96" customFormat="1">
      <c r="A19" s="92">
        <v>8</v>
      </c>
      <c r="B19" s="365"/>
      <c r="C19" s="130"/>
      <c r="D19" s="130"/>
      <c r="E19" s="130"/>
      <c r="F19" s="130"/>
      <c r="G19" s="126"/>
      <c r="H19" s="126"/>
      <c r="I19" s="144"/>
      <c r="J19" s="144"/>
      <c r="K19" s="144"/>
      <c r="L19" s="144"/>
      <c r="M19" s="144"/>
      <c r="N19" s="92"/>
      <c r="O19" s="144"/>
      <c r="P19" s="144"/>
      <c r="Q19" s="206"/>
      <c r="R19" s="145"/>
      <c r="S19" s="146"/>
      <c r="T19" s="146"/>
      <c r="U19" s="146">
        <f t="shared" si="0"/>
        <v>0</v>
      </c>
      <c r="V19" s="145">
        <f t="shared" si="1"/>
        <v>0</v>
      </c>
      <c r="W19" s="146">
        <f t="shared" si="2"/>
        <v>0</v>
      </c>
      <c r="X19" s="146">
        <f t="shared" si="3"/>
        <v>0</v>
      </c>
      <c r="Y19" s="146">
        <f t="shared" si="4"/>
        <v>0</v>
      </c>
      <c r="Z19" s="147" t="e">
        <f t="shared" si="5"/>
        <v>#DIV/0!</v>
      </c>
      <c r="AA19" s="147" t="e">
        <f t="shared" si="5"/>
        <v>#DIV/0!</v>
      </c>
      <c r="AB19" s="147" t="e">
        <f t="shared" si="5"/>
        <v>#DIV/0!</v>
      </c>
      <c r="AC19" s="147" t="e">
        <f t="shared" si="5"/>
        <v>#DIV/0!</v>
      </c>
    </row>
    <row r="20" spans="1:29" s="96" customFormat="1">
      <c r="A20" s="92">
        <v>9</v>
      </c>
      <c r="B20" s="143"/>
      <c r="C20" s="92"/>
      <c r="D20" s="92"/>
      <c r="E20" s="92"/>
      <c r="F20" s="92"/>
      <c r="G20" s="126"/>
      <c r="H20" s="126"/>
      <c r="I20" s="144"/>
      <c r="J20" s="144"/>
      <c r="K20" s="144"/>
      <c r="L20" s="144"/>
      <c r="M20" s="144"/>
      <c r="N20" s="92"/>
      <c r="O20" s="144"/>
      <c r="P20" s="144"/>
      <c r="Q20" s="206"/>
      <c r="R20" s="145"/>
      <c r="S20" s="146"/>
      <c r="T20" s="146"/>
      <c r="U20" s="146">
        <f t="shared" si="0"/>
        <v>0</v>
      </c>
      <c r="V20" s="145">
        <f t="shared" si="1"/>
        <v>0</v>
      </c>
      <c r="W20" s="146">
        <f t="shared" si="2"/>
        <v>0</v>
      </c>
      <c r="X20" s="146">
        <f t="shared" si="3"/>
        <v>0</v>
      </c>
      <c r="Y20" s="146">
        <f t="shared" si="4"/>
        <v>0</v>
      </c>
      <c r="Z20" s="147" t="e">
        <f t="shared" si="5"/>
        <v>#DIV/0!</v>
      </c>
      <c r="AA20" s="147" t="e">
        <f t="shared" si="5"/>
        <v>#DIV/0!</v>
      </c>
      <c r="AB20" s="147" t="e">
        <f t="shared" si="5"/>
        <v>#DIV/0!</v>
      </c>
      <c r="AC20" s="147" t="e">
        <f t="shared" si="5"/>
        <v>#DIV/0!</v>
      </c>
    </row>
    <row r="21" spans="1:29" s="322" customFormat="1">
      <c r="A21" s="14">
        <v>10</v>
      </c>
      <c r="B21" s="688"/>
      <c r="C21" s="14"/>
      <c r="D21" s="14"/>
      <c r="E21" s="14"/>
      <c r="F21" s="14"/>
      <c r="G21" s="689"/>
      <c r="H21" s="689"/>
      <c r="I21" s="690"/>
      <c r="J21" s="690"/>
      <c r="K21" s="690"/>
      <c r="L21" s="690"/>
      <c r="M21" s="690"/>
      <c r="N21" s="129"/>
      <c r="O21" s="690"/>
      <c r="P21" s="691"/>
      <c r="Q21" s="633"/>
      <c r="R21" s="634"/>
      <c r="S21" s="146"/>
      <c r="T21" s="146"/>
      <c r="U21" s="146">
        <f t="shared" si="0"/>
        <v>0</v>
      </c>
      <c r="V21" s="634">
        <f t="shared" si="1"/>
        <v>0</v>
      </c>
      <c r="W21" s="146">
        <f t="shared" si="2"/>
        <v>0</v>
      </c>
      <c r="X21" s="146">
        <f t="shared" si="3"/>
        <v>0</v>
      </c>
      <c r="Y21" s="146">
        <f t="shared" si="4"/>
        <v>0</v>
      </c>
      <c r="Z21" s="635" t="e">
        <f t="shared" si="5"/>
        <v>#DIV/0!</v>
      </c>
      <c r="AA21" s="635" t="e">
        <f t="shared" si="5"/>
        <v>#DIV/0!</v>
      </c>
      <c r="AB21" s="635" t="e">
        <f t="shared" si="5"/>
        <v>#DIV/0!</v>
      </c>
      <c r="AC21" s="635" t="e">
        <f t="shared" si="5"/>
        <v>#DIV/0!</v>
      </c>
    </row>
    <row r="22" spans="1:29" s="96" customFormat="1">
      <c r="A22" s="92">
        <v>11</v>
      </c>
      <c r="B22" s="143"/>
      <c r="C22" s="92"/>
      <c r="D22" s="92"/>
      <c r="E22" s="92"/>
      <c r="F22" s="92"/>
      <c r="G22" s="126"/>
      <c r="H22" s="126"/>
      <c r="I22" s="144"/>
      <c r="J22" s="144"/>
      <c r="K22" s="144"/>
      <c r="L22" s="144"/>
      <c r="M22" s="144"/>
      <c r="N22" s="92"/>
      <c r="O22" s="144"/>
      <c r="P22" s="144"/>
      <c r="Q22" s="206"/>
      <c r="R22" s="145"/>
      <c r="S22" s="146"/>
      <c r="T22" s="146"/>
      <c r="U22" s="146">
        <f t="shared" si="0"/>
        <v>0</v>
      </c>
      <c r="V22" s="145">
        <f t="shared" si="1"/>
        <v>0</v>
      </c>
      <c r="W22" s="146">
        <f t="shared" si="2"/>
        <v>0</v>
      </c>
      <c r="X22" s="146">
        <f t="shared" si="3"/>
        <v>0</v>
      </c>
      <c r="Y22" s="146">
        <f t="shared" si="4"/>
        <v>0</v>
      </c>
      <c r="Z22" s="147" t="e">
        <f t="shared" si="5"/>
        <v>#DIV/0!</v>
      </c>
      <c r="AA22" s="147" t="e">
        <f t="shared" si="5"/>
        <v>#DIV/0!</v>
      </c>
      <c r="AB22" s="147" t="e">
        <f t="shared" si="5"/>
        <v>#DIV/0!</v>
      </c>
      <c r="AC22" s="147" t="e">
        <f t="shared" si="5"/>
        <v>#DIV/0!</v>
      </c>
    </row>
    <row r="23" spans="1:29" s="96" customFormat="1">
      <c r="A23" s="92">
        <v>12</v>
      </c>
      <c r="B23" s="365"/>
      <c r="C23" s="130"/>
      <c r="D23" s="130"/>
      <c r="E23" s="130"/>
      <c r="F23" s="130"/>
      <c r="G23" s="126"/>
      <c r="H23" s="126"/>
      <c r="I23" s="144"/>
      <c r="J23" s="144"/>
      <c r="K23" s="144"/>
      <c r="L23" s="144"/>
      <c r="M23" s="144"/>
      <c r="N23" s="92"/>
      <c r="O23" s="144"/>
      <c r="P23" s="144"/>
      <c r="Q23" s="206"/>
      <c r="R23" s="145"/>
      <c r="S23" s="146"/>
      <c r="T23" s="146"/>
      <c r="U23" s="146">
        <f t="shared" si="0"/>
        <v>0</v>
      </c>
      <c r="V23" s="145">
        <f t="shared" si="1"/>
        <v>0</v>
      </c>
      <c r="W23" s="146">
        <f t="shared" si="2"/>
        <v>0</v>
      </c>
      <c r="X23" s="146">
        <f t="shared" si="3"/>
        <v>0</v>
      </c>
      <c r="Y23" s="146">
        <f t="shared" si="4"/>
        <v>0</v>
      </c>
      <c r="Z23" s="147" t="e">
        <f t="shared" ref="Z23:AC45" si="6">V23/R23</f>
        <v>#DIV/0!</v>
      </c>
      <c r="AA23" s="147" t="e">
        <f t="shared" si="6"/>
        <v>#DIV/0!</v>
      </c>
      <c r="AB23" s="147" t="e">
        <f t="shared" si="6"/>
        <v>#DIV/0!</v>
      </c>
      <c r="AC23" s="147" t="e">
        <f t="shared" si="6"/>
        <v>#DIV/0!</v>
      </c>
    </row>
    <row r="24" spans="1:29" s="96" customFormat="1">
      <c r="A24" s="92">
        <v>13</v>
      </c>
      <c r="B24" s="143"/>
      <c r="C24" s="92"/>
      <c r="D24" s="92"/>
      <c r="E24" s="92"/>
      <c r="F24" s="92"/>
      <c r="G24" s="126"/>
      <c r="H24" s="126"/>
      <c r="I24" s="144"/>
      <c r="J24" s="144"/>
      <c r="K24" s="144"/>
      <c r="L24" s="144"/>
      <c r="M24" s="144"/>
      <c r="N24" s="92"/>
      <c r="O24" s="144"/>
      <c r="P24" s="144"/>
      <c r="Q24" s="206"/>
      <c r="R24" s="145"/>
      <c r="S24" s="146"/>
      <c r="T24" s="146"/>
      <c r="U24" s="146">
        <f t="shared" si="0"/>
        <v>0</v>
      </c>
      <c r="V24" s="145">
        <f t="shared" si="1"/>
        <v>0</v>
      </c>
      <c r="W24" s="146">
        <f t="shared" si="2"/>
        <v>0</v>
      </c>
      <c r="X24" s="146">
        <f t="shared" si="3"/>
        <v>0</v>
      </c>
      <c r="Y24" s="146">
        <f t="shared" si="4"/>
        <v>0</v>
      </c>
      <c r="Z24" s="147" t="e">
        <f t="shared" si="6"/>
        <v>#DIV/0!</v>
      </c>
      <c r="AA24" s="147" t="e">
        <f t="shared" si="6"/>
        <v>#DIV/0!</v>
      </c>
      <c r="AB24" s="147" t="e">
        <f t="shared" si="6"/>
        <v>#DIV/0!</v>
      </c>
      <c r="AC24" s="147" t="e">
        <f t="shared" si="6"/>
        <v>#DIV/0!</v>
      </c>
    </row>
    <row r="25" spans="1:29" s="96" customFormat="1">
      <c r="A25" s="92">
        <v>14</v>
      </c>
      <c r="B25" s="365"/>
      <c r="C25" s="92"/>
      <c r="D25" s="92"/>
      <c r="E25" s="92"/>
      <c r="F25" s="92"/>
      <c r="G25" s="126"/>
      <c r="H25" s="126"/>
      <c r="I25" s="144"/>
      <c r="J25" s="144"/>
      <c r="K25" s="144"/>
      <c r="L25" s="144"/>
      <c r="M25" s="144"/>
      <c r="N25" s="92"/>
      <c r="O25" s="144"/>
      <c r="P25" s="144"/>
      <c r="Q25" s="206"/>
      <c r="R25" s="145"/>
      <c r="S25" s="146"/>
      <c r="T25" s="146"/>
      <c r="U25" s="146">
        <f t="shared" si="0"/>
        <v>0</v>
      </c>
      <c r="V25" s="145">
        <f t="shared" si="1"/>
        <v>0</v>
      </c>
      <c r="W25" s="146">
        <f t="shared" si="2"/>
        <v>0</v>
      </c>
      <c r="X25" s="146">
        <f t="shared" si="3"/>
        <v>0</v>
      </c>
      <c r="Y25" s="146">
        <f t="shared" si="4"/>
        <v>0</v>
      </c>
      <c r="Z25" s="147" t="e">
        <f t="shared" si="6"/>
        <v>#DIV/0!</v>
      </c>
      <c r="AA25" s="147" t="e">
        <f t="shared" si="6"/>
        <v>#DIV/0!</v>
      </c>
      <c r="AB25" s="147" t="e">
        <f t="shared" si="6"/>
        <v>#DIV/0!</v>
      </c>
      <c r="AC25" s="147" t="e">
        <f t="shared" si="6"/>
        <v>#DIV/0!</v>
      </c>
    </row>
    <row r="26" spans="1:29" s="96" customFormat="1">
      <c r="A26" s="92">
        <v>15</v>
      </c>
      <c r="B26" s="365"/>
      <c r="C26" s="92"/>
      <c r="D26" s="92"/>
      <c r="E26" s="92"/>
      <c r="F26" s="92"/>
      <c r="G26" s="126"/>
      <c r="H26" s="126"/>
      <c r="I26" s="144"/>
      <c r="J26" s="144"/>
      <c r="K26" s="144"/>
      <c r="L26" s="144"/>
      <c r="M26" s="144"/>
      <c r="N26" s="92"/>
      <c r="O26" s="144"/>
      <c r="P26" s="144"/>
      <c r="Q26" s="206"/>
      <c r="R26" s="145"/>
      <c r="S26" s="146"/>
      <c r="T26" s="146"/>
      <c r="U26" s="146">
        <f t="shared" si="0"/>
        <v>0</v>
      </c>
      <c r="V26" s="145">
        <f t="shared" si="1"/>
        <v>0</v>
      </c>
      <c r="W26" s="146">
        <f t="shared" si="2"/>
        <v>0</v>
      </c>
      <c r="X26" s="146">
        <f t="shared" si="3"/>
        <v>0</v>
      </c>
      <c r="Y26" s="146">
        <f t="shared" si="4"/>
        <v>0</v>
      </c>
      <c r="Z26" s="147" t="e">
        <f t="shared" si="6"/>
        <v>#DIV/0!</v>
      </c>
      <c r="AA26" s="147" t="e">
        <f t="shared" si="6"/>
        <v>#DIV/0!</v>
      </c>
      <c r="AB26" s="147" t="e">
        <f t="shared" si="6"/>
        <v>#DIV/0!</v>
      </c>
      <c r="AC26" s="147" t="e">
        <f t="shared" si="6"/>
        <v>#DIV/0!</v>
      </c>
    </row>
    <row r="27" spans="1:29" s="96" customFormat="1">
      <c r="A27" s="92">
        <v>16</v>
      </c>
      <c r="B27" s="365"/>
      <c r="C27" s="92"/>
      <c r="D27" s="92"/>
      <c r="E27" s="92"/>
      <c r="F27" s="92"/>
      <c r="G27" s="126"/>
      <c r="H27" s="126"/>
      <c r="I27" s="144"/>
      <c r="J27" s="144"/>
      <c r="K27" s="144"/>
      <c r="L27" s="144"/>
      <c r="M27" s="144"/>
      <c r="N27" s="129"/>
      <c r="O27" s="144"/>
      <c r="P27" s="150"/>
      <c r="Q27" s="206"/>
      <c r="R27" s="145"/>
      <c r="S27" s="146"/>
      <c r="T27" s="146"/>
      <c r="U27" s="146">
        <f t="shared" si="0"/>
        <v>0</v>
      </c>
      <c r="V27" s="145">
        <f t="shared" si="1"/>
        <v>0</v>
      </c>
      <c r="W27" s="146">
        <f t="shared" si="2"/>
        <v>0</v>
      </c>
      <c r="X27" s="146">
        <f t="shared" si="3"/>
        <v>0</v>
      </c>
      <c r="Y27" s="146">
        <f t="shared" si="4"/>
        <v>0</v>
      </c>
      <c r="Z27" s="147" t="e">
        <f t="shared" si="6"/>
        <v>#DIV/0!</v>
      </c>
      <c r="AA27" s="147" t="e">
        <f t="shared" si="6"/>
        <v>#DIV/0!</v>
      </c>
      <c r="AB27" s="147" t="e">
        <f t="shared" si="6"/>
        <v>#DIV/0!</v>
      </c>
      <c r="AC27" s="147" t="e">
        <f t="shared" si="6"/>
        <v>#DIV/0!</v>
      </c>
    </row>
    <row r="28" spans="1:29" s="96" customFormat="1">
      <c r="A28" s="92">
        <v>16</v>
      </c>
      <c r="B28" s="365"/>
      <c r="C28" s="92"/>
      <c r="D28" s="92"/>
      <c r="E28" s="92"/>
      <c r="F28" s="92"/>
      <c r="G28" s="126"/>
      <c r="H28" s="126"/>
      <c r="I28" s="144"/>
      <c r="J28" s="144"/>
      <c r="K28" s="144"/>
      <c r="L28" s="144"/>
      <c r="M28" s="144"/>
      <c r="N28" s="129"/>
      <c r="O28" s="144"/>
      <c r="P28" s="150"/>
      <c r="Q28" s="206"/>
      <c r="R28" s="145"/>
      <c r="S28" s="146"/>
      <c r="T28" s="146"/>
      <c r="U28" s="146">
        <f t="shared" si="0"/>
        <v>0</v>
      </c>
      <c r="V28" s="145">
        <f t="shared" si="1"/>
        <v>0</v>
      </c>
      <c r="W28" s="146">
        <f t="shared" si="2"/>
        <v>0</v>
      </c>
      <c r="X28" s="146">
        <f t="shared" si="3"/>
        <v>0</v>
      </c>
      <c r="Y28" s="146">
        <f t="shared" si="4"/>
        <v>0</v>
      </c>
      <c r="Z28" s="147" t="e">
        <f t="shared" si="6"/>
        <v>#DIV/0!</v>
      </c>
      <c r="AA28" s="147" t="e">
        <f t="shared" si="6"/>
        <v>#DIV/0!</v>
      </c>
      <c r="AB28" s="147" t="e">
        <f t="shared" si="6"/>
        <v>#DIV/0!</v>
      </c>
      <c r="AC28" s="147" t="e">
        <f t="shared" si="6"/>
        <v>#DIV/0!</v>
      </c>
    </row>
    <row r="29" spans="1:29" s="96" customFormat="1">
      <c r="A29" s="92">
        <v>17</v>
      </c>
      <c r="B29" s="143"/>
      <c r="C29" s="92"/>
      <c r="D29" s="92"/>
      <c r="E29" s="92"/>
      <c r="F29" s="92"/>
      <c r="G29" s="126"/>
      <c r="H29" s="126"/>
      <c r="I29" s="144"/>
      <c r="J29" s="144"/>
      <c r="K29" s="144"/>
      <c r="L29" s="144"/>
      <c r="M29" s="144"/>
      <c r="N29" s="92"/>
      <c r="O29" s="144"/>
      <c r="P29" s="144"/>
      <c r="Q29" s="206"/>
      <c r="R29" s="145"/>
      <c r="S29" s="146"/>
      <c r="T29" s="146"/>
      <c r="U29" s="146">
        <f t="shared" si="0"/>
        <v>0</v>
      </c>
      <c r="V29" s="145">
        <f t="shared" si="1"/>
        <v>0</v>
      </c>
      <c r="W29" s="146">
        <f t="shared" si="2"/>
        <v>0</v>
      </c>
      <c r="X29" s="146">
        <f t="shared" si="3"/>
        <v>0</v>
      </c>
      <c r="Y29" s="146">
        <f t="shared" si="4"/>
        <v>0</v>
      </c>
      <c r="Z29" s="147" t="e">
        <f t="shared" si="6"/>
        <v>#DIV/0!</v>
      </c>
      <c r="AA29" s="147" t="e">
        <f t="shared" si="6"/>
        <v>#DIV/0!</v>
      </c>
      <c r="AB29" s="147" t="e">
        <f t="shared" si="6"/>
        <v>#DIV/0!</v>
      </c>
      <c r="AC29" s="147" t="e">
        <f t="shared" si="6"/>
        <v>#DIV/0!</v>
      </c>
    </row>
    <row r="30" spans="1:29" s="96" customFormat="1" ht="15.75">
      <c r="A30" s="92">
        <v>18</v>
      </c>
      <c r="B30" s="151"/>
      <c r="C30" s="130"/>
      <c r="D30" s="130"/>
      <c r="E30" s="130"/>
      <c r="F30" s="130"/>
      <c r="G30" s="126"/>
      <c r="H30" s="126"/>
      <c r="I30" s="144"/>
      <c r="J30" s="144"/>
      <c r="K30" s="144"/>
      <c r="L30" s="144"/>
      <c r="M30" s="144"/>
      <c r="N30" s="92"/>
      <c r="O30" s="144"/>
      <c r="P30" s="144"/>
      <c r="Q30" s="206"/>
      <c r="R30" s="145"/>
      <c r="S30" s="146"/>
      <c r="T30" s="146"/>
      <c r="U30" s="146">
        <f t="shared" si="0"/>
        <v>0</v>
      </c>
      <c r="V30" s="145">
        <f t="shared" si="1"/>
        <v>0</v>
      </c>
      <c r="W30" s="146">
        <f t="shared" si="2"/>
        <v>0</v>
      </c>
      <c r="X30" s="146">
        <f t="shared" si="3"/>
        <v>0</v>
      </c>
      <c r="Y30" s="146">
        <f t="shared" si="4"/>
        <v>0</v>
      </c>
      <c r="Z30" s="147" t="e">
        <f t="shared" si="6"/>
        <v>#DIV/0!</v>
      </c>
      <c r="AA30" s="147" t="e">
        <f t="shared" si="6"/>
        <v>#DIV/0!</v>
      </c>
      <c r="AB30" s="147" t="e">
        <f t="shared" si="6"/>
        <v>#DIV/0!</v>
      </c>
      <c r="AC30" s="147" t="e">
        <f t="shared" si="6"/>
        <v>#DIV/0!</v>
      </c>
    </row>
    <row r="31" spans="1:29" s="96" customFormat="1" ht="15.75">
      <c r="A31" s="92">
        <v>19</v>
      </c>
      <c r="B31" s="440"/>
      <c r="C31" s="130"/>
      <c r="D31" s="130"/>
      <c r="E31" s="130"/>
      <c r="F31" s="130"/>
      <c r="G31" s="126"/>
      <c r="H31" s="126"/>
      <c r="I31" s="144"/>
      <c r="J31" s="144"/>
      <c r="K31" s="144"/>
      <c r="L31" s="144"/>
      <c r="M31" s="144"/>
      <c r="N31" s="92"/>
      <c r="O31" s="144"/>
      <c r="P31" s="144"/>
      <c r="Q31" s="206"/>
      <c r="R31" s="145"/>
      <c r="S31" s="146"/>
      <c r="T31" s="146"/>
      <c r="U31" s="146">
        <f t="shared" si="0"/>
        <v>0</v>
      </c>
      <c r="V31" s="145">
        <f t="shared" si="1"/>
        <v>0</v>
      </c>
      <c r="W31" s="146">
        <f t="shared" si="2"/>
        <v>0</v>
      </c>
      <c r="X31" s="146">
        <f t="shared" si="3"/>
        <v>0</v>
      </c>
      <c r="Y31" s="146">
        <f t="shared" si="4"/>
        <v>0</v>
      </c>
      <c r="Z31" s="147" t="e">
        <f t="shared" si="6"/>
        <v>#DIV/0!</v>
      </c>
      <c r="AA31" s="147" t="e">
        <f t="shared" si="6"/>
        <v>#DIV/0!</v>
      </c>
      <c r="AB31" s="147" t="e">
        <f t="shared" si="6"/>
        <v>#DIV/0!</v>
      </c>
      <c r="AC31" s="147" t="e">
        <f t="shared" si="6"/>
        <v>#DIV/0!</v>
      </c>
    </row>
    <row r="32" spans="1:29" s="96" customFormat="1" ht="15.75">
      <c r="A32" s="92">
        <v>20</v>
      </c>
      <c r="B32" s="440"/>
      <c r="C32" s="130"/>
      <c r="D32" s="130"/>
      <c r="E32" s="130"/>
      <c r="F32" s="130"/>
      <c r="G32" s="126"/>
      <c r="H32" s="126"/>
      <c r="I32" s="144"/>
      <c r="J32" s="144"/>
      <c r="K32" s="144"/>
      <c r="L32" s="144"/>
      <c r="M32" s="144"/>
      <c r="N32" s="92"/>
      <c r="O32" s="144"/>
      <c r="P32" s="144"/>
      <c r="Q32" s="206"/>
      <c r="R32" s="145"/>
      <c r="S32" s="146"/>
      <c r="T32" s="146"/>
      <c r="U32" s="146">
        <f t="shared" si="0"/>
        <v>0</v>
      </c>
      <c r="V32" s="145">
        <f t="shared" si="1"/>
        <v>0</v>
      </c>
      <c r="W32" s="146">
        <f t="shared" si="2"/>
        <v>0</v>
      </c>
      <c r="X32" s="146">
        <f t="shared" si="3"/>
        <v>0</v>
      </c>
      <c r="Y32" s="146">
        <f t="shared" si="4"/>
        <v>0</v>
      </c>
      <c r="Z32" s="147" t="e">
        <f t="shared" si="6"/>
        <v>#DIV/0!</v>
      </c>
      <c r="AA32" s="147" t="e">
        <f t="shared" si="6"/>
        <v>#DIV/0!</v>
      </c>
      <c r="AB32" s="147" t="e">
        <f t="shared" si="6"/>
        <v>#DIV/0!</v>
      </c>
      <c r="AC32" s="147" t="e">
        <f t="shared" si="6"/>
        <v>#DIV/0!</v>
      </c>
    </row>
    <row r="33" spans="1:29" s="96" customFormat="1" ht="15.75">
      <c r="A33" s="92">
        <v>21</v>
      </c>
      <c r="B33" s="440"/>
      <c r="C33" s="130"/>
      <c r="D33" s="130"/>
      <c r="E33" s="130"/>
      <c r="F33" s="130"/>
      <c r="G33" s="126"/>
      <c r="H33" s="126"/>
      <c r="I33" s="144"/>
      <c r="J33" s="144"/>
      <c r="K33" s="144"/>
      <c r="L33" s="144"/>
      <c r="M33" s="144"/>
      <c r="N33" s="92"/>
      <c r="O33" s="144"/>
      <c r="P33" s="144"/>
      <c r="Q33" s="206"/>
      <c r="R33" s="145"/>
      <c r="S33" s="146"/>
      <c r="T33" s="146"/>
      <c r="U33" s="146">
        <f t="shared" si="0"/>
        <v>0</v>
      </c>
      <c r="V33" s="145">
        <f t="shared" si="1"/>
        <v>0</v>
      </c>
      <c r="W33" s="146">
        <f t="shared" si="2"/>
        <v>0</v>
      </c>
      <c r="X33" s="146">
        <f t="shared" si="3"/>
        <v>0</v>
      </c>
      <c r="Y33" s="146">
        <f t="shared" si="4"/>
        <v>0</v>
      </c>
      <c r="Z33" s="147" t="e">
        <f t="shared" si="6"/>
        <v>#DIV/0!</v>
      </c>
      <c r="AA33" s="147" t="e">
        <f t="shared" si="6"/>
        <v>#DIV/0!</v>
      </c>
      <c r="AB33" s="147" t="e">
        <f t="shared" si="6"/>
        <v>#DIV/0!</v>
      </c>
      <c r="AC33" s="147" t="e">
        <f t="shared" si="6"/>
        <v>#DIV/0!</v>
      </c>
    </row>
    <row r="34" spans="1:29" s="96" customFormat="1" ht="15.75">
      <c r="A34" s="92">
        <v>22</v>
      </c>
      <c r="B34" s="440"/>
      <c r="C34" s="130"/>
      <c r="D34" s="130"/>
      <c r="E34" s="130"/>
      <c r="F34" s="130"/>
      <c r="G34" s="126"/>
      <c r="H34" s="126"/>
      <c r="I34" s="144"/>
      <c r="J34" s="144"/>
      <c r="K34" s="144"/>
      <c r="L34" s="144"/>
      <c r="M34" s="144"/>
      <c r="N34" s="92"/>
      <c r="O34" s="144"/>
      <c r="P34" s="144"/>
      <c r="Q34" s="206"/>
      <c r="R34" s="145"/>
      <c r="S34" s="146"/>
      <c r="T34" s="146"/>
      <c r="U34" s="146">
        <f t="shared" si="0"/>
        <v>0</v>
      </c>
      <c r="V34" s="145">
        <f t="shared" si="1"/>
        <v>0</v>
      </c>
      <c r="W34" s="146">
        <f t="shared" si="2"/>
        <v>0</v>
      </c>
      <c r="X34" s="146">
        <f t="shared" si="3"/>
        <v>0</v>
      </c>
      <c r="Y34" s="146">
        <f t="shared" si="4"/>
        <v>0</v>
      </c>
      <c r="Z34" s="147" t="e">
        <f t="shared" si="6"/>
        <v>#DIV/0!</v>
      </c>
      <c r="AA34" s="147" t="e">
        <f t="shared" si="6"/>
        <v>#DIV/0!</v>
      </c>
      <c r="AB34" s="147" t="e">
        <f t="shared" si="6"/>
        <v>#DIV/0!</v>
      </c>
      <c r="AC34" s="147" t="e">
        <f t="shared" si="6"/>
        <v>#DIV/0!</v>
      </c>
    </row>
    <row r="35" spans="1:29" s="96" customFormat="1" ht="15.75">
      <c r="A35" s="92">
        <v>23</v>
      </c>
      <c r="B35" s="440"/>
      <c r="C35" s="130"/>
      <c r="D35" s="130"/>
      <c r="E35" s="130"/>
      <c r="F35" s="130"/>
      <c r="G35" s="126"/>
      <c r="H35" s="126"/>
      <c r="I35" s="144"/>
      <c r="J35" s="144"/>
      <c r="K35" s="144"/>
      <c r="L35" s="144"/>
      <c r="M35" s="144"/>
      <c r="N35" s="92"/>
      <c r="O35" s="144"/>
      <c r="P35" s="144"/>
      <c r="Q35" s="206"/>
      <c r="R35" s="145"/>
      <c r="S35" s="146"/>
      <c r="T35" s="146"/>
      <c r="U35" s="146">
        <f t="shared" si="0"/>
        <v>0</v>
      </c>
      <c r="V35" s="145">
        <f t="shared" si="1"/>
        <v>0</v>
      </c>
      <c r="W35" s="146">
        <f t="shared" si="2"/>
        <v>0</v>
      </c>
      <c r="X35" s="146">
        <f t="shared" si="3"/>
        <v>0</v>
      </c>
      <c r="Y35" s="146">
        <f t="shared" si="4"/>
        <v>0</v>
      </c>
      <c r="Z35" s="147" t="e">
        <f t="shared" si="6"/>
        <v>#DIV/0!</v>
      </c>
      <c r="AA35" s="147" t="e">
        <f t="shared" si="6"/>
        <v>#DIV/0!</v>
      </c>
      <c r="AB35" s="147" t="e">
        <f t="shared" si="6"/>
        <v>#DIV/0!</v>
      </c>
      <c r="AC35" s="147" t="e">
        <f t="shared" si="6"/>
        <v>#DIV/0!</v>
      </c>
    </row>
    <row r="36" spans="1:29" s="96" customFormat="1" ht="15.75">
      <c r="A36" s="92">
        <v>24</v>
      </c>
      <c r="B36" s="440"/>
      <c r="C36" s="130"/>
      <c r="D36" s="130"/>
      <c r="E36" s="130"/>
      <c r="F36" s="130"/>
      <c r="G36" s="126"/>
      <c r="H36" s="126"/>
      <c r="I36" s="144"/>
      <c r="J36" s="144"/>
      <c r="K36" s="144"/>
      <c r="L36" s="144"/>
      <c r="M36" s="144"/>
      <c r="N36" s="92"/>
      <c r="O36" s="144"/>
      <c r="P36" s="144"/>
      <c r="Q36" s="206"/>
      <c r="R36" s="145"/>
      <c r="S36" s="146"/>
      <c r="T36" s="146"/>
      <c r="U36" s="146">
        <f t="shared" si="0"/>
        <v>0</v>
      </c>
      <c r="V36" s="145">
        <f t="shared" si="1"/>
        <v>0</v>
      </c>
      <c r="W36" s="146">
        <f t="shared" si="2"/>
        <v>0</v>
      </c>
      <c r="X36" s="146">
        <f t="shared" si="3"/>
        <v>0</v>
      </c>
      <c r="Y36" s="146">
        <f t="shared" si="4"/>
        <v>0</v>
      </c>
      <c r="Z36" s="147" t="e">
        <f t="shared" si="6"/>
        <v>#DIV/0!</v>
      </c>
      <c r="AA36" s="147" t="e">
        <f t="shared" si="6"/>
        <v>#DIV/0!</v>
      </c>
      <c r="AB36" s="147" t="e">
        <f t="shared" si="6"/>
        <v>#DIV/0!</v>
      </c>
      <c r="AC36" s="147" t="e">
        <f t="shared" si="6"/>
        <v>#DIV/0!</v>
      </c>
    </row>
    <row r="37" spans="1:29" s="96" customFormat="1">
      <c r="A37" s="92">
        <v>3</v>
      </c>
      <c r="B37" s="143"/>
      <c r="C37" s="133"/>
      <c r="D37" s="127"/>
      <c r="E37" s="127"/>
      <c r="F37" s="127"/>
      <c r="G37" s="148"/>
      <c r="H37" s="148"/>
      <c r="I37" s="148"/>
      <c r="J37" s="148"/>
      <c r="K37" s="148"/>
      <c r="L37" s="148"/>
      <c r="M37" s="148"/>
      <c r="N37" s="154"/>
      <c r="O37" s="148"/>
      <c r="P37" s="148"/>
      <c r="Q37" s="136"/>
      <c r="R37" s="145"/>
      <c r="S37" s="146"/>
      <c r="T37" s="146"/>
      <c r="U37" s="146">
        <f t="shared" si="0"/>
        <v>0</v>
      </c>
      <c r="V37" s="145">
        <f t="shared" si="1"/>
        <v>0</v>
      </c>
      <c r="W37" s="146">
        <f t="shared" si="2"/>
        <v>0</v>
      </c>
      <c r="X37" s="146">
        <f t="shared" si="3"/>
        <v>0</v>
      </c>
      <c r="Y37" s="146">
        <f t="shared" si="4"/>
        <v>0</v>
      </c>
      <c r="Z37" s="147" t="e">
        <f t="shared" si="6"/>
        <v>#DIV/0!</v>
      </c>
      <c r="AA37" s="147" t="e">
        <f t="shared" si="6"/>
        <v>#DIV/0!</v>
      </c>
      <c r="AB37" s="147" t="e">
        <f t="shared" si="6"/>
        <v>#DIV/0!</v>
      </c>
      <c r="AC37" s="147" t="e">
        <f t="shared" si="6"/>
        <v>#DIV/0!</v>
      </c>
    </row>
    <row r="38" spans="1:29" s="96" customFormat="1">
      <c r="A38" s="92">
        <v>25</v>
      </c>
      <c r="B38" s="143"/>
      <c r="C38" s="130"/>
      <c r="D38" s="130"/>
      <c r="E38" s="130"/>
      <c r="F38" s="130"/>
      <c r="G38" s="126"/>
      <c r="H38" s="126"/>
      <c r="I38" s="144"/>
      <c r="J38" s="144"/>
      <c r="K38" s="144"/>
      <c r="L38" s="144"/>
      <c r="M38" s="148"/>
      <c r="N38" s="154"/>
      <c r="O38" s="148"/>
      <c r="P38" s="148"/>
      <c r="Q38" s="206"/>
      <c r="R38" s="145"/>
      <c r="S38" s="146"/>
      <c r="T38" s="146"/>
      <c r="U38" s="146">
        <f t="shared" si="0"/>
        <v>0</v>
      </c>
      <c r="V38" s="145">
        <f t="shared" si="1"/>
        <v>0</v>
      </c>
      <c r="W38" s="146">
        <f t="shared" si="2"/>
        <v>0</v>
      </c>
      <c r="X38" s="146">
        <f t="shared" si="3"/>
        <v>0</v>
      </c>
      <c r="Y38" s="146">
        <f t="shared" si="4"/>
        <v>0</v>
      </c>
      <c r="Z38" s="147" t="e">
        <f t="shared" si="6"/>
        <v>#DIV/0!</v>
      </c>
      <c r="AA38" s="147" t="e">
        <f t="shared" si="6"/>
        <v>#DIV/0!</v>
      </c>
      <c r="AB38" s="147" t="e">
        <f t="shared" si="6"/>
        <v>#DIV/0!</v>
      </c>
      <c r="AC38" s="147" t="e">
        <f t="shared" si="6"/>
        <v>#DIV/0!</v>
      </c>
    </row>
    <row r="39" spans="1:29" s="96" customFormat="1">
      <c r="A39" s="92">
        <v>26</v>
      </c>
      <c r="B39" s="143"/>
      <c r="C39" s="130"/>
      <c r="D39" s="130"/>
      <c r="E39" s="130"/>
      <c r="F39" s="130"/>
      <c r="G39" s="126"/>
      <c r="H39" s="126"/>
      <c r="I39" s="144"/>
      <c r="J39" s="144"/>
      <c r="K39" s="144"/>
      <c r="L39" s="144"/>
      <c r="M39" s="144"/>
      <c r="N39" s="92"/>
      <c r="O39" s="144"/>
      <c r="P39" s="144"/>
      <c r="Q39" s="206"/>
      <c r="R39" s="145"/>
      <c r="S39" s="146"/>
      <c r="T39" s="146"/>
      <c r="U39" s="146">
        <f t="shared" si="0"/>
        <v>0</v>
      </c>
      <c r="V39" s="145">
        <f t="shared" si="1"/>
        <v>0</v>
      </c>
      <c r="W39" s="146">
        <f t="shared" si="2"/>
        <v>0</v>
      </c>
      <c r="X39" s="146">
        <f t="shared" si="3"/>
        <v>0</v>
      </c>
      <c r="Y39" s="146">
        <f t="shared" si="4"/>
        <v>0</v>
      </c>
      <c r="Z39" s="147" t="e">
        <f t="shared" si="6"/>
        <v>#DIV/0!</v>
      </c>
      <c r="AA39" s="147" t="e">
        <f t="shared" si="6"/>
        <v>#DIV/0!</v>
      </c>
      <c r="AB39" s="147" t="e">
        <f t="shared" si="6"/>
        <v>#DIV/0!</v>
      </c>
      <c r="AC39" s="147" t="e">
        <f t="shared" si="6"/>
        <v>#DIV/0!</v>
      </c>
    </row>
    <row r="40" spans="1:29" s="96" customFormat="1" ht="15.75">
      <c r="A40" s="92">
        <v>27</v>
      </c>
      <c r="B40" s="441"/>
      <c r="C40" s="130"/>
      <c r="D40" s="130"/>
      <c r="E40" s="130"/>
      <c r="F40" s="130"/>
      <c r="G40" s="126"/>
      <c r="H40" s="126"/>
      <c r="I40" s="144"/>
      <c r="J40" s="144"/>
      <c r="K40" s="144"/>
      <c r="L40" s="144"/>
      <c r="M40" s="144"/>
      <c r="N40" s="92"/>
      <c r="O40" s="144"/>
      <c r="P40" s="144"/>
      <c r="Q40" s="206"/>
      <c r="R40" s="145"/>
      <c r="S40" s="146"/>
      <c r="T40" s="146"/>
      <c r="U40" s="146">
        <f t="shared" si="0"/>
        <v>0</v>
      </c>
      <c r="V40" s="145">
        <f t="shared" si="1"/>
        <v>0</v>
      </c>
      <c r="W40" s="146">
        <f t="shared" si="2"/>
        <v>0</v>
      </c>
      <c r="X40" s="146">
        <f t="shared" si="3"/>
        <v>0</v>
      </c>
      <c r="Y40" s="146">
        <f t="shared" si="4"/>
        <v>0</v>
      </c>
      <c r="Z40" s="147" t="e">
        <f t="shared" si="6"/>
        <v>#DIV/0!</v>
      </c>
      <c r="AA40" s="147" t="e">
        <f t="shared" si="6"/>
        <v>#DIV/0!</v>
      </c>
      <c r="AB40" s="147" t="e">
        <f t="shared" si="6"/>
        <v>#DIV/0!</v>
      </c>
      <c r="AC40" s="147" t="e">
        <f t="shared" si="6"/>
        <v>#DIV/0!</v>
      </c>
    </row>
    <row r="41" spans="1:29" s="96" customFormat="1" ht="15.75">
      <c r="A41" s="92">
        <v>28</v>
      </c>
      <c r="B41" s="441"/>
      <c r="C41" s="130"/>
      <c r="D41" s="130"/>
      <c r="E41" s="130"/>
      <c r="F41" s="130"/>
      <c r="G41" s="126"/>
      <c r="H41" s="126"/>
      <c r="I41" s="144"/>
      <c r="J41" s="144"/>
      <c r="K41" s="144"/>
      <c r="L41" s="144"/>
      <c r="M41" s="144"/>
      <c r="N41" s="92"/>
      <c r="O41" s="144"/>
      <c r="P41" s="144"/>
      <c r="Q41" s="206"/>
      <c r="R41" s="145"/>
      <c r="S41" s="146"/>
      <c r="T41" s="146"/>
      <c r="U41" s="146">
        <f t="shared" si="0"/>
        <v>0</v>
      </c>
      <c r="V41" s="145">
        <f t="shared" si="1"/>
        <v>0</v>
      </c>
      <c r="W41" s="146">
        <f t="shared" si="2"/>
        <v>0</v>
      </c>
      <c r="X41" s="146">
        <f t="shared" si="3"/>
        <v>0</v>
      </c>
      <c r="Y41" s="146">
        <f t="shared" si="4"/>
        <v>0</v>
      </c>
      <c r="Z41" s="147" t="e">
        <f t="shared" si="6"/>
        <v>#DIV/0!</v>
      </c>
      <c r="AA41" s="147" t="e">
        <f t="shared" si="6"/>
        <v>#DIV/0!</v>
      </c>
      <c r="AB41" s="147" t="e">
        <f t="shared" si="6"/>
        <v>#DIV/0!</v>
      </c>
      <c r="AC41" s="147" t="e">
        <f t="shared" si="6"/>
        <v>#DIV/0!</v>
      </c>
    </row>
    <row r="42" spans="1:29" s="96" customFormat="1" ht="15.75">
      <c r="A42" s="92">
        <v>29</v>
      </c>
      <c r="B42" s="441"/>
      <c r="C42" s="130"/>
      <c r="D42" s="130"/>
      <c r="E42" s="130"/>
      <c r="F42" s="130"/>
      <c r="G42" s="126"/>
      <c r="H42" s="126"/>
      <c r="I42" s="144"/>
      <c r="J42" s="144"/>
      <c r="K42" s="144"/>
      <c r="L42" s="144"/>
      <c r="M42" s="144"/>
      <c r="N42" s="92"/>
      <c r="O42" s="144"/>
      <c r="P42" s="144"/>
      <c r="Q42" s="206"/>
      <c r="R42" s="145"/>
      <c r="S42" s="146"/>
      <c r="T42" s="146"/>
      <c r="U42" s="146">
        <f t="shared" si="0"/>
        <v>0</v>
      </c>
      <c r="V42" s="145">
        <f t="shared" si="1"/>
        <v>0</v>
      </c>
      <c r="W42" s="146">
        <f t="shared" si="2"/>
        <v>0</v>
      </c>
      <c r="X42" s="146">
        <f t="shared" si="3"/>
        <v>0</v>
      </c>
      <c r="Y42" s="146">
        <f t="shared" si="4"/>
        <v>0</v>
      </c>
      <c r="Z42" s="147" t="e">
        <f t="shared" si="6"/>
        <v>#DIV/0!</v>
      </c>
      <c r="AA42" s="147" t="e">
        <f t="shared" si="6"/>
        <v>#DIV/0!</v>
      </c>
      <c r="AB42" s="147" t="e">
        <f t="shared" si="6"/>
        <v>#DIV/0!</v>
      </c>
      <c r="AC42" s="147" t="e">
        <f t="shared" si="6"/>
        <v>#DIV/0!</v>
      </c>
    </row>
    <row r="43" spans="1:29" s="96" customFormat="1" ht="15.75">
      <c r="A43" s="92">
        <v>30</v>
      </c>
      <c r="B43" s="441"/>
      <c r="C43" s="130"/>
      <c r="D43" s="130"/>
      <c r="E43" s="130"/>
      <c r="F43" s="130"/>
      <c r="G43" s="126"/>
      <c r="H43" s="126"/>
      <c r="I43" s="144"/>
      <c r="J43" s="144"/>
      <c r="K43" s="144"/>
      <c r="L43" s="144"/>
      <c r="M43" s="144"/>
      <c r="N43" s="92"/>
      <c r="O43" s="144"/>
      <c r="P43" s="144"/>
      <c r="Q43" s="206"/>
      <c r="R43" s="145"/>
      <c r="S43" s="146"/>
      <c r="T43" s="146"/>
      <c r="U43" s="146">
        <f t="shared" si="0"/>
        <v>0</v>
      </c>
      <c r="V43" s="145">
        <f t="shared" si="1"/>
        <v>0</v>
      </c>
      <c r="W43" s="146">
        <f t="shared" si="2"/>
        <v>0</v>
      </c>
      <c r="X43" s="146">
        <f t="shared" si="3"/>
        <v>0</v>
      </c>
      <c r="Y43" s="146">
        <f t="shared" si="4"/>
        <v>0</v>
      </c>
      <c r="Z43" s="147" t="e">
        <f t="shared" si="6"/>
        <v>#DIV/0!</v>
      </c>
      <c r="AA43" s="147" t="e">
        <f t="shared" si="6"/>
        <v>#DIV/0!</v>
      </c>
      <c r="AB43" s="147" t="e">
        <f t="shared" si="6"/>
        <v>#DIV/0!</v>
      </c>
      <c r="AC43" s="147" t="e">
        <f t="shared" si="6"/>
        <v>#DIV/0!</v>
      </c>
    </row>
    <row r="44" spans="1:29" s="96" customFormat="1" ht="15.75">
      <c r="A44" s="92">
        <v>31</v>
      </c>
      <c r="B44" s="441"/>
      <c r="C44" s="130"/>
      <c r="D44" s="130"/>
      <c r="E44" s="130"/>
      <c r="F44" s="130"/>
      <c r="G44" s="126"/>
      <c r="H44" s="126"/>
      <c r="I44" s="144"/>
      <c r="J44" s="144"/>
      <c r="K44" s="144"/>
      <c r="L44" s="144"/>
      <c r="M44" s="144"/>
      <c r="N44" s="92"/>
      <c r="O44" s="144"/>
      <c r="P44" s="144"/>
      <c r="Q44" s="206"/>
      <c r="R44" s="145"/>
      <c r="S44" s="146"/>
      <c r="T44" s="146"/>
      <c r="U44" s="146">
        <f t="shared" si="0"/>
        <v>0</v>
      </c>
      <c r="V44" s="145">
        <f t="shared" si="1"/>
        <v>0</v>
      </c>
      <c r="W44" s="146">
        <f t="shared" si="2"/>
        <v>0</v>
      </c>
      <c r="X44" s="146">
        <f t="shared" si="3"/>
        <v>0</v>
      </c>
      <c r="Y44" s="146">
        <f t="shared" si="4"/>
        <v>0</v>
      </c>
      <c r="Z44" s="147" t="e">
        <f t="shared" si="6"/>
        <v>#DIV/0!</v>
      </c>
      <c r="AA44" s="147" t="e">
        <f t="shared" si="6"/>
        <v>#DIV/0!</v>
      </c>
      <c r="AB44" s="147" t="e">
        <f t="shared" si="6"/>
        <v>#DIV/0!</v>
      </c>
      <c r="AC44" s="147" t="e">
        <f t="shared" si="6"/>
        <v>#DIV/0!</v>
      </c>
    </row>
    <row r="45" spans="1:29" s="96" customFormat="1">
      <c r="A45" s="92">
        <v>32</v>
      </c>
      <c r="B45" s="143"/>
      <c r="C45" s="130"/>
      <c r="D45" s="130"/>
      <c r="E45" s="130"/>
      <c r="F45" s="130"/>
      <c r="G45" s="126"/>
      <c r="H45" s="126"/>
      <c r="I45" s="144"/>
      <c r="J45" s="144"/>
      <c r="K45" s="144"/>
      <c r="L45" s="144"/>
      <c r="M45" s="144"/>
      <c r="N45" s="92"/>
      <c r="O45" s="144"/>
      <c r="P45" s="144"/>
      <c r="Q45" s="206"/>
      <c r="R45" s="145"/>
      <c r="S45" s="146"/>
      <c r="T45" s="146"/>
      <c r="U45" s="146">
        <f t="shared" si="0"/>
        <v>0</v>
      </c>
      <c r="V45" s="145">
        <f t="shared" si="1"/>
        <v>0</v>
      </c>
      <c r="W45" s="146">
        <f t="shared" si="2"/>
        <v>0</v>
      </c>
      <c r="X45" s="146">
        <f t="shared" si="3"/>
        <v>0</v>
      </c>
      <c r="Y45" s="146">
        <f t="shared" si="4"/>
        <v>0</v>
      </c>
      <c r="Z45" s="147" t="e">
        <f t="shared" si="6"/>
        <v>#DIV/0!</v>
      </c>
      <c r="AA45" s="147" t="e">
        <f t="shared" si="6"/>
        <v>#DIV/0!</v>
      </c>
      <c r="AB45" s="147" t="e">
        <f t="shared" si="6"/>
        <v>#DIV/0!</v>
      </c>
      <c r="AC45" s="147" t="e">
        <f t="shared" si="6"/>
        <v>#DIV/0!</v>
      </c>
    </row>
    <row r="46" spans="1:29" s="96" customFormat="1">
      <c r="A46" s="276" t="s">
        <v>18</v>
      </c>
      <c r="B46" s="462" t="s">
        <v>325</v>
      </c>
      <c r="C46" s="133"/>
      <c r="D46" s="92"/>
      <c r="E46" s="92"/>
      <c r="F46" s="92"/>
      <c r="G46" s="149"/>
      <c r="H46" s="149"/>
      <c r="I46" s="144"/>
      <c r="J46" s="144"/>
      <c r="K46" s="144"/>
      <c r="L46" s="144"/>
      <c r="M46" s="144"/>
      <c r="N46" s="92"/>
      <c r="O46" s="144"/>
      <c r="P46" s="144"/>
      <c r="Q46" s="206"/>
      <c r="R46" s="145"/>
      <c r="S46" s="146"/>
      <c r="T46" s="146"/>
      <c r="U46" s="146">
        <f t="shared" si="0"/>
        <v>0</v>
      </c>
      <c r="V46" s="145">
        <f t="shared" si="1"/>
        <v>0</v>
      </c>
      <c r="W46" s="146">
        <f t="shared" si="2"/>
        <v>0</v>
      </c>
      <c r="X46" s="146">
        <f t="shared" si="3"/>
        <v>0</v>
      </c>
      <c r="Y46" s="146">
        <f t="shared" si="4"/>
        <v>0</v>
      </c>
      <c r="Z46" s="147" t="e">
        <f t="shared" ref="Z46:AC52" si="7">V46/R46</f>
        <v>#DIV/0!</v>
      </c>
      <c r="AA46" s="147" t="e">
        <f t="shared" si="7"/>
        <v>#DIV/0!</v>
      </c>
      <c r="AB46" s="147" t="e">
        <f t="shared" si="7"/>
        <v>#DIV/0!</v>
      </c>
      <c r="AC46" s="147" t="e">
        <f t="shared" si="7"/>
        <v>#DIV/0!</v>
      </c>
    </row>
    <row r="47" spans="1:29" s="96" customFormat="1">
      <c r="A47" s="92">
        <v>1</v>
      </c>
      <c r="B47" s="143" t="s">
        <v>1897</v>
      </c>
      <c r="C47" s="92">
        <v>1</v>
      </c>
      <c r="D47" s="92">
        <v>1</v>
      </c>
      <c r="E47" s="92">
        <v>1</v>
      </c>
      <c r="F47" s="92">
        <v>1</v>
      </c>
      <c r="G47" s="93">
        <v>11</v>
      </c>
      <c r="H47" s="93">
        <v>11</v>
      </c>
      <c r="I47" s="144">
        <v>2.5</v>
      </c>
      <c r="J47" s="144" t="s">
        <v>1869</v>
      </c>
      <c r="K47" s="144">
        <v>3</v>
      </c>
      <c r="L47" s="150" t="s">
        <v>1870</v>
      </c>
      <c r="M47" s="144">
        <v>3.75</v>
      </c>
      <c r="N47" s="92" t="s">
        <v>1882</v>
      </c>
      <c r="O47" s="144" t="s">
        <v>1856</v>
      </c>
      <c r="P47" s="150"/>
      <c r="Q47" s="206"/>
      <c r="R47" s="145"/>
      <c r="S47" s="146"/>
      <c r="T47" s="146"/>
      <c r="U47" s="146" t="e">
        <f t="shared" si="0"/>
        <v>#VALUE!</v>
      </c>
      <c r="V47" s="145">
        <f t="shared" si="1"/>
        <v>0</v>
      </c>
      <c r="W47" s="146">
        <f t="shared" si="2"/>
        <v>0</v>
      </c>
      <c r="X47" s="146">
        <f t="shared" si="3"/>
        <v>0</v>
      </c>
      <c r="Y47" s="146" t="e">
        <f t="shared" si="4"/>
        <v>#VALUE!</v>
      </c>
      <c r="Z47" s="95" t="e">
        <f t="shared" si="7"/>
        <v>#DIV/0!</v>
      </c>
      <c r="AA47" s="95" t="e">
        <f t="shared" si="7"/>
        <v>#DIV/0!</v>
      </c>
      <c r="AB47" s="95" t="e">
        <f t="shared" si="7"/>
        <v>#DIV/0!</v>
      </c>
      <c r="AC47" s="95" t="e">
        <f t="shared" si="7"/>
        <v>#VALUE!</v>
      </c>
    </row>
    <row r="48" spans="1:29" s="96" customFormat="1">
      <c r="A48" s="92">
        <v>2</v>
      </c>
      <c r="B48" s="143" t="s">
        <v>1898</v>
      </c>
      <c r="C48" s="92">
        <v>1</v>
      </c>
      <c r="D48" s="92">
        <v>1</v>
      </c>
      <c r="E48" s="92">
        <v>1</v>
      </c>
      <c r="F48" s="92">
        <v>1</v>
      </c>
      <c r="G48" s="93">
        <v>3</v>
      </c>
      <c r="H48" s="93">
        <v>3</v>
      </c>
      <c r="I48" s="710">
        <f>(45/60)*10000/12000</f>
        <v>0.625</v>
      </c>
      <c r="J48" s="144" t="s">
        <v>1869</v>
      </c>
      <c r="K48" s="144">
        <f>I48*12000/10000</f>
        <v>0.75</v>
      </c>
      <c r="L48" s="150" t="s">
        <v>1870</v>
      </c>
      <c r="M48" s="710">
        <f t="shared" ref="M48:M56" si="8">I48*15000/10000</f>
        <v>0.9375</v>
      </c>
      <c r="N48" s="92" t="s">
        <v>1882</v>
      </c>
      <c r="O48" s="144" t="s">
        <v>1867</v>
      </c>
      <c r="P48" s="144"/>
      <c r="Q48" s="206"/>
      <c r="R48" s="145"/>
      <c r="S48" s="146"/>
      <c r="T48" s="146"/>
      <c r="U48" s="146" t="e">
        <f t="shared" si="0"/>
        <v>#VALUE!</v>
      </c>
      <c r="V48" s="145">
        <f t="shared" si="1"/>
        <v>0</v>
      </c>
      <c r="W48" s="146">
        <f t="shared" si="2"/>
        <v>0</v>
      </c>
      <c r="X48" s="146">
        <f t="shared" si="3"/>
        <v>0</v>
      </c>
      <c r="Y48" s="146" t="e">
        <f t="shared" si="4"/>
        <v>#VALUE!</v>
      </c>
      <c r="Z48" s="95" t="e">
        <f t="shared" si="7"/>
        <v>#DIV/0!</v>
      </c>
      <c r="AA48" s="95" t="e">
        <f t="shared" si="7"/>
        <v>#DIV/0!</v>
      </c>
      <c r="AB48" s="95" t="e">
        <f t="shared" si="7"/>
        <v>#DIV/0!</v>
      </c>
      <c r="AC48" s="95" t="e">
        <f t="shared" si="7"/>
        <v>#VALUE!</v>
      </c>
    </row>
    <row r="49" spans="1:29" s="96" customFormat="1">
      <c r="A49" s="92">
        <v>3</v>
      </c>
      <c r="B49" s="126" t="s">
        <v>1894</v>
      </c>
      <c r="C49" s="92">
        <v>1</v>
      </c>
      <c r="D49" s="92">
        <v>1</v>
      </c>
      <c r="E49" s="92">
        <v>1</v>
      </c>
      <c r="F49" s="92">
        <v>1</v>
      </c>
      <c r="G49" s="93">
        <v>11</v>
      </c>
      <c r="H49" s="93">
        <v>11</v>
      </c>
      <c r="I49" s="710">
        <f>10000/3500</f>
        <v>2.8571428571428572</v>
      </c>
      <c r="J49" s="144" t="s">
        <v>1869</v>
      </c>
      <c r="K49" s="710">
        <f>(I49*12000)/10000</f>
        <v>3.4285714285714288</v>
      </c>
      <c r="L49" s="150" t="s">
        <v>1870</v>
      </c>
      <c r="M49" s="710">
        <f t="shared" si="8"/>
        <v>4.2857142857142856</v>
      </c>
      <c r="N49" s="92" t="s">
        <v>1882</v>
      </c>
      <c r="O49" s="144" t="s">
        <v>1868</v>
      </c>
      <c r="P49" s="144"/>
      <c r="Q49" s="206"/>
      <c r="R49" s="145"/>
      <c r="S49" s="146"/>
      <c r="T49" s="146"/>
      <c r="U49" s="146" t="e">
        <f t="shared" si="0"/>
        <v>#VALUE!</v>
      </c>
      <c r="V49" s="145">
        <f t="shared" si="1"/>
        <v>0</v>
      </c>
      <c r="W49" s="146">
        <f t="shared" si="2"/>
        <v>0</v>
      </c>
      <c r="X49" s="146">
        <f t="shared" si="3"/>
        <v>0</v>
      </c>
      <c r="Y49" s="146" t="e">
        <f t="shared" si="4"/>
        <v>#VALUE!</v>
      </c>
      <c r="Z49" s="95" t="e">
        <f t="shared" si="7"/>
        <v>#DIV/0!</v>
      </c>
      <c r="AA49" s="95" t="e">
        <f t="shared" si="7"/>
        <v>#DIV/0!</v>
      </c>
      <c r="AB49" s="95" t="e">
        <f t="shared" si="7"/>
        <v>#DIV/0!</v>
      </c>
      <c r="AC49" s="95" t="e">
        <f t="shared" si="7"/>
        <v>#VALUE!</v>
      </c>
    </row>
    <row r="50" spans="1:29" s="96" customFormat="1">
      <c r="A50" s="92">
        <v>4</v>
      </c>
      <c r="B50" s="143" t="s">
        <v>1895</v>
      </c>
      <c r="C50" s="92">
        <v>1</v>
      </c>
      <c r="D50" s="92">
        <v>1</v>
      </c>
      <c r="E50" s="92">
        <v>1</v>
      </c>
      <c r="F50" s="92">
        <v>1</v>
      </c>
      <c r="G50" s="93">
        <v>0.63</v>
      </c>
      <c r="H50" s="93">
        <v>0.63</v>
      </c>
      <c r="I50" s="710">
        <f>10000/3500</f>
        <v>2.8571428571428572</v>
      </c>
      <c r="J50" s="144" t="s">
        <v>1869</v>
      </c>
      <c r="K50" s="710">
        <f>I50*12000/10000</f>
        <v>3.4285714285714288</v>
      </c>
      <c r="L50" s="150" t="s">
        <v>1870</v>
      </c>
      <c r="M50" s="710">
        <f t="shared" si="8"/>
        <v>4.2857142857142856</v>
      </c>
      <c r="N50" s="92" t="s">
        <v>1882</v>
      </c>
      <c r="O50" s="144" t="s">
        <v>1868</v>
      </c>
      <c r="P50" s="144"/>
      <c r="Q50" s="206"/>
      <c r="R50" s="145"/>
      <c r="S50" s="146"/>
      <c r="T50" s="146"/>
      <c r="U50" s="146" t="e">
        <f t="shared" si="0"/>
        <v>#VALUE!</v>
      </c>
      <c r="V50" s="145">
        <f t="shared" si="1"/>
        <v>0</v>
      </c>
      <c r="W50" s="146">
        <f t="shared" si="2"/>
        <v>0</v>
      </c>
      <c r="X50" s="146">
        <f t="shared" si="3"/>
        <v>0</v>
      </c>
      <c r="Y50" s="146" t="e">
        <f t="shared" si="4"/>
        <v>#VALUE!</v>
      </c>
      <c r="Z50" s="95" t="e">
        <f t="shared" si="7"/>
        <v>#DIV/0!</v>
      </c>
      <c r="AA50" s="95" t="e">
        <f t="shared" si="7"/>
        <v>#DIV/0!</v>
      </c>
      <c r="AB50" s="95" t="e">
        <f t="shared" si="7"/>
        <v>#DIV/0!</v>
      </c>
      <c r="AC50" s="95" t="e">
        <f t="shared" si="7"/>
        <v>#VALUE!</v>
      </c>
    </row>
    <row r="51" spans="1:29" s="96" customFormat="1">
      <c r="A51" s="92">
        <v>5</v>
      </c>
      <c r="B51" s="143" t="s">
        <v>1896</v>
      </c>
      <c r="C51" s="92">
        <v>1</v>
      </c>
      <c r="D51" s="92">
        <v>1</v>
      </c>
      <c r="E51" s="92">
        <v>1</v>
      </c>
      <c r="F51" s="92">
        <v>1</v>
      </c>
      <c r="G51" s="93">
        <v>2.2000000000000002</v>
      </c>
      <c r="H51" s="93">
        <v>2.2000000000000002</v>
      </c>
      <c r="I51" s="710">
        <f>10000/3500</f>
        <v>2.8571428571428572</v>
      </c>
      <c r="J51" s="144" t="s">
        <v>1869</v>
      </c>
      <c r="K51" s="710">
        <f>I51*12000/10000</f>
        <v>3.4285714285714288</v>
      </c>
      <c r="L51" s="150" t="s">
        <v>1870</v>
      </c>
      <c r="M51" s="710">
        <f t="shared" si="8"/>
        <v>4.2857142857142856</v>
      </c>
      <c r="N51" s="92" t="s">
        <v>1882</v>
      </c>
      <c r="O51" s="144" t="s">
        <v>1868</v>
      </c>
      <c r="P51" s="144"/>
      <c r="Q51" s="206"/>
      <c r="R51" s="145"/>
      <c r="S51" s="146"/>
      <c r="T51" s="146"/>
      <c r="U51" s="146" t="e">
        <f t="shared" si="0"/>
        <v>#VALUE!</v>
      </c>
      <c r="V51" s="145"/>
      <c r="W51" s="146"/>
      <c r="X51" s="146"/>
      <c r="Y51" s="146" t="e">
        <f t="shared" si="4"/>
        <v>#VALUE!</v>
      </c>
      <c r="Z51" s="95"/>
      <c r="AA51" s="95"/>
      <c r="AB51" s="95"/>
      <c r="AC51" s="95" t="e">
        <f t="shared" si="7"/>
        <v>#VALUE!</v>
      </c>
    </row>
    <row r="52" spans="1:29" s="96" customFormat="1">
      <c r="A52" s="92">
        <v>6</v>
      </c>
      <c r="B52" s="143" t="s">
        <v>1892</v>
      </c>
      <c r="C52" s="92">
        <v>1</v>
      </c>
      <c r="D52" s="92">
        <v>1</v>
      </c>
      <c r="E52" s="92">
        <v>1</v>
      </c>
      <c r="F52" s="92">
        <v>1</v>
      </c>
      <c r="G52" s="93">
        <v>2.2000000000000002</v>
      </c>
      <c r="H52" s="93">
        <v>2.2000000000000002</v>
      </c>
      <c r="I52" s="710">
        <f>(20/60)*10000/6000</f>
        <v>0.55555555555555547</v>
      </c>
      <c r="J52" s="144" t="s">
        <v>1869</v>
      </c>
      <c r="K52" s="710">
        <f>I52*12000/10000</f>
        <v>0.66666666666666663</v>
      </c>
      <c r="L52" s="150" t="s">
        <v>1870</v>
      </c>
      <c r="M52" s="710">
        <f>I52*15000/10000</f>
        <v>0.83333333333333326</v>
      </c>
      <c r="N52" s="92" t="s">
        <v>1882</v>
      </c>
      <c r="O52" s="144" t="s">
        <v>1883</v>
      </c>
      <c r="P52" s="144"/>
      <c r="Q52" s="206"/>
      <c r="R52" s="145"/>
      <c r="S52" s="146"/>
      <c r="T52" s="146"/>
      <c r="U52" s="146" t="e">
        <f t="shared" si="0"/>
        <v>#VALUE!</v>
      </c>
      <c r="V52" s="145"/>
      <c r="W52" s="146"/>
      <c r="X52" s="146"/>
      <c r="Y52" s="146" t="e">
        <f t="shared" si="4"/>
        <v>#VALUE!</v>
      </c>
      <c r="Z52" s="95"/>
      <c r="AA52" s="95"/>
      <c r="AB52" s="95"/>
      <c r="AC52" s="95" t="e">
        <f t="shared" si="7"/>
        <v>#VALUE!</v>
      </c>
    </row>
    <row r="53" spans="1:29" s="96" customFormat="1">
      <c r="A53" s="92">
        <v>7</v>
      </c>
      <c r="B53" s="143" t="s">
        <v>1903</v>
      </c>
      <c r="C53" s="92">
        <v>1</v>
      </c>
      <c r="D53" s="92">
        <v>1</v>
      </c>
      <c r="E53" s="92">
        <v>1</v>
      </c>
      <c r="F53" s="92">
        <v>1</v>
      </c>
      <c r="G53" s="93">
        <v>4</v>
      </c>
      <c r="H53" s="93">
        <v>4</v>
      </c>
      <c r="I53" s="144">
        <f>(1.5*2)</f>
        <v>3</v>
      </c>
      <c r="J53" s="144" t="s">
        <v>1871</v>
      </c>
      <c r="K53" s="144">
        <f>I53</f>
        <v>3</v>
      </c>
      <c r="L53" s="144" t="s">
        <v>1871</v>
      </c>
      <c r="M53" s="144">
        <f t="shared" si="8"/>
        <v>4.5</v>
      </c>
      <c r="N53" s="92" t="s">
        <v>1873</v>
      </c>
      <c r="O53" s="144" t="s">
        <v>1872</v>
      </c>
      <c r="P53" s="144"/>
      <c r="Q53" s="206"/>
      <c r="R53" s="145"/>
      <c r="S53" s="146"/>
      <c r="T53" s="146"/>
      <c r="U53" s="146" t="e">
        <f t="shared" ref="U53:U63" si="9">F53*G53*O53*Q53</f>
        <v>#VALUE!</v>
      </c>
      <c r="V53" s="145">
        <f>C53*H53*I53*Q53</f>
        <v>0</v>
      </c>
      <c r="W53" s="146">
        <f>D53*H53*K53*Q53</f>
        <v>0</v>
      </c>
      <c r="X53" s="146">
        <f t="shared" ref="X53:X63" si="10">E53*H53*M53*Q53</f>
        <v>0</v>
      </c>
      <c r="Y53" s="146" t="e">
        <f t="shared" ref="Y53:Y63" si="11">F53*H53*O53*Q53</f>
        <v>#VALUE!</v>
      </c>
      <c r="Z53" s="95" t="e">
        <f t="shared" ref="Z53:AC58" si="12">V53/R53</f>
        <v>#DIV/0!</v>
      </c>
      <c r="AA53" s="95" t="e">
        <f t="shared" si="12"/>
        <v>#DIV/0!</v>
      </c>
      <c r="AB53" s="95" t="e">
        <f t="shared" si="12"/>
        <v>#DIV/0!</v>
      </c>
      <c r="AC53" s="95" t="e">
        <f t="shared" si="12"/>
        <v>#VALUE!</v>
      </c>
    </row>
    <row r="54" spans="1:29" s="96" customFormat="1">
      <c r="A54" s="92">
        <v>8</v>
      </c>
      <c r="B54" s="126" t="s">
        <v>1891</v>
      </c>
      <c r="C54" s="92">
        <v>1</v>
      </c>
      <c r="D54" s="92">
        <v>1</v>
      </c>
      <c r="E54" s="92">
        <v>1</v>
      </c>
      <c r="F54" s="92">
        <v>1</v>
      </c>
      <c r="G54" s="93">
        <v>11</v>
      </c>
      <c r="H54" s="93">
        <v>11</v>
      </c>
      <c r="I54" s="144">
        <f>(1.5*2)</f>
        <v>3</v>
      </c>
      <c r="J54" s="144" t="s">
        <v>1871</v>
      </c>
      <c r="K54" s="144">
        <f>I54</f>
        <v>3</v>
      </c>
      <c r="L54" s="144" t="s">
        <v>1871</v>
      </c>
      <c r="M54" s="144">
        <f t="shared" si="8"/>
        <v>4.5</v>
      </c>
      <c r="N54" s="92" t="s">
        <v>1873</v>
      </c>
      <c r="O54" s="144" t="s">
        <v>1872</v>
      </c>
      <c r="P54" s="144"/>
      <c r="Q54" s="206"/>
      <c r="R54" s="145"/>
      <c r="S54" s="146"/>
      <c r="T54" s="146"/>
      <c r="U54" s="146" t="e">
        <f t="shared" si="9"/>
        <v>#VALUE!</v>
      </c>
      <c r="V54" s="145">
        <f>C54*H54*I54*Q54</f>
        <v>0</v>
      </c>
      <c r="W54" s="146">
        <f>D54*H54*K54*Q54</f>
        <v>0</v>
      </c>
      <c r="X54" s="146">
        <f t="shared" si="10"/>
        <v>0</v>
      </c>
      <c r="Y54" s="146" t="e">
        <f t="shared" si="11"/>
        <v>#VALUE!</v>
      </c>
      <c r="Z54" s="95" t="e">
        <f t="shared" si="12"/>
        <v>#DIV/0!</v>
      </c>
      <c r="AA54" s="95" t="e">
        <f t="shared" si="12"/>
        <v>#DIV/0!</v>
      </c>
      <c r="AB54" s="95" t="e">
        <f t="shared" si="12"/>
        <v>#DIV/0!</v>
      </c>
      <c r="AC54" s="95" t="e">
        <f t="shared" si="12"/>
        <v>#VALUE!</v>
      </c>
    </row>
    <row r="55" spans="1:29" s="96" customFormat="1">
      <c r="A55" s="92">
        <v>9</v>
      </c>
      <c r="B55" s="143" t="s">
        <v>1902</v>
      </c>
      <c r="C55" s="92">
        <v>1</v>
      </c>
      <c r="D55" s="92">
        <v>1</v>
      </c>
      <c r="E55" s="92">
        <v>1</v>
      </c>
      <c r="F55" s="92">
        <v>1</v>
      </c>
      <c r="G55" s="148">
        <v>4</v>
      </c>
      <c r="H55" s="148">
        <v>4</v>
      </c>
      <c r="I55" s="711">
        <f>10000/6000*0.5</f>
        <v>0.83333333333333337</v>
      </c>
      <c r="J55" s="144" t="s">
        <v>1878</v>
      </c>
      <c r="K55" s="144">
        <f>I55*12000/10000</f>
        <v>1</v>
      </c>
      <c r="L55" s="144" t="s">
        <v>1877</v>
      </c>
      <c r="M55" s="144">
        <f t="shared" si="8"/>
        <v>1.25</v>
      </c>
      <c r="N55" s="92" t="s">
        <v>1876</v>
      </c>
      <c r="O55" s="144" t="s">
        <v>1875</v>
      </c>
      <c r="P55" s="144"/>
      <c r="Q55" s="206"/>
      <c r="R55" s="145"/>
      <c r="S55" s="146"/>
      <c r="T55" s="146"/>
      <c r="U55" s="146" t="e">
        <f t="shared" si="9"/>
        <v>#VALUE!</v>
      </c>
      <c r="V55" s="145"/>
      <c r="W55" s="146"/>
      <c r="X55" s="146">
        <f t="shared" si="10"/>
        <v>0</v>
      </c>
      <c r="Y55" s="146" t="e">
        <f t="shared" si="11"/>
        <v>#VALUE!</v>
      </c>
      <c r="Z55" s="95"/>
      <c r="AA55" s="95"/>
      <c r="AB55" s="95" t="e">
        <f t="shared" si="12"/>
        <v>#DIV/0!</v>
      </c>
      <c r="AC55" s="95" t="e">
        <f t="shared" si="12"/>
        <v>#VALUE!</v>
      </c>
    </row>
    <row r="56" spans="1:29" s="96" customFormat="1">
      <c r="A56" s="92">
        <v>10</v>
      </c>
      <c r="B56" s="143" t="s">
        <v>1901</v>
      </c>
      <c r="C56" s="92">
        <v>1</v>
      </c>
      <c r="D56" s="92">
        <v>1</v>
      </c>
      <c r="E56" s="92">
        <v>1</v>
      </c>
      <c r="F56" s="92">
        <v>1</v>
      </c>
      <c r="G56" s="148">
        <v>4</v>
      </c>
      <c r="H56" s="148">
        <v>4</v>
      </c>
      <c r="I56" s="710">
        <f>10000/6000*2</f>
        <v>3.3333333333333335</v>
      </c>
      <c r="J56" s="144" t="s">
        <v>1879</v>
      </c>
      <c r="K56" s="144">
        <f>I56*12000/10000</f>
        <v>4</v>
      </c>
      <c r="L56" s="144" t="s">
        <v>1880</v>
      </c>
      <c r="M56" s="144">
        <f t="shared" si="8"/>
        <v>5</v>
      </c>
      <c r="N56" s="92" t="s">
        <v>1881</v>
      </c>
      <c r="O56" s="144" t="s">
        <v>1874</v>
      </c>
      <c r="P56" s="144"/>
      <c r="Q56" s="206"/>
      <c r="R56" s="145"/>
      <c r="S56" s="146"/>
      <c r="T56" s="146"/>
      <c r="U56" s="146" t="e">
        <f t="shared" si="9"/>
        <v>#VALUE!</v>
      </c>
      <c r="V56" s="145"/>
      <c r="W56" s="146"/>
      <c r="X56" s="146">
        <f t="shared" si="10"/>
        <v>0</v>
      </c>
      <c r="Y56" s="146" t="e">
        <f t="shared" si="11"/>
        <v>#VALUE!</v>
      </c>
      <c r="Z56" s="95"/>
      <c r="AA56" s="95"/>
      <c r="AB56" s="95" t="e">
        <f t="shared" si="12"/>
        <v>#DIV/0!</v>
      </c>
      <c r="AC56" s="95" t="e">
        <f t="shared" si="12"/>
        <v>#VALUE!</v>
      </c>
    </row>
    <row r="57" spans="1:29" s="96" customFormat="1">
      <c r="A57" s="92">
        <v>11</v>
      </c>
      <c r="B57" s="143" t="s">
        <v>1900</v>
      </c>
      <c r="C57" s="92">
        <v>1</v>
      </c>
      <c r="D57" s="92">
        <v>1</v>
      </c>
      <c r="E57" s="92">
        <v>1</v>
      </c>
      <c r="F57" s="92">
        <v>1</v>
      </c>
      <c r="G57" s="148">
        <v>1.5</v>
      </c>
      <c r="H57" s="148">
        <v>1.5</v>
      </c>
      <c r="I57" s="710">
        <f>SUM(I55:I56)</f>
        <v>4.166666666666667</v>
      </c>
      <c r="J57" s="144" t="s">
        <v>1884</v>
      </c>
      <c r="K57" s="144">
        <f>SUM(K55:K56)</f>
        <v>5</v>
      </c>
      <c r="L57" s="144" t="s">
        <v>1881</v>
      </c>
      <c r="M57" s="144">
        <f>SUM(M55:M56)</f>
        <v>6.25</v>
      </c>
      <c r="N57" s="92" t="s">
        <v>1886</v>
      </c>
      <c r="O57" s="144" t="s">
        <v>1885</v>
      </c>
      <c r="P57" s="144"/>
      <c r="Q57" s="206"/>
      <c r="R57" s="145"/>
      <c r="S57" s="146"/>
      <c r="T57" s="146"/>
      <c r="U57" s="146" t="e">
        <f t="shared" si="9"/>
        <v>#VALUE!</v>
      </c>
      <c r="V57" s="145"/>
      <c r="W57" s="146"/>
      <c r="X57" s="146">
        <f t="shared" si="10"/>
        <v>0</v>
      </c>
      <c r="Y57" s="146" t="e">
        <f t="shared" si="11"/>
        <v>#VALUE!</v>
      </c>
      <c r="Z57" s="95"/>
      <c r="AA57" s="95"/>
      <c r="AB57" s="95" t="e">
        <f t="shared" si="12"/>
        <v>#DIV/0!</v>
      </c>
      <c r="AC57" s="95" t="e">
        <f t="shared" si="12"/>
        <v>#VALUE!</v>
      </c>
    </row>
    <row r="58" spans="1:29" s="96" customFormat="1">
      <c r="A58" s="92">
        <v>12</v>
      </c>
      <c r="B58" s="143" t="s">
        <v>1899</v>
      </c>
      <c r="C58" s="92">
        <v>1</v>
      </c>
      <c r="D58" s="92">
        <v>1</v>
      </c>
      <c r="E58" s="92">
        <v>1</v>
      </c>
      <c r="F58" s="92">
        <v>1</v>
      </c>
      <c r="G58" s="93">
        <v>1.5</v>
      </c>
      <c r="H58" s="93">
        <v>1.5</v>
      </c>
      <c r="I58" s="144">
        <v>2</v>
      </c>
      <c r="J58" s="144" t="s">
        <v>1888</v>
      </c>
      <c r="K58" s="144">
        <f>I58*12000/10000</f>
        <v>2.4</v>
      </c>
      <c r="L58" s="144" t="s">
        <v>1889</v>
      </c>
      <c r="M58" s="144">
        <f>I58*15000/10000</f>
        <v>3</v>
      </c>
      <c r="N58" s="92" t="s">
        <v>1890</v>
      </c>
      <c r="O58" s="144" t="s">
        <v>1887</v>
      </c>
      <c r="P58" s="144"/>
      <c r="Q58" s="206"/>
      <c r="R58" s="145"/>
      <c r="S58" s="146"/>
      <c r="T58" s="146"/>
      <c r="U58" s="146" t="e">
        <f t="shared" si="9"/>
        <v>#VALUE!</v>
      </c>
      <c r="V58" s="145"/>
      <c r="W58" s="146"/>
      <c r="X58" s="146">
        <f t="shared" si="10"/>
        <v>0</v>
      </c>
      <c r="Y58" s="146" t="e">
        <f t="shared" si="11"/>
        <v>#VALUE!</v>
      </c>
      <c r="Z58" s="95"/>
      <c r="AA58" s="95"/>
      <c r="AB58" s="95" t="e">
        <f t="shared" si="12"/>
        <v>#DIV/0!</v>
      </c>
      <c r="AC58" s="95" t="e">
        <f t="shared" si="12"/>
        <v>#VALUE!</v>
      </c>
    </row>
    <row r="59" spans="1:29" s="96" customFormat="1">
      <c r="A59" s="92">
        <v>13</v>
      </c>
      <c r="I59" s="144"/>
      <c r="J59" s="144"/>
      <c r="K59" s="144"/>
      <c r="L59" s="144"/>
      <c r="M59" s="144"/>
      <c r="N59" s="92"/>
      <c r="O59" s="144"/>
      <c r="P59" s="144"/>
      <c r="Q59" s="206"/>
      <c r="R59" s="145"/>
      <c r="S59" s="146"/>
      <c r="T59" s="146"/>
      <c r="U59" s="146">
        <f>F91*G91*O59*Q59</f>
        <v>0</v>
      </c>
      <c r="V59" s="145">
        <f>C91*H91*I59*Q59</f>
        <v>0</v>
      </c>
      <c r="W59" s="146">
        <f>D91*H91*K59*Q59</f>
        <v>0</v>
      </c>
      <c r="X59" s="146">
        <f>E91*H91*M59*Q59</f>
        <v>0</v>
      </c>
      <c r="Y59" s="146">
        <f>F91*H91*O59*Q59</f>
        <v>0</v>
      </c>
      <c r="Z59" s="95" t="e">
        <f t="shared" ref="Z59:AC63" si="13">V59/R59</f>
        <v>#DIV/0!</v>
      </c>
      <c r="AA59" s="95" t="e">
        <f t="shared" si="13"/>
        <v>#DIV/0!</v>
      </c>
      <c r="AB59" s="95" t="e">
        <f t="shared" si="13"/>
        <v>#DIV/0!</v>
      </c>
      <c r="AC59" s="95" t="e">
        <f t="shared" si="13"/>
        <v>#DIV/0!</v>
      </c>
    </row>
    <row r="60" spans="1:29" s="96" customFormat="1">
      <c r="A60" s="92">
        <v>14</v>
      </c>
      <c r="B60" s="143"/>
      <c r="C60" s="92"/>
      <c r="D60" s="92"/>
      <c r="E60" s="92"/>
      <c r="F60" s="92"/>
      <c r="G60" s="149"/>
      <c r="H60" s="149"/>
      <c r="I60" s="144"/>
      <c r="J60" s="144"/>
      <c r="K60" s="144"/>
      <c r="L60" s="144"/>
      <c r="M60" s="144"/>
      <c r="N60" s="92"/>
      <c r="O60" s="144"/>
      <c r="P60" s="144"/>
      <c r="Q60" s="206"/>
      <c r="R60" s="145"/>
      <c r="S60" s="146"/>
      <c r="T60" s="146"/>
      <c r="U60" s="146">
        <f t="shared" si="9"/>
        <v>0</v>
      </c>
      <c r="V60" s="145">
        <f>C60*H60*I60*Q60</f>
        <v>0</v>
      </c>
      <c r="W60" s="146">
        <f>D60*H60*K60*Q60</f>
        <v>0</v>
      </c>
      <c r="X60" s="146">
        <f t="shared" si="10"/>
        <v>0</v>
      </c>
      <c r="Y60" s="146">
        <f t="shared" si="11"/>
        <v>0</v>
      </c>
      <c r="Z60" s="95" t="e">
        <f t="shared" si="13"/>
        <v>#DIV/0!</v>
      </c>
      <c r="AA60" s="95" t="e">
        <f t="shared" si="13"/>
        <v>#DIV/0!</v>
      </c>
      <c r="AB60" s="95" t="e">
        <f t="shared" si="13"/>
        <v>#DIV/0!</v>
      </c>
      <c r="AC60" s="95" t="e">
        <f t="shared" si="13"/>
        <v>#DIV/0!</v>
      </c>
    </row>
    <row r="61" spans="1:29" s="96" customFormat="1">
      <c r="A61" s="92">
        <v>15</v>
      </c>
      <c r="B61" s="143"/>
      <c r="C61" s="92"/>
      <c r="D61" s="92"/>
      <c r="E61" s="92"/>
      <c r="F61" s="92"/>
      <c r="G61" s="148"/>
      <c r="H61" s="148"/>
      <c r="I61" s="144"/>
      <c r="J61" s="144"/>
      <c r="K61" s="144"/>
      <c r="L61" s="144"/>
      <c r="M61" s="144"/>
      <c r="N61" s="92"/>
      <c r="O61" s="144"/>
      <c r="P61" s="144"/>
      <c r="Q61" s="206"/>
      <c r="R61" s="145"/>
      <c r="S61" s="146"/>
      <c r="T61" s="146"/>
      <c r="U61" s="146">
        <f t="shared" si="9"/>
        <v>0</v>
      </c>
      <c r="V61" s="145">
        <f>C61*H61*I61*Q61</f>
        <v>0</v>
      </c>
      <c r="W61" s="146">
        <f>D61*H61*K61*Q61</f>
        <v>0</v>
      </c>
      <c r="X61" s="146">
        <f t="shared" si="10"/>
        <v>0</v>
      </c>
      <c r="Y61" s="146">
        <f t="shared" si="11"/>
        <v>0</v>
      </c>
      <c r="Z61" s="95" t="e">
        <f t="shared" si="13"/>
        <v>#DIV/0!</v>
      </c>
      <c r="AA61" s="95" t="e">
        <f t="shared" si="13"/>
        <v>#DIV/0!</v>
      </c>
      <c r="AB61" s="95" t="e">
        <f t="shared" si="13"/>
        <v>#DIV/0!</v>
      </c>
      <c r="AC61" s="95" t="e">
        <f t="shared" si="13"/>
        <v>#DIV/0!</v>
      </c>
    </row>
    <row r="62" spans="1:29" s="96" customFormat="1">
      <c r="A62" s="92">
        <v>16</v>
      </c>
      <c r="B62" s="143"/>
      <c r="C62" s="92"/>
      <c r="D62" s="92"/>
      <c r="E62" s="92"/>
      <c r="F62" s="92"/>
      <c r="G62" s="148"/>
      <c r="H62" s="148"/>
      <c r="I62" s="144"/>
      <c r="J62" s="144"/>
      <c r="K62" s="144"/>
      <c r="L62" s="144"/>
      <c r="M62" s="144"/>
      <c r="N62" s="92"/>
      <c r="O62" s="144"/>
      <c r="P62" s="144"/>
      <c r="Q62" s="206"/>
      <c r="R62" s="145"/>
      <c r="S62" s="146"/>
      <c r="T62" s="146"/>
      <c r="U62" s="146">
        <f t="shared" si="9"/>
        <v>0</v>
      </c>
      <c r="V62" s="145">
        <f>C62*H62*I62*Q62</f>
        <v>0</v>
      </c>
      <c r="W62" s="146">
        <f>D62*H62*K62*Q62</f>
        <v>0</v>
      </c>
      <c r="X62" s="146">
        <f t="shared" si="10"/>
        <v>0</v>
      </c>
      <c r="Y62" s="146">
        <f t="shared" si="11"/>
        <v>0</v>
      </c>
      <c r="Z62" s="95" t="e">
        <f t="shared" si="13"/>
        <v>#DIV/0!</v>
      </c>
      <c r="AA62" s="95" t="e">
        <f t="shared" si="13"/>
        <v>#DIV/0!</v>
      </c>
      <c r="AB62" s="95" t="e">
        <f t="shared" si="13"/>
        <v>#DIV/0!</v>
      </c>
      <c r="AC62" s="95" t="e">
        <f t="shared" si="13"/>
        <v>#DIV/0!</v>
      </c>
    </row>
    <row r="63" spans="1:29" s="96" customFormat="1">
      <c r="A63" s="92">
        <v>17</v>
      </c>
      <c r="B63" s="143"/>
      <c r="C63" s="92"/>
      <c r="D63" s="92"/>
      <c r="E63" s="92"/>
      <c r="F63" s="92"/>
      <c r="G63" s="148"/>
      <c r="H63" s="148"/>
      <c r="I63" s="144"/>
      <c r="J63" s="144"/>
      <c r="K63" s="144"/>
      <c r="L63" s="144"/>
      <c r="M63" s="144"/>
      <c r="N63" s="92"/>
      <c r="O63" s="144"/>
      <c r="P63" s="144"/>
      <c r="Q63" s="206"/>
      <c r="R63" s="145"/>
      <c r="S63" s="146"/>
      <c r="T63" s="146"/>
      <c r="U63" s="146">
        <f t="shared" si="9"/>
        <v>0</v>
      </c>
      <c r="V63" s="145">
        <f>C63*H63*I63*Q63</f>
        <v>0</v>
      </c>
      <c r="W63" s="146">
        <f>D63*H63*K63*Q63</f>
        <v>0</v>
      </c>
      <c r="X63" s="146">
        <f t="shared" si="10"/>
        <v>0</v>
      </c>
      <c r="Y63" s="146">
        <f t="shared" si="11"/>
        <v>0</v>
      </c>
      <c r="Z63" s="95" t="e">
        <f t="shared" si="13"/>
        <v>#DIV/0!</v>
      </c>
      <c r="AA63" s="95" t="e">
        <f t="shared" si="13"/>
        <v>#DIV/0!</v>
      </c>
      <c r="AB63" s="95" t="e">
        <f t="shared" si="13"/>
        <v>#DIV/0!</v>
      </c>
      <c r="AC63" s="95" t="e">
        <f t="shared" si="13"/>
        <v>#DIV/0!</v>
      </c>
    </row>
    <row r="64" spans="1:29" s="96" customFormat="1">
      <c r="A64" s="92">
        <v>18</v>
      </c>
      <c r="B64" s="143" t="s">
        <v>1893</v>
      </c>
      <c r="C64" s="92"/>
      <c r="D64" s="92"/>
      <c r="E64" s="92"/>
      <c r="F64" s="92"/>
      <c r="G64" s="148"/>
      <c r="H64" s="148"/>
      <c r="I64" s="144"/>
      <c r="J64" s="144"/>
      <c r="K64" s="144"/>
      <c r="L64" s="144"/>
      <c r="M64" s="144"/>
      <c r="N64" s="92"/>
      <c r="O64" s="144"/>
      <c r="P64" s="144"/>
      <c r="Q64" s="206"/>
      <c r="R64" s="145"/>
      <c r="S64" s="146"/>
      <c r="T64" s="146"/>
      <c r="U64" s="146"/>
      <c r="V64" s="145"/>
      <c r="W64" s="146"/>
      <c r="X64" s="146"/>
      <c r="Y64" s="146"/>
      <c r="Z64" s="95"/>
      <c r="AA64" s="95"/>
      <c r="AB64" s="95"/>
      <c r="AC64" s="95"/>
    </row>
    <row r="65" spans="1:29" s="96" customFormat="1">
      <c r="A65" s="92">
        <v>19</v>
      </c>
      <c r="B65" s="143"/>
      <c r="C65" s="92"/>
      <c r="D65" s="92"/>
      <c r="E65" s="92"/>
      <c r="F65" s="92"/>
      <c r="G65" s="148"/>
      <c r="H65" s="148"/>
      <c r="I65" s="144"/>
      <c r="J65" s="144"/>
      <c r="K65" s="144"/>
      <c r="L65" s="144"/>
      <c r="M65" s="144"/>
      <c r="N65" s="92"/>
      <c r="O65" s="144"/>
      <c r="P65" s="144"/>
      <c r="Q65" s="206"/>
      <c r="R65" s="145"/>
      <c r="S65" s="146"/>
      <c r="T65" s="146"/>
      <c r="U65" s="146">
        <f t="shared" ref="U65:U81" si="14">F65*G65*O65*Q65</f>
        <v>0</v>
      </c>
      <c r="V65" s="145">
        <f t="shared" ref="V65:V81" si="15">C65*H65*I65*Q65</f>
        <v>0</v>
      </c>
      <c r="W65" s="146">
        <f t="shared" ref="W65:W81" si="16">D65*H65*K65*Q65</f>
        <v>0</v>
      </c>
      <c r="X65" s="146">
        <f t="shared" ref="X65:X81" si="17">E65*H65*M65*Q65</f>
        <v>0</v>
      </c>
      <c r="Y65" s="146">
        <f t="shared" ref="Y65:Y81" si="18">F65*H65*O65*Q65</f>
        <v>0</v>
      </c>
      <c r="Z65" s="95" t="e">
        <f t="shared" ref="Z65:AC81" si="19">V65/R65</f>
        <v>#DIV/0!</v>
      </c>
      <c r="AA65" s="95" t="e">
        <f t="shared" si="19"/>
        <v>#DIV/0!</v>
      </c>
      <c r="AB65" s="95" t="e">
        <f t="shared" si="19"/>
        <v>#DIV/0!</v>
      </c>
      <c r="AC65" s="95" t="e">
        <f t="shared" si="19"/>
        <v>#DIV/0!</v>
      </c>
    </row>
    <row r="66" spans="1:29" s="96" customFormat="1">
      <c r="A66" s="92">
        <v>20</v>
      </c>
      <c r="B66" s="143"/>
      <c r="C66" s="92"/>
      <c r="D66" s="92"/>
      <c r="E66" s="92"/>
      <c r="F66" s="92"/>
      <c r="G66" s="148"/>
      <c r="H66" s="148"/>
      <c r="I66" s="144"/>
      <c r="J66" s="144"/>
      <c r="K66" s="144"/>
      <c r="L66" s="144"/>
      <c r="M66" s="144"/>
      <c r="N66" s="92"/>
      <c r="O66" s="144"/>
      <c r="P66" s="144"/>
      <c r="Q66" s="206"/>
      <c r="R66" s="145"/>
      <c r="S66" s="146"/>
      <c r="T66" s="146"/>
      <c r="U66" s="146">
        <f t="shared" si="14"/>
        <v>0</v>
      </c>
      <c r="V66" s="145">
        <f t="shared" si="15"/>
        <v>0</v>
      </c>
      <c r="W66" s="146">
        <f t="shared" si="16"/>
        <v>0</v>
      </c>
      <c r="X66" s="146">
        <f t="shared" si="17"/>
        <v>0</v>
      </c>
      <c r="Y66" s="146">
        <f t="shared" si="18"/>
        <v>0</v>
      </c>
      <c r="Z66" s="95" t="e">
        <f t="shared" si="19"/>
        <v>#DIV/0!</v>
      </c>
      <c r="AA66" s="95" t="e">
        <f t="shared" si="19"/>
        <v>#DIV/0!</v>
      </c>
      <c r="AB66" s="95" t="e">
        <f t="shared" si="19"/>
        <v>#DIV/0!</v>
      </c>
      <c r="AC66" s="95" t="e">
        <f t="shared" si="19"/>
        <v>#DIV/0!</v>
      </c>
    </row>
    <row r="67" spans="1:29" s="96" customFormat="1">
      <c r="A67" s="92">
        <v>21</v>
      </c>
      <c r="B67" s="143"/>
      <c r="C67" s="92"/>
      <c r="D67" s="92"/>
      <c r="E67" s="92"/>
      <c r="F67" s="92"/>
      <c r="G67" s="148"/>
      <c r="H67" s="148"/>
      <c r="I67" s="144"/>
      <c r="J67" s="144"/>
      <c r="K67" s="144"/>
      <c r="L67" s="144"/>
      <c r="M67" s="144"/>
      <c r="N67" s="92"/>
      <c r="O67" s="144"/>
      <c r="P67" s="144"/>
      <c r="Q67" s="206"/>
      <c r="R67" s="145"/>
      <c r="S67" s="146"/>
      <c r="T67" s="146"/>
      <c r="U67" s="146">
        <f t="shared" si="14"/>
        <v>0</v>
      </c>
      <c r="V67" s="145">
        <f t="shared" si="15"/>
        <v>0</v>
      </c>
      <c r="W67" s="146">
        <f t="shared" si="16"/>
        <v>0</v>
      </c>
      <c r="X67" s="146">
        <f t="shared" si="17"/>
        <v>0</v>
      </c>
      <c r="Y67" s="146">
        <f t="shared" si="18"/>
        <v>0</v>
      </c>
      <c r="Z67" s="95" t="e">
        <f t="shared" si="19"/>
        <v>#DIV/0!</v>
      </c>
      <c r="AA67" s="95" t="e">
        <f t="shared" si="19"/>
        <v>#DIV/0!</v>
      </c>
      <c r="AB67" s="95" t="e">
        <f t="shared" si="19"/>
        <v>#DIV/0!</v>
      </c>
      <c r="AC67" s="95" t="e">
        <f t="shared" si="19"/>
        <v>#DIV/0!</v>
      </c>
    </row>
    <row r="68" spans="1:29" s="96" customFormat="1">
      <c r="A68" s="92">
        <v>22</v>
      </c>
      <c r="B68" s="143"/>
      <c r="C68" s="92"/>
      <c r="D68" s="92"/>
      <c r="E68" s="92"/>
      <c r="F68" s="92"/>
      <c r="G68" s="148"/>
      <c r="H68" s="148"/>
      <c r="I68" s="144"/>
      <c r="J68" s="144"/>
      <c r="K68" s="144"/>
      <c r="L68" s="144"/>
      <c r="M68" s="144"/>
      <c r="N68" s="92"/>
      <c r="O68" s="144"/>
      <c r="P68" s="144"/>
      <c r="Q68" s="206"/>
      <c r="R68" s="145"/>
      <c r="S68" s="146"/>
      <c r="T68" s="146"/>
      <c r="U68" s="146">
        <f t="shared" si="14"/>
        <v>0</v>
      </c>
      <c r="V68" s="145">
        <f t="shared" si="15"/>
        <v>0</v>
      </c>
      <c r="W68" s="146">
        <f t="shared" si="16"/>
        <v>0</v>
      </c>
      <c r="X68" s="146">
        <f t="shared" si="17"/>
        <v>0</v>
      </c>
      <c r="Y68" s="146">
        <f t="shared" si="18"/>
        <v>0</v>
      </c>
      <c r="Z68" s="95" t="e">
        <f t="shared" si="19"/>
        <v>#DIV/0!</v>
      </c>
      <c r="AA68" s="95" t="e">
        <f t="shared" si="19"/>
        <v>#DIV/0!</v>
      </c>
      <c r="AB68" s="95" t="e">
        <f t="shared" si="19"/>
        <v>#DIV/0!</v>
      </c>
      <c r="AC68" s="95" t="e">
        <f t="shared" si="19"/>
        <v>#DIV/0!</v>
      </c>
    </row>
    <row r="69" spans="1:29" s="96" customFormat="1">
      <c r="A69" s="92">
        <v>23</v>
      </c>
      <c r="B69" s="143"/>
      <c r="C69" s="92"/>
      <c r="D69" s="92"/>
      <c r="E69" s="92"/>
      <c r="F69" s="92"/>
      <c r="G69" s="148"/>
      <c r="H69" s="148"/>
      <c r="I69" s="144"/>
      <c r="J69" s="144"/>
      <c r="K69" s="144"/>
      <c r="L69" s="144"/>
      <c r="M69" s="144"/>
      <c r="N69" s="92"/>
      <c r="O69" s="144"/>
      <c r="P69" s="144"/>
      <c r="Q69" s="206"/>
      <c r="R69" s="145"/>
      <c r="S69" s="146"/>
      <c r="T69" s="146"/>
      <c r="U69" s="146">
        <f t="shared" si="14"/>
        <v>0</v>
      </c>
      <c r="V69" s="145">
        <f t="shared" si="15"/>
        <v>0</v>
      </c>
      <c r="W69" s="146">
        <f t="shared" si="16"/>
        <v>0</v>
      </c>
      <c r="X69" s="146">
        <f t="shared" si="17"/>
        <v>0</v>
      </c>
      <c r="Y69" s="146">
        <f t="shared" si="18"/>
        <v>0</v>
      </c>
      <c r="Z69" s="95" t="e">
        <f t="shared" si="19"/>
        <v>#DIV/0!</v>
      </c>
      <c r="AA69" s="95" t="e">
        <f t="shared" si="19"/>
        <v>#DIV/0!</v>
      </c>
      <c r="AB69" s="95" t="e">
        <f t="shared" si="19"/>
        <v>#DIV/0!</v>
      </c>
      <c r="AC69" s="95" t="e">
        <f t="shared" si="19"/>
        <v>#DIV/0!</v>
      </c>
    </row>
    <row r="70" spans="1:29" s="96" customFormat="1">
      <c r="A70" s="92">
        <v>24</v>
      </c>
      <c r="B70" s="143"/>
      <c r="C70" s="92"/>
      <c r="D70" s="92"/>
      <c r="E70" s="92"/>
      <c r="F70" s="92"/>
      <c r="G70" s="148"/>
      <c r="H70" s="148"/>
      <c r="I70" s="144"/>
      <c r="J70" s="144"/>
      <c r="K70" s="144"/>
      <c r="L70" s="144"/>
      <c r="M70" s="144"/>
      <c r="N70" s="92"/>
      <c r="O70" s="144"/>
      <c r="P70" s="144"/>
      <c r="Q70" s="206"/>
      <c r="R70" s="145"/>
      <c r="S70" s="146"/>
      <c r="T70" s="146"/>
      <c r="U70" s="146">
        <f t="shared" si="14"/>
        <v>0</v>
      </c>
      <c r="V70" s="145">
        <f t="shared" si="15"/>
        <v>0</v>
      </c>
      <c r="W70" s="146">
        <f t="shared" si="16"/>
        <v>0</v>
      </c>
      <c r="X70" s="146">
        <f t="shared" si="17"/>
        <v>0</v>
      </c>
      <c r="Y70" s="146">
        <f t="shared" si="18"/>
        <v>0</v>
      </c>
      <c r="Z70" s="95" t="e">
        <f t="shared" si="19"/>
        <v>#DIV/0!</v>
      </c>
      <c r="AA70" s="95" t="e">
        <f t="shared" si="19"/>
        <v>#DIV/0!</v>
      </c>
      <c r="AB70" s="95" t="e">
        <f t="shared" si="19"/>
        <v>#DIV/0!</v>
      </c>
      <c r="AC70" s="95" t="e">
        <f t="shared" si="19"/>
        <v>#DIV/0!</v>
      </c>
    </row>
    <row r="71" spans="1:29" s="96" customFormat="1">
      <c r="A71" s="92">
        <v>25</v>
      </c>
      <c r="B71" s="143"/>
      <c r="C71" s="130"/>
      <c r="D71" s="130"/>
      <c r="E71" s="130"/>
      <c r="F71" s="130"/>
      <c r="G71" s="148"/>
      <c r="H71" s="148"/>
      <c r="I71" s="148"/>
      <c r="J71" s="148"/>
      <c r="K71" s="148"/>
      <c r="L71" s="148"/>
      <c r="M71" s="148"/>
      <c r="N71" s="154"/>
      <c r="O71" s="148"/>
      <c r="P71" s="148"/>
      <c r="Q71" s="136"/>
      <c r="R71" s="145"/>
      <c r="S71" s="146"/>
      <c r="T71" s="146"/>
      <c r="U71" s="146">
        <f t="shared" si="14"/>
        <v>0</v>
      </c>
      <c r="V71" s="145">
        <f t="shared" si="15"/>
        <v>0</v>
      </c>
      <c r="W71" s="146">
        <f t="shared" si="16"/>
        <v>0</v>
      </c>
      <c r="X71" s="146">
        <f t="shared" si="17"/>
        <v>0</v>
      </c>
      <c r="Y71" s="146">
        <f t="shared" si="18"/>
        <v>0</v>
      </c>
      <c r="Z71" s="95" t="e">
        <f t="shared" si="19"/>
        <v>#DIV/0!</v>
      </c>
      <c r="AA71" s="95" t="e">
        <f t="shared" si="19"/>
        <v>#DIV/0!</v>
      </c>
      <c r="AB71" s="95" t="e">
        <f t="shared" si="19"/>
        <v>#DIV/0!</v>
      </c>
      <c r="AC71" s="95" t="e">
        <f t="shared" si="19"/>
        <v>#DIV/0!</v>
      </c>
    </row>
    <row r="72" spans="1:29" s="96" customFormat="1">
      <c r="A72" s="92">
        <v>26</v>
      </c>
      <c r="B72" s="143"/>
      <c r="C72" s="130"/>
      <c r="D72" s="130"/>
      <c r="E72" s="130"/>
      <c r="F72" s="130"/>
      <c r="G72" s="148"/>
      <c r="H72" s="148"/>
      <c r="I72" s="148"/>
      <c r="J72" s="148"/>
      <c r="K72" s="148"/>
      <c r="L72" s="148"/>
      <c r="M72" s="148"/>
      <c r="N72" s="154"/>
      <c r="O72" s="148"/>
      <c r="P72" s="148"/>
      <c r="Q72" s="136"/>
      <c r="R72" s="145"/>
      <c r="S72" s="146"/>
      <c r="T72" s="146"/>
      <c r="U72" s="146"/>
      <c r="V72" s="145"/>
      <c r="W72" s="146"/>
      <c r="X72" s="146"/>
      <c r="Y72" s="146"/>
      <c r="Z72" s="95"/>
      <c r="AA72" s="95"/>
      <c r="AB72" s="95"/>
      <c r="AC72" s="95"/>
    </row>
    <row r="73" spans="1:29" s="96" customFormat="1">
      <c r="A73" s="92">
        <v>27</v>
      </c>
      <c r="B73" s="143"/>
      <c r="C73" s="130"/>
      <c r="D73" s="130"/>
      <c r="E73" s="130"/>
      <c r="F73" s="130"/>
      <c r="G73" s="148"/>
      <c r="H73" s="148"/>
      <c r="I73" s="148"/>
      <c r="J73" s="148"/>
      <c r="K73" s="148"/>
      <c r="L73" s="148"/>
      <c r="M73" s="148"/>
      <c r="N73" s="154"/>
      <c r="O73" s="148"/>
      <c r="P73" s="148"/>
      <c r="Q73" s="136"/>
      <c r="R73" s="145"/>
      <c r="S73" s="146"/>
      <c r="T73" s="146"/>
      <c r="U73" s="146"/>
      <c r="V73" s="145"/>
      <c r="W73" s="146"/>
      <c r="X73" s="146"/>
      <c r="Y73" s="146"/>
      <c r="Z73" s="95"/>
      <c r="AA73" s="95"/>
      <c r="AB73" s="95"/>
      <c r="AC73" s="95"/>
    </row>
    <row r="74" spans="1:29" s="96" customFormat="1">
      <c r="A74" s="92">
        <v>28</v>
      </c>
      <c r="B74" s="143"/>
      <c r="C74" s="130"/>
      <c r="D74" s="130"/>
      <c r="E74" s="130"/>
      <c r="F74" s="130"/>
      <c r="G74" s="148"/>
      <c r="H74" s="148"/>
      <c r="I74" s="148"/>
      <c r="J74" s="148"/>
      <c r="K74" s="148"/>
      <c r="L74" s="148"/>
      <c r="M74" s="148"/>
      <c r="N74" s="154"/>
      <c r="O74" s="148"/>
      <c r="P74" s="148"/>
      <c r="Q74" s="136"/>
      <c r="R74" s="145"/>
      <c r="S74" s="146"/>
      <c r="T74" s="146"/>
      <c r="U74" s="146"/>
      <c r="V74" s="145"/>
      <c r="W74" s="146"/>
      <c r="X74" s="146"/>
      <c r="Y74" s="146"/>
      <c r="Z74" s="95"/>
      <c r="AA74" s="95"/>
      <c r="AB74" s="95"/>
      <c r="AC74" s="95"/>
    </row>
    <row r="75" spans="1:29" s="96" customFormat="1">
      <c r="A75" s="92">
        <v>29</v>
      </c>
      <c r="B75" s="143"/>
      <c r="C75" s="92"/>
      <c r="D75" s="92"/>
      <c r="E75" s="92"/>
      <c r="F75" s="92"/>
      <c r="G75" s="148"/>
      <c r="H75" s="148"/>
      <c r="I75" s="144"/>
      <c r="J75" s="144"/>
      <c r="K75" s="144"/>
      <c r="L75" s="144"/>
      <c r="M75" s="144"/>
      <c r="N75" s="92"/>
      <c r="O75" s="144"/>
      <c r="P75" s="144"/>
      <c r="Q75" s="206"/>
      <c r="R75" s="145"/>
      <c r="S75" s="146"/>
      <c r="T75" s="146"/>
      <c r="U75" s="146">
        <f t="shared" si="14"/>
        <v>0</v>
      </c>
      <c r="V75" s="145">
        <f t="shared" si="15"/>
        <v>0</v>
      </c>
      <c r="W75" s="146">
        <f t="shared" si="16"/>
        <v>0</v>
      </c>
      <c r="X75" s="146">
        <f t="shared" si="17"/>
        <v>0</v>
      </c>
      <c r="Y75" s="146">
        <f t="shared" si="18"/>
        <v>0</v>
      </c>
      <c r="Z75" s="95" t="e">
        <f t="shared" si="19"/>
        <v>#DIV/0!</v>
      </c>
      <c r="AA75" s="95" t="e">
        <f t="shared" si="19"/>
        <v>#DIV/0!</v>
      </c>
      <c r="AB75" s="95" t="e">
        <f t="shared" si="19"/>
        <v>#DIV/0!</v>
      </c>
      <c r="AC75" s="95" t="e">
        <f t="shared" si="19"/>
        <v>#DIV/0!</v>
      </c>
    </row>
    <row r="76" spans="1:29" s="96" customFormat="1">
      <c r="A76" s="276" t="s">
        <v>24</v>
      </c>
      <c r="B76" s="708" t="s">
        <v>1822</v>
      </c>
      <c r="C76" s="92"/>
      <c r="D76" s="92"/>
      <c r="E76" s="92"/>
      <c r="F76" s="92"/>
      <c r="G76" s="149"/>
      <c r="H76" s="149"/>
      <c r="I76" s="144"/>
      <c r="J76" s="150"/>
      <c r="K76" s="144"/>
      <c r="L76" s="150"/>
      <c r="M76" s="144"/>
      <c r="N76" s="129"/>
      <c r="O76" s="144"/>
      <c r="P76" s="150"/>
      <c r="Q76" s="206"/>
      <c r="R76" s="145"/>
      <c r="S76" s="146"/>
      <c r="T76" s="146"/>
      <c r="U76" s="146">
        <f t="shared" si="14"/>
        <v>0</v>
      </c>
      <c r="V76" s="145">
        <f t="shared" si="15"/>
        <v>0</v>
      </c>
      <c r="W76" s="146">
        <f t="shared" si="16"/>
        <v>0</v>
      </c>
      <c r="X76" s="146">
        <f t="shared" si="17"/>
        <v>0</v>
      </c>
      <c r="Y76" s="146">
        <f t="shared" si="18"/>
        <v>0</v>
      </c>
      <c r="Z76" s="95" t="e">
        <f t="shared" si="19"/>
        <v>#DIV/0!</v>
      </c>
      <c r="AA76" s="95" t="e">
        <f t="shared" si="19"/>
        <v>#DIV/0!</v>
      </c>
      <c r="AB76" s="95" t="e">
        <f t="shared" si="19"/>
        <v>#DIV/0!</v>
      </c>
      <c r="AC76" s="95" t="e">
        <f t="shared" si="19"/>
        <v>#DIV/0!</v>
      </c>
    </row>
    <row r="77" spans="1:29" s="96" customFormat="1">
      <c r="A77" s="92">
        <v>1</v>
      </c>
      <c r="B77" s="143" t="s">
        <v>1823</v>
      </c>
      <c r="C77" s="92">
        <v>1</v>
      </c>
      <c r="D77" s="92">
        <v>1</v>
      </c>
      <c r="E77" s="92">
        <v>1</v>
      </c>
      <c r="F77" s="92">
        <v>1</v>
      </c>
      <c r="G77" s="93">
        <v>1.5</v>
      </c>
      <c r="H77" s="93">
        <v>1.5</v>
      </c>
      <c r="I77" s="144" t="s">
        <v>1837</v>
      </c>
      <c r="J77" s="150" t="s">
        <v>1863</v>
      </c>
      <c r="K77" s="144" t="s">
        <v>1845</v>
      </c>
      <c r="L77" s="150" t="s">
        <v>1864</v>
      </c>
      <c r="M77" s="144" t="s">
        <v>1851</v>
      </c>
      <c r="N77" s="129" t="s">
        <v>1865</v>
      </c>
      <c r="O77" s="144" t="s">
        <v>1856</v>
      </c>
      <c r="P77" s="150" t="s">
        <v>1866</v>
      </c>
      <c r="Q77" s="206"/>
      <c r="R77" s="145"/>
      <c r="S77" s="146"/>
      <c r="T77" s="146"/>
      <c r="U77" s="146"/>
      <c r="V77" s="145"/>
      <c r="W77" s="146"/>
      <c r="X77" s="146"/>
      <c r="Y77" s="146"/>
      <c r="Z77" s="95"/>
      <c r="AA77" s="95"/>
      <c r="AB77" s="95"/>
      <c r="AC77" s="95"/>
    </row>
    <row r="78" spans="1:29" s="96" customFormat="1">
      <c r="A78" s="92">
        <f>A77+1</f>
        <v>2</v>
      </c>
      <c r="B78" s="143" t="s">
        <v>1824</v>
      </c>
      <c r="C78" s="92">
        <v>1</v>
      </c>
      <c r="D78" s="92">
        <v>1</v>
      </c>
      <c r="E78" s="92">
        <v>1</v>
      </c>
      <c r="F78" s="92">
        <v>1</v>
      </c>
      <c r="G78" s="93">
        <v>1.5</v>
      </c>
      <c r="H78" s="93">
        <v>1.5</v>
      </c>
      <c r="I78" s="144" t="s">
        <v>1837</v>
      </c>
      <c r="J78" s="150" t="s">
        <v>1863</v>
      </c>
      <c r="K78" s="144" t="s">
        <v>1846</v>
      </c>
      <c r="L78" s="150" t="s">
        <v>1864</v>
      </c>
      <c r="M78" s="144" t="s">
        <v>1851</v>
      </c>
      <c r="N78" s="129" t="s">
        <v>1865</v>
      </c>
      <c r="O78" s="144" t="s">
        <v>1856</v>
      </c>
      <c r="P78" s="150" t="s">
        <v>1866</v>
      </c>
      <c r="Q78" s="206"/>
      <c r="R78" s="145"/>
      <c r="S78" s="146"/>
      <c r="T78" s="146"/>
      <c r="U78" s="146"/>
      <c r="V78" s="145"/>
      <c r="W78" s="146"/>
      <c r="X78" s="146"/>
      <c r="Y78" s="146"/>
      <c r="Z78" s="95"/>
      <c r="AA78" s="95"/>
      <c r="AB78" s="95"/>
      <c r="AC78" s="95"/>
    </row>
    <row r="79" spans="1:29" s="96" customFormat="1">
      <c r="A79" s="92">
        <f t="shared" ref="A79:A96" si="20">A78+1</f>
        <v>3</v>
      </c>
      <c r="B79" s="143" t="s">
        <v>1825</v>
      </c>
      <c r="C79" s="92">
        <v>1</v>
      </c>
      <c r="D79" s="92">
        <v>1</v>
      </c>
      <c r="E79" s="92">
        <v>1</v>
      </c>
      <c r="F79" s="92">
        <v>1</v>
      </c>
      <c r="G79" s="93">
        <v>2.2000000000000002</v>
      </c>
      <c r="H79" s="93">
        <v>2.2000000000000002</v>
      </c>
      <c r="I79" s="144" t="s">
        <v>1838</v>
      </c>
      <c r="J79" s="150" t="s">
        <v>1863</v>
      </c>
      <c r="K79" s="144" t="s">
        <v>1846</v>
      </c>
      <c r="L79" s="150" t="s">
        <v>1864</v>
      </c>
      <c r="M79" s="144" t="s">
        <v>1851</v>
      </c>
      <c r="N79" s="129" t="s">
        <v>1865</v>
      </c>
      <c r="O79" s="144" t="s">
        <v>1856</v>
      </c>
      <c r="P79" s="150" t="s">
        <v>1866</v>
      </c>
      <c r="Q79" s="206"/>
      <c r="R79" s="145"/>
      <c r="S79" s="146"/>
      <c r="T79" s="146"/>
      <c r="U79" s="146" t="e">
        <f t="shared" si="14"/>
        <v>#VALUE!</v>
      </c>
      <c r="V79" s="145" t="e">
        <f t="shared" si="15"/>
        <v>#VALUE!</v>
      </c>
      <c r="W79" s="146" t="e">
        <f t="shared" si="16"/>
        <v>#VALUE!</v>
      </c>
      <c r="X79" s="146" t="e">
        <f t="shared" si="17"/>
        <v>#VALUE!</v>
      </c>
      <c r="Y79" s="146" t="e">
        <f t="shared" si="18"/>
        <v>#VALUE!</v>
      </c>
      <c r="Z79" s="95" t="e">
        <f t="shared" si="19"/>
        <v>#VALUE!</v>
      </c>
      <c r="AA79" s="95" t="e">
        <f t="shared" si="19"/>
        <v>#VALUE!</v>
      </c>
      <c r="AB79" s="95" t="e">
        <f t="shared" si="19"/>
        <v>#VALUE!</v>
      </c>
      <c r="AC79" s="95" t="e">
        <f t="shared" si="19"/>
        <v>#VALUE!</v>
      </c>
    </row>
    <row r="80" spans="1:29" s="96" customFormat="1">
      <c r="A80" s="92">
        <f t="shared" si="20"/>
        <v>4</v>
      </c>
      <c r="B80" s="126" t="s">
        <v>1826</v>
      </c>
      <c r="C80" s="92">
        <v>1</v>
      </c>
      <c r="D80" s="92">
        <v>1</v>
      </c>
      <c r="E80" s="92">
        <v>1</v>
      </c>
      <c r="F80" s="92">
        <v>1</v>
      </c>
      <c r="G80" s="93">
        <v>2.2000000000000002</v>
      </c>
      <c r="H80" s="93">
        <v>2.2000000000000002</v>
      </c>
      <c r="I80" s="144" t="s">
        <v>1838</v>
      </c>
      <c r="J80" s="150" t="s">
        <v>1863</v>
      </c>
      <c r="K80" s="144" t="s">
        <v>1846</v>
      </c>
      <c r="L80" s="150" t="s">
        <v>1864</v>
      </c>
      <c r="M80" s="144" t="s">
        <v>1851</v>
      </c>
      <c r="N80" s="129" t="s">
        <v>1865</v>
      </c>
      <c r="O80" s="144" t="s">
        <v>1856</v>
      </c>
      <c r="P80" s="150" t="s">
        <v>1866</v>
      </c>
      <c r="Q80" s="206"/>
      <c r="R80" s="145"/>
      <c r="S80" s="146"/>
      <c r="T80" s="146"/>
      <c r="U80" s="146" t="e">
        <f t="shared" si="14"/>
        <v>#VALUE!</v>
      </c>
      <c r="V80" s="145" t="e">
        <f t="shared" si="15"/>
        <v>#VALUE!</v>
      </c>
      <c r="W80" s="146" t="e">
        <f t="shared" si="16"/>
        <v>#VALUE!</v>
      </c>
      <c r="X80" s="146" t="e">
        <f t="shared" si="17"/>
        <v>#VALUE!</v>
      </c>
      <c r="Y80" s="146" t="e">
        <f t="shared" si="18"/>
        <v>#VALUE!</v>
      </c>
      <c r="Z80" s="95" t="e">
        <f t="shared" si="19"/>
        <v>#VALUE!</v>
      </c>
      <c r="AA80" s="95" t="e">
        <f t="shared" si="19"/>
        <v>#VALUE!</v>
      </c>
      <c r="AB80" s="95" t="e">
        <f t="shared" si="19"/>
        <v>#VALUE!</v>
      </c>
      <c r="AC80" s="95" t="e">
        <f t="shared" si="19"/>
        <v>#VALUE!</v>
      </c>
    </row>
    <row r="81" spans="1:29" s="96" customFormat="1">
      <c r="A81" s="92">
        <f t="shared" si="20"/>
        <v>5</v>
      </c>
      <c r="B81" s="143" t="s">
        <v>1827</v>
      </c>
      <c r="C81" s="92">
        <v>1</v>
      </c>
      <c r="D81" s="92">
        <v>1</v>
      </c>
      <c r="E81" s="92">
        <v>1</v>
      </c>
      <c r="F81" s="92">
        <v>1</v>
      </c>
      <c r="G81" s="93">
        <v>1.5</v>
      </c>
      <c r="H81" s="93">
        <v>1.5</v>
      </c>
      <c r="I81" s="144" t="s">
        <v>1839</v>
      </c>
      <c r="J81" s="150" t="s">
        <v>1863</v>
      </c>
      <c r="K81" s="144" t="s">
        <v>1846</v>
      </c>
      <c r="L81" s="150" t="s">
        <v>1864</v>
      </c>
      <c r="M81" s="144" t="s">
        <v>1851</v>
      </c>
      <c r="N81" s="129" t="s">
        <v>1865</v>
      </c>
      <c r="O81" s="144" t="s">
        <v>1856</v>
      </c>
      <c r="P81" s="150" t="s">
        <v>1866</v>
      </c>
      <c r="Q81" s="206"/>
      <c r="R81" s="145"/>
      <c r="S81" s="146"/>
      <c r="T81" s="146"/>
      <c r="U81" s="146" t="e">
        <f t="shared" si="14"/>
        <v>#VALUE!</v>
      </c>
      <c r="V81" s="145" t="e">
        <f t="shared" si="15"/>
        <v>#VALUE!</v>
      </c>
      <c r="W81" s="146" t="e">
        <f t="shared" si="16"/>
        <v>#VALUE!</v>
      </c>
      <c r="X81" s="146" t="e">
        <f t="shared" si="17"/>
        <v>#VALUE!</v>
      </c>
      <c r="Y81" s="146" t="e">
        <f t="shared" si="18"/>
        <v>#VALUE!</v>
      </c>
      <c r="Z81" s="95" t="e">
        <f t="shared" si="19"/>
        <v>#VALUE!</v>
      </c>
      <c r="AA81" s="95" t="e">
        <f t="shared" si="19"/>
        <v>#VALUE!</v>
      </c>
      <c r="AB81" s="95" t="e">
        <f t="shared" si="19"/>
        <v>#VALUE!</v>
      </c>
      <c r="AC81" s="95" t="e">
        <f t="shared" si="19"/>
        <v>#VALUE!</v>
      </c>
    </row>
    <row r="82" spans="1:29" s="96" customFormat="1">
      <c r="A82" s="92">
        <f t="shared" si="20"/>
        <v>6</v>
      </c>
      <c r="B82" s="143" t="s">
        <v>1833</v>
      </c>
      <c r="C82" s="92">
        <v>1</v>
      </c>
      <c r="D82" s="92">
        <v>1</v>
      </c>
      <c r="E82" s="92">
        <v>1</v>
      </c>
      <c r="F82" s="92">
        <v>1</v>
      </c>
      <c r="G82" s="93">
        <v>2.2000000000000002</v>
      </c>
      <c r="H82" s="93">
        <v>2.2000000000000002</v>
      </c>
      <c r="I82" s="144" t="s">
        <v>1840</v>
      </c>
      <c r="J82" s="150" t="s">
        <v>1863</v>
      </c>
      <c r="K82" s="144" t="s">
        <v>1847</v>
      </c>
      <c r="L82" s="150" t="s">
        <v>1864</v>
      </c>
      <c r="M82" s="144" t="s">
        <v>1852</v>
      </c>
      <c r="N82" s="129" t="s">
        <v>1865</v>
      </c>
      <c r="O82" s="144" t="s">
        <v>1857</v>
      </c>
      <c r="P82" s="150" t="s">
        <v>1866</v>
      </c>
      <c r="Q82" s="206"/>
      <c r="R82" s="145"/>
      <c r="S82" s="146"/>
      <c r="T82" s="146"/>
      <c r="U82" s="146"/>
      <c r="V82" s="145"/>
      <c r="W82" s="146"/>
      <c r="X82" s="146"/>
      <c r="Y82" s="146"/>
      <c r="Z82" s="95"/>
      <c r="AA82" s="95"/>
      <c r="AB82" s="95"/>
      <c r="AC82" s="95"/>
    </row>
    <row r="83" spans="1:29" s="96" customFormat="1">
      <c r="A83" s="92">
        <f t="shared" si="20"/>
        <v>7</v>
      </c>
      <c r="B83" s="143" t="s">
        <v>1832</v>
      </c>
      <c r="C83" s="92">
        <v>1</v>
      </c>
      <c r="D83" s="92">
        <v>1</v>
      </c>
      <c r="E83" s="92">
        <v>1</v>
      </c>
      <c r="F83" s="92">
        <v>1</v>
      </c>
      <c r="G83" s="93">
        <v>1.1000000000000001</v>
      </c>
      <c r="H83" s="93">
        <v>1.1000000000000001</v>
      </c>
      <c r="I83" s="144" t="s">
        <v>1841</v>
      </c>
      <c r="J83" s="150" t="s">
        <v>1863</v>
      </c>
      <c r="K83" s="144" t="s">
        <v>1848</v>
      </c>
      <c r="L83" s="150" t="s">
        <v>1864</v>
      </c>
      <c r="M83" s="144" t="s">
        <v>1853</v>
      </c>
      <c r="N83" s="129" t="s">
        <v>1865</v>
      </c>
      <c r="O83" s="144" t="s">
        <v>1858</v>
      </c>
      <c r="P83" s="150" t="s">
        <v>1866</v>
      </c>
      <c r="Q83" s="206"/>
      <c r="R83" s="145"/>
      <c r="S83" s="146"/>
      <c r="T83" s="146"/>
      <c r="U83" s="146" t="e">
        <f>F83*G83*O83*Q83</f>
        <v>#VALUE!</v>
      </c>
      <c r="V83" s="145" t="e">
        <f t="shared" ref="V83:V94" si="21">C83*H83*I83*Q83</f>
        <v>#VALUE!</v>
      </c>
      <c r="W83" s="146" t="e">
        <f>D83*H83*K83*Q83</f>
        <v>#VALUE!</v>
      </c>
      <c r="X83" s="146" t="e">
        <f>E83*H83*M83*Q83</f>
        <v>#VALUE!</v>
      </c>
      <c r="Y83" s="146" t="e">
        <f>F83*H83*O83*Q83</f>
        <v>#VALUE!</v>
      </c>
      <c r="Z83" s="95" t="e">
        <f t="shared" ref="Z83:Z89" si="22">V83/R83</f>
        <v>#VALUE!</v>
      </c>
      <c r="AA83" s="95" t="e">
        <f t="shared" ref="AA83:AA85" si="23">W83/S83</f>
        <v>#VALUE!</v>
      </c>
      <c r="AB83" s="95" t="e">
        <f t="shared" ref="AB83:AB85" si="24">X83/T83</f>
        <v>#VALUE!</v>
      </c>
      <c r="AC83" s="95" t="e">
        <f t="shared" ref="AC83:AC85" si="25">Y83/U83</f>
        <v>#VALUE!</v>
      </c>
    </row>
    <row r="84" spans="1:29" s="96" customFormat="1">
      <c r="A84" s="92">
        <f t="shared" si="20"/>
        <v>8</v>
      </c>
      <c r="B84" s="143" t="s">
        <v>1831</v>
      </c>
      <c r="C84" s="92">
        <v>1</v>
      </c>
      <c r="D84" s="92">
        <v>1</v>
      </c>
      <c r="E84" s="92">
        <v>1</v>
      </c>
      <c r="F84" s="92">
        <v>1</v>
      </c>
      <c r="G84" s="93">
        <v>0.55000000000000004</v>
      </c>
      <c r="H84" s="93">
        <v>0.55000000000000004</v>
      </c>
      <c r="I84" s="144" t="s">
        <v>1842</v>
      </c>
      <c r="J84" s="150" t="s">
        <v>1863</v>
      </c>
      <c r="K84" s="144" t="s">
        <v>1849</v>
      </c>
      <c r="L84" s="150" t="s">
        <v>1864</v>
      </c>
      <c r="M84" s="144" t="s">
        <v>1854</v>
      </c>
      <c r="N84" s="129" t="s">
        <v>1865</v>
      </c>
      <c r="O84" s="144" t="s">
        <v>1859</v>
      </c>
      <c r="P84" s="150" t="s">
        <v>1866</v>
      </c>
      <c r="Q84" s="206"/>
      <c r="R84" s="145"/>
      <c r="S84" s="146"/>
      <c r="T84" s="146"/>
      <c r="U84" s="146" t="e">
        <f>F84*G84*O84*Q84</f>
        <v>#VALUE!</v>
      </c>
      <c r="V84" s="145" t="e">
        <f t="shared" si="21"/>
        <v>#VALUE!</v>
      </c>
      <c r="W84" s="146" t="e">
        <f>D84*H84*K84*Q84</f>
        <v>#VALUE!</v>
      </c>
      <c r="X84" s="146" t="e">
        <f>E84*H84*M84*Q84</f>
        <v>#VALUE!</v>
      </c>
      <c r="Y84" s="146" t="e">
        <f>F84*H84*O84*Q84</f>
        <v>#VALUE!</v>
      </c>
      <c r="Z84" s="95" t="e">
        <f t="shared" si="22"/>
        <v>#VALUE!</v>
      </c>
      <c r="AA84" s="95" t="e">
        <f t="shared" si="23"/>
        <v>#VALUE!</v>
      </c>
      <c r="AB84" s="95" t="e">
        <f t="shared" si="24"/>
        <v>#VALUE!</v>
      </c>
      <c r="AC84" s="95" t="e">
        <f t="shared" si="25"/>
        <v>#VALUE!</v>
      </c>
    </row>
    <row r="85" spans="1:29" s="96" customFormat="1">
      <c r="A85" s="92">
        <f t="shared" si="20"/>
        <v>9</v>
      </c>
      <c r="B85" s="143" t="s">
        <v>1836</v>
      </c>
      <c r="C85" s="92">
        <v>1</v>
      </c>
      <c r="D85" s="92">
        <v>1</v>
      </c>
      <c r="E85" s="92">
        <v>1</v>
      </c>
      <c r="F85" s="92">
        <v>1</v>
      </c>
      <c r="G85" s="93">
        <v>1.1000000000000001</v>
      </c>
      <c r="H85" s="93">
        <v>1.1000000000000001</v>
      </c>
      <c r="I85" s="144" t="s">
        <v>1842</v>
      </c>
      <c r="J85" s="150" t="s">
        <v>1863</v>
      </c>
      <c r="K85" s="144" t="s">
        <v>1849</v>
      </c>
      <c r="L85" s="150" t="s">
        <v>1864</v>
      </c>
      <c r="M85" s="144" t="s">
        <v>1854</v>
      </c>
      <c r="N85" s="129" t="s">
        <v>1865</v>
      </c>
      <c r="O85" s="144" t="s">
        <v>1859</v>
      </c>
      <c r="P85" s="150" t="s">
        <v>1866</v>
      </c>
      <c r="Q85" s="206"/>
      <c r="R85" s="145"/>
      <c r="S85" s="146"/>
      <c r="T85" s="146"/>
      <c r="U85" s="146" t="e">
        <f>F85*G85*O85*Q85</f>
        <v>#VALUE!</v>
      </c>
      <c r="V85" s="145" t="e">
        <f t="shared" si="21"/>
        <v>#VALUE!</v>
      </c>
      <c r="W85" s="146" t="e">
        <f>D85*H85*K85*Q85</f>
        <v>#VALUE!</v>
      </c>
      <c r="X85" s="146" t="e">
        <f>E85*H85*M85*Q85</f>
        <v>#VALUE!</v>
      </c>
      <c r="Y85" s="146" t="e">
        <f>F85*H85*O85*Q85</f>
        <v>#VALUE!</v>
      </c>
      <c r="Z85" s="95" t="e">
        <f t="shared" si="22"/>
        <v>#VALUE!</v>
      </c>
      <c r="AA85" s="95" t="e">
        <f t="shared" si="23"/>
        <v>#VALUE!</v>
      </c>
      <c r="AB85" s="95" t="e">
        <f t="shared" si="24"/>
        <v>#VALUE!</v>
      </c>
      <c r="AC85" s="95" t="e">
        <f t="shared" si="25"/>
        <v>#VALUE!</v>
      </c>
    </row>
    <row r="86" spans="1:29" s="96" customFormat="1">
      <c r="A86" s="92">
        <f t="shared" si="20"/>
        <v>10</v>
      </c>
      <c r="B86" s="143" t="s">
        <v>1835</v>
      </c>
      <c r="C86" s="92">
        <v>1</v>
      </c>
      <c r="D86" s="92">
        <v>1</v>
      </c>
      <c r="E86" s="92">
        <v>1</v>
      </c>
      <c r="F86" s="92">
        <v>1</v>
      </c>
      <c r="G86" s="148">
        <v>0.75</v>
      </c>
      <c r="H86" s="148">
        <v>0.75</v>
      </c>
      <c r="I86" s="144" t="s">
        <v>1842</v>
      </c>
      <c r="J86" s="150" t="s">
        <v>1863</v>
      </c>
      <c r="K86" s="144" t="s">
        <v>1849</v>
      </c>
      <c r="L86" s="150" t="s">
        <v>1864</v>
      </c>
      <c r="M86" s="144" t="s">
        <v>1854</v>
      </c>
      <c r="N86" s="129" t="s">
        <v>1865</v>
      </c>
      <c r="O86" s="144" t="s">
        <v>1859</v>
      </c>
      <c r="P86" s="150" t="s">
        <v>1866</v>
      </c>
      <c r="Q86" s="206"/>
      <c r="R86" s="145"/>
      <c r="S86" s="146"/>
      <c r="T86" s="146"/>
      <c r="U86" s="146"/>
      <c r="V86" s="145" t="e">
        <f t="shared" si="21"/>
        <v>#VALUE!</v>
      </c>
      <c r="W86" s="146"/>
      <c r="X86" s="146"/>
      <c r="Y86" s="146"/>
      <c r="Z86" s="95" t="e">
        <f t="shared" si="22"/>
        <v>#VALUE!</v>
      </c>
      <c r="AA86" s="95"/>
      <c r="AB86" s="95"/>
      <c r="AC86" s="95"/>
    </row>
    <row r="87" spans="1:29" s="96" customFormat="1">
      <c r="A87" s="92">
        <f t="shared" si="20"/>
        <v>11</v>
      </c>
      <c r="B87" s="143" t="s">
        <v>1834</v>
      </c>
      <c r="C87" s="92">
        <v>1</v>
      </c>
      <c r="D87" s="92">
        <v>1</v>
      </c>
      <c r="E87" s="92">
        <v>1</v>
      </c>
      <c r="F87" s="92">
        <v>1</v>
      </c>
      <c r="G87" s="148">
        <v>3</v>
      </c>
      <c r="H87" s="148">
        <v>3</v>
      </c>
      <c r="I87" s="144" t="s">
        <v>1838</v>
      </c>
      <c r="J87" s="150" t="s">
        <v>1863</v>
      </c>
      <c r="K87" s="144" t="s">
        <v>1846</v>
      </c>
      <c r="L87" s="150" t="s">
        <v>1864</v>
      </c>
      <c r="M87" s="144" t="s">
        <v>1851</v>
      </c>
      <c r="N87" s="129" t="s">
        <v>1865</v>
      </c>
      <c r="O87" s="144" t="s">
        <v>1856</v>
      </c>
      <c r="P87" s="150" t="s">
        <v>1866</v>
      </c>
      <c r="Q87" s="206"/>
      <c r="R87" s="145"/>
      <c r="S87" s="146"/>
      <c r="T87" s="146"/>
      <c r="U87" s="146"/>
      <c r="V87" s="145" t="e">
        <f t="shared" si="21"/>
        <v>#VALUE!</v>
      </c>
      <c r="W87" s="146"/>
      <c r="X87" s="146"/>
      <c r="Y87" s="146"/>
      <c r="Z87" s="95" t="e">
        <f t="shared" si="22"/>
        <v>#VALUE!</v>
      </c>
      <c r="AA87" s="95"/>
      <c r="AB87" s="95"/>
      <c r="AC87" s="95"/>
    </row>
    <row r="88" spans="1:29" s="96" customFormat="1">
      <c r="A88" s="92">
        <f t="shared" si="20"/>
        <v>12</v>
      </c>
      <c r="B88" s="143" t="s">
        <v>1830</v>
      </c>
      <c r="C88" s="92">
        <v>1</v>
      </c>
      <c r="D88" s="92">
        <v>1</v>
      </c>
      <c r="E88" s="92">
        <v>1</v>
      </c>
      <c r="F88" s="92">
        <v>1</v>
      </c>
      <c r="G88" s="148">
        <v>2.2000000000000002</v>
      </c>
      <c r="H88" s="148">
        <v>2.2000000000000002</v>
      </c>
      <c r="I88" s="144" t="s">
        <v>1843</v>
      </c>
      <c r="J88" s="150" t="s">
        <v>1863</v>
      </c>
      <c r="K88" s="709" t="s">
        <v>1557</v>
      </c>
      <c r="L88" s="150" t="s">
        <v>1864</v>
      </c>
      <c r="M88" s="709" t="s">
        <v>1861</v>
      </c>
      <c r="N88" s="129" t="s">
        <v>1865</v>
      </c>
      <c r="O88" s="144" t="s">
        <v>1862</v>
      </c>
      <c r="P88" s="150" t="s">
        <v>1866</v>
      </c>
      <c r="Q88" s="206"/>
      <c r="R88" s="145"/>
      <c r="S88" s="146"/>
      <c r="T88" s="146"/>
      <c r="U88" s="146"/>
      <c r="V88" s="145" t="e">
        <f t="shared" si="21"/>
        <v>#VALUE!</v>
      </c>
      <c r="W88" s="146"/>
      <c r="X88" s="146"/>
      <c r="Y88" s="146"/>
      <c r="Z88" s="95" t="e">
        <f t="shared" si="22"/>
        <v>#VALUE!</v>
      </c>
      <c r="AA88" s="95"/>
      <c r="AB88" s="95"/>
      <c r="AC88" s="95"/>
    </row>
    <row r="89" spans="1:29" s="96" customFormat="1">
      <c r="A89" s="92">
        <f t="shared" si="20"/>
        <v>13</v>
      </c>
      <c r="B89" s="143" t="s">
        <v>1828</v>
      </c>
      <c r="C89" s="92">
        <v>1</v>
      </c>
      <c r="D89" s="92">
        <v>1</v>
      </c>
      <c r="E89" s="92">
        <v>1</v>
      </c>
      <c r="F89" s="92">
        <v>1</v>
      </c>
      <c r="G89" s="148">
        <v>2.2000000000000002</v>
      </c>
      <c r="H89" s="148">
        <v>2.2000000000000002</v>
      </c>
      <c r="I89" s="144" t="s">
        <v>1844</v>
      </c>
      <c r="J89" s="150" t="s">
        <v>1863</v>
      </c>
      <c r="K89" s="709" t="s">
        <v>1850</v>
      </c>
      <c r="L89" s="150" t="s">
        <v>1864</v>
      </c>
      <c r="M89" s="144" t="s">
        <v>1855</v>
      </c>
      <c r="N89" s="129" t="s">
        <v>1865</v>
      </c>
      <c r="O89" s="144" t="s">
        <v>1860</v>
      </c>
      <c r="P89" s="150" t="s">
        <v>1866</v>
      </c>
      <c r="Q89" s="206"/>
      <c r="R89" s="145"/>
      <c r="S89" s="146"/>
      <c r="T89" s="146"/>
      <c r="U89" s="146"/>
      <c r="V89" s="145" t="e">
        <f t="shared" si="21"/>
        <v>#VALUE!</v>
      </c>
      <c r="W89" s="146"/>
      <c r="X89" s="146"/>
      <c r="Y89" s="146"/>
      <c r="Z89" s="95" t="e">
        <f t="shared" si="22"/>
        <v>#VALUE!</v>
      </c>
      <c r="AA89" s="95"/>
      <c r="AB89" s="95"/>
      <c r="AC89" s="95"/>
    </row>
    <row r="90" spans="1:29" s="96" customFormat="1">
      <c r="A90" s="92">
        <f t="shared" si="20"/>
        <v>14</v>
      </c>
      <c r="B90" s="143" t="s">
        <v>1829</v>
      </c>
      <c r="C90" s="92">
        <v>1</v>
      </c>
      <c r="D90" s="92">
        <v>1</v>
      </c>
      <c r="E90" s="92">
        <v>1</v>
      </c>
      <c r="F90" s="92">
        <v>1</v>
      </c>
      <c r="G90" s="93">
        <v>1.5</v>
      </c>
      <c r="H90" s="93">
        <v>1.5</v>
      </c>
      <c r="I90" s="144" t="s">
        <v>1844</v>
      </c>
      <c r="J90" s="150" t="s">
        <v>1863</v>
      </c>
      <c r="K90" s="709" t="s">
        <v>1850</v>
      </c>
      <c r="L90" s="150" t="s">
        <v>1864</v>
      </c>
      <c r="M90" s="144" t="s">
        <v>1855</v>
      </c>
      <c r="N90" s="129" t="s">
        <v>1865</v>
      </c>
      <c r="O90" s="144" t="s">
        <v>1860</v>
      </c>
      <c r="P90" s="150" t="s">
        <v>1866</v>
      </c>
      <c r="Q90" s="206"/>
      <c r="R90" s="145"/>
      <c r="S90" s="146"/>
      <c r="T90" s="146"/>
      <c r="U90" s="146" t="e">
        <f>F90*G90*O90*Q90</f>
        <v>#VALUE!</v>
      </c>
      <c r="V90" s="145" t="e">
        <f t="shared" si="21"/>
        <v>#VALUE!</v>
      </c>
      <c r="W90" s="146">
        <f>D90*H90*K90*Q90</f>
        <v>0</v>
      </c>
      <c r="X90" s="146" t="e">
        <f>E90*H90*M90*Q90</f>
        <v>#VALUE!</v>
      </c>
      <c r="Y90" s="146" t="e">
        <f>F90*H90*O90*Q90</f>
        <v>#VALUE!</v>
      </c>
      <c r="Z90" s="95" t="e">
        <f t="shared" ref="Z90:Z94" si="26">V90/R90</f>
        <v>#VALUE!</v>
      </c>
      <c r="AA90" s="95" t="e">
        <f t="shared" ref="AA90:AA94" si="27">W90/S90</f>
        <v>#DIV/0!</v>
      </c>
      <c r="AB90" s="95" t="e">
        <f t="shared" ref="AB90:AB94" si="28">X90/T90</f>
        <v>#VALUE!</v>
      </c>
      <c r="AC90" s="95" t="e">
        <f t="shared" ref="AC90:AC94" si="29">Y90/U90</f>
        <v>#VALUE!</v>
      </c>
    </row>
    <row r="91" spans="1:29" s="96" customFormat="1">
      <c r="A91" s="92">
        <f t="shared" si="20"/>
        <v>15</v>
      </c>
      <c r="B91" s="143" t="s">
        <v>1904</v>
      </c>
      <c r="C91" s="92">
        <v>2</v>
      </c>
      <c r="D91" s="92">
        <v>2</v>
      </c>
      <c r="E91" s="92">
        <v>2</v>
      </c>
      <c r="F91" s="92">
        <v>2</v>
      </c>
      <c r="G91" s="149">
        <v>3</v>
      </c>
      <c r="H91" s="149">
        <v>3</v>
      </c>
      <c r="I91" s="144" t="s">
        <v>1909</v>
      </c>
      <c r="J91" s="144"/>
      <c r="K91" s="144" t="s">
        <v>1905</v>
      </c>
      <c r="L91" s="144"/>
      <c r="M91" s="144" t="s">
        <v>1906</v>
      </c>
      <c r="N91" s="92"/>
      <c r="O91" s="144" t="s">
        <v>1910</v>
      </c>
      <c r="P91" s="144"/>
      <c r="Q91" s="206"/>
      <c r="R91" s="145"/>
      <c r="S91" s="146"/>
      <c r="T91" s="146"/>
      <c r="U91" s="146" t="e">
        <f>#REF!*#REF!*O91*Q91</f>
        <v>#REF!</v>
      </c>
      <c r="V91" s="145" t="e">
        <f>#REF!*#REF!*I91*Q91</f>
        <v>#REF!</v>
      </c>
      <c r="W91" s="146" t="e">
        <f>#REF!*#REF!*K91*Q91</f>
        <v>#REF!</v>
      </c>
      <c r="X91" s="146" t="e">
        <f>#REF!*#REF!*M91*Q91</f>
        <v>#REF!</v>
      </c>
      <c r="Y91" s="146" t="e">
        <f>#REF!*#REF!*O91*Q91</f>
        <v>#REF!</v>
      </c>
      <c r="Z91" s="95" t="e">
        <f t="shared" si="26"/>
        <v>#REF!</v>
      </c>
      <c r="AA91" s="95" t="e">
        <f t="shared" si="27"/>
        <v>#REF!</v>
      </c>
      <c r="AB91" s="95" t="e">
        <f t="shared" si="28"/>
        <v>#REF!</v>
      </c>
      <c r="AC91" s="95" t="e">
        <f t="shared" si="29"/>
        <v>#REF!</v>
      </c>
    </row>
    <row r="92" spans="1:29" s="96" customFormat="1">
      <c r="A92" s="92">
        <f t="shared" si="20"/>
        <v>16</v>
      </c>
      <c r="B92" s="143" t="s">
        <v>1907</v>
      </c>
      <c r="C92" s="92">
        <v>2</v>
      </c>
      <c r="D92" s="92">
        <v>2</v>
      </c>
      <c r="E92" s="92">
        <v>2</v>
      </c>
      <c r="F92" s="92">
        <v>2</v>
      </c>
      <c r="G92" s="149">
        <v>3</v>
      </c>
      <c r="H92" s="149">
        <v>3</v>
      </c>
      <c r="I92" s="144" t="s">
        <v>1909</v>
      </c>
      <c r="J92" s="144"/>
      <c r="K92" s="144" t="s">
        <v>1905</v>
      </c>
      <c r="L92" s="144"/>
      <c r="M92" s="144" t="s">
        <v>1906</v>
      </c>
      <c r="N92" s="92"/>
      <c r="O92" s="144" t="s">
        <v>1910</v>
      </c>
      <c r="P92" s="144"/>
      <c r="Q92" s="206"/>
      <c r="R92" s="145"/>
      <c r="S92" s="146"/>
      <c r="T92" s="146"/>
      <c r="U92" s="146" t="e">
        <f>F92*G92*O92*Q92</f>
        <v>#VALUE!</v>
      </c>
      <c r="V92" s="145" t="e">
        <f t="shared" si="21"/>
        <v>#VALUE!</v>
      </c>
      <c r="W92" s="146" t="e">
        <f>D92*H92*K92*Q92</f>
        <v>#VALUE!</v>
      </c>
      <c r="X92" s="146" t="e">
        <f>E92*H92*M92*Q92</f>
        <v>#VALUE!</v>
      </c>
      <c r="Y92" s="146" t="e">
        <f>F92*H92*O92*Q92</f>
        <v>#VALUE!</v>
      </c>
      <c r="Z92" s="95" t="e">
        <f t="shared" si="26"/>
        <v>#VALUE!</v>
      </c>
      <c r="AA92" s="95" t="e">
        <f t="shared" si="27"/>
        <v>#VALUE!</v>
      </c>
      <c r="AB92" s="95" t="e">
        <f t="shared" si="28"/>
        <v>#VALUE!</v>
      </c>
      <c r="AC92" s="95" t="e">
        <f t="shared" si="29"/>
        <v>#VALUE!</v>
      </c>
    </row>
    <row r="93" spans="1:29" s="96" customFormat="1">
      <c r="A93" s="92">
        <f t="shared" si="20"/>
        <v>17</v>
      </c>
      <c r="B93" s="143" t="s">
        <v>1908</v>
      </c>
      <c r="C93" s="92">
        <v>1</v>
      </c>
      <c r="D93" s="92">
        <v>1</v>
      </c>
      <c r="E93" s="92">
        <v>1</v>
      </c>
      <c r="F93" s="92">
        <v>1</v>
      </c>
      <c r="G93" s="148">
        <v>0.6</v>
      </c>
      <c r="H93" s="148">
        <v>0.6</v>
      </c>
      <c r="I93" s="144" t="s">
        <v>1911</v>
      </c>
      <c r="J93" s="144"/>
      <c r="K93" s="144" t="s">
        <v>1912</v>
      </c>
      <c r="L93" s="144"/>
      <c r="M93" s="144" t="s">
        <v>1913</v>
      </c>
      <c r="N93" s="92"/>
      <c r="O93" s="144" t="s">
        <v>1914</v>
      </c>
      <c r="P93" s="144"/>
      <c r="Q93" s="206"/>
      <c r="R93" s="145"/>
      <c r="S93" s="146"/>
      <c r="T93" s="146"/>
      <c r="U93" s="146" t="e">
        <f>F93*G93*O93*Q93</f>
        <v>#VALUE!</v>
      </c>
      <c r="V93" s="145" t="e">
        <f t="shared" si="21"/>
        <v>#VALUE!</v>
      </c>
      <c r="W93" s="146" t="e">
        <f>D93*H93*K93*Q93</f>
        <v>#VALUE!</v>
      </c>
      <c r="X93" s="146" t="e">
        <f>E93*H93*M93*Q93</f>
        <v>#VALUE!</v>
      </c>
      <c r="Y93" s="146" t="e">
        <f>F93*H93*O93*Q93</f>
        <v>#VALUE!</v>
      </c>
      <c r="Z93" s="95" t="e">
        <f t="shared" si="26"/>
        <v>#VALUE!</v>
      </c>
      <c r="AA93" s="95" t="e">
        <f t="shared" si="27"/>
        <v>#VALUE!</v>
      </c>
      <c r="AB93" s="95" t="e">
        <f t="shared" si="28"/>
        <v>#VALUE!</v>
      </c>
      <c r="AC93" s="95" t="e">
        <f t="shared" si="29"/>
        <v>#VALUE!</v>
      </c>
    </row>
    <row r="94" spans="1:29" s="96" customFormat="1">
      <c r="A94" s="92">
        <f t="shared" si="20"/>
        <v>18</v>
      </c>
      <c r="B94" s="143"/>
      <c r="C94" s="92"/>
      <c r="D94" s="92"/>
      <c r="E94" s="92"/>
      <c r="F94" s="92"/>
      <c r="G94" s="148"/>
      <c r="H94" s="148"/>
      <c r="I94" s="144"/>
      <c r="J94" s="144"/>
      <c r="K94" s="144"/>
      <c r="L94" s="144"/>
      <c r="M94" s="144"/>
      <c r="N94" s="92"/>
      <c r="O94" s="144"/>
      <c r="P94" s="144"/>
      <c r="Q94" s="206"/>
      <c r="R94" s="145"/>
      <c r="S94" s="146"/>
      <c r="T94" s="146"/>
      <c r="U94" s="146">
        <f>F94*G94*O94*Q94</f>
        <v>0</v>
      </c>
      <c r="V94" s="145">
        <f t="shared" si="21"/>
        <v>0</v>
      </c>
      <c r="W94" s="146">
        <f>D94*H94*K94*Q94</f>
        <v>0</v>
      </c>
      <c r="X94" s="146">
        <f>E94*H94*M94*Q94</f>
        <v>0</v>
      </c>
      <c r="Y94" s="146">
        <f>F94*H94*O94*Q94</f>
        <v>0</v>
      </c>
      <c r="Z94" s="95" t="e">
        <f t="shared" si="26"/>
        <v>#DIV/0!</v>
      </c>
      <c r="AA94" s="95" t="e">
        <f t="shared" si="27"/>
        <v>#DIV/0!</v>
      </c>
      <c r="AB94" s="95" t="e">
        <f t="shared" si="28"/>
        <v>#DIV/0!</v>
      </c>
      <c r="AC94" s="95" t="e">
        <f t="shared" si="29"/>
        <v>#DIV/0!</v>
      </c>
    </row>
    <row r="95" spans="1:29" s="96" customFormat="1">
      <c r="A95" s="92">
        <f t="shared" si="20"/>
        <v>19</v>
      </c>
      <c r="B95" s="143"/>
      <c r="C95" s="92"/>
      <c r="D95" s="92"/>
      <c r="E95" s="92"/>
      <c r="F95" s="92"/>
      <c r="G95" s="148"/>
      <c r="H95" s="148"/>
      <c r="I95" s="144"/>
      <c r="J95" s="144"/>
      <c r="K95" s="144"/>
      <c r="L95" s="144"/>
      <c r="M95" s="144"/>
      <c r="N95" s="92"/>
      <c r="O95" s="144"/>
      <c r="P95" s="144"/>
      <c r="Q95" s="206"/>
      <c r="R95" s="145"/>
      <c r="S95" s="146"/>
      <c r="T95" s="146"/>
      <c r="U95" s="146"/>
      <c r="V95" s="145"/>
      <c r="W95" s="146"/>
      <c r="X95" s="146"/>
      <c r="Y95" s="146"/>
      <c r="Z95" s="95"/>
      <c r="AA95" s="95"/>
      <c r="AB95" s="95"/>
      <c r="AC95" s="95"/>
    </row>
    <row r="96" spans="1:29" s="96" customFormat="1">
      <c r="A96" s="92">
        <f t="shared" si="20"/>
        <v>20</v>
      </c>
      <c r="B96" s="143"/>
      <c r="C96" s="92"/>
      <c r="D96" s="92"/>
      <c r="E96" s="92"/>
      <c r="F96" s="92"/>
      <c r="G96" s="148"/>
      <c r="H96" s="148"/>
      <c r="I96" s="144"/>
      <c r="J96" s="144"/>
      <c r="K96" s="144"/>
      <c r="L96" s="144"/>
      <c r="M96" s="144"/>
      <c r="N96" s="92"/>
      <c r="O96" s="144"/>
      <c r="P96" s="144"/>
      <c r="Q96" s="206"/>
      <c r="R96" s="145"/>
      <c r="S96" s="146"/>
      <c r="T96" s="146"/>
      <c r="U96" s="146">
        <f t="shared" ref="U96" si="30">F96*G96*O96*Q96</f>
        <v>0</v>
      </c>
      <c r="V96" s="145">
        <f t="shared" ref="V96" si="31">C96*H96*I96*Q96</f>
        <v>0</v>
      </c>
      <c r="W96" s="146">
        <f t="shared" ref="W96" si="32">D96*H96*K96*Q96</f>
        <v>0</v>
      </c>
      <c r="X96" s="146">
        <f t="shared" ref="X96" si="33">E96*H96*M96*Q96</f>
        <v>0</v>
      </c>
      <c r="Y96" s="146">
        <f t="shared" ref="Y96" si="34">F96*H96*O96*Q96</f>
        <v>0</v>
      </c>
      <c r="Z96" s="95" t="e">
        <f t="shared" ref="Z96" si="35">V96/R96</f>
        <v>#DIV/0!</v>
      </c>
      <c r="AA96" s="95" t="e">
        <f t="shared" ref="AA96" si="36">W96/S96</f>
        <v>#DIV/0!</v>
      </c>
      <c r="AB96" s="95" t="e">
        <f t="shared" ref="AB96" si="37">X96/T96</f>
        <v>#DIV/0!</v>
      </c>
      <c r="AC96" s="95" t="e">
        <f t="shared" ref="AC96" si="38">Y96/U96</f>
        <v>#DIV/0!</v>
      </c>
    </row>
  </sheetData>
  <mergeCells count="15">
    <mergeCell ref="A1:AB1"/>
    <mergeCell ref="A2:A3"/>
    <mergeCell ref="B2:B3"/>
    <mergeCell ref="C2:F2"/>
    <mergeCell ref="G2:G3"/>
    <mergeCell ref="H2:H3"/>
    <mergeCell ref="I2:P2"/>
    <mergeCell ref="Q2:Q3"/>
    <mergeCell ref="R2:U2"/>
    <mergeCell ref="V2:Y2"/>
    <mergeCell ref="Z2:AC2"/>
    <mergeCell ref="I3:J3"/>
    <mergeCell ref="K3:L3"/>
    <mergeCell ref="M3:N3"/>
    <mergeCell ref="O3:P3"/>
  </mergeCells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93"/>
  <sheetViews>
    <sheetView view="pageBreakPreview" zoomScale="60" zoomScaleNormal="55" workbookViewId="0">
      <pane ySplit="1" topLeftCell="A2" activePane="bottomLeft" state="frozen"/>
      <selection pane="bottomLeft" activeCell="I18" sqref="I18"/>
    </sheetView>
  </sheetViews>
  <sheetFormatPr defaultColWidth="8.85546875" defaultRowHeight="15"/>
  <cols>
    <col min="1" max="1" width="9" style="137" customWidth="1"/>
    <col min="2" max="2" width="36.85546875" style="136" bestFit="1" customWidth="1"/>
    <col min="3" max="3" width="10.42578125" style="160" customWidth="1"/>
    <col min="4" max="4" width="11.42578125" style="160" bestFit="1" customWidth="1"/>
    <col min="5" max="6" width="10.42578125" style="160" customWidth="1"/>
    <col min="7" max="8" width="15.42578125" style="136" customWidth="1"/>
    <col min="9" max="12" width="16.28515625" style="161" customWidth="1"/>
    <col min="13" max="13" width="11.7109375" style="161" customWidth="1"/>
    <col min="14" max="14" width="16.28515625" style="161" customWidth="1"/>
    <col min="15" max="15" width="11.5703125" style="161" customWidth="1"/>
    <col min="16" max="16" width="16.7109375" style="161" customWidth="1"/>
    <col min="17" max="17" width="13.28515625" style="136" customWidth="1"/>
    <col min="18" max="29" width="13.7109375" style="136" hidden="1" customWidth="1"/>
    <col min="30" max="16384" width="8.85546875" style="136"/>
  </cols>
  <sheetData>
    <row r="1" spans="1:29" ht="37.9" customHeight="1">
      <c r="A1" s="741" t="s">
        <v>623</v>
      </c>
      <c r="B1" s="741"/>
      <c r="C1" s="741"/>
      <c r="D1" s="741"/>
      <c r="E1" s="741"/>
      <c r="F1" s="741"/>
      <c r="G1" s="741"/>
      <c r="H1" s="741"/>
      <c r="I1" s="742"/>
      <c r="J1" s="742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</row>
    <row r="2" spans="1:29" ht="39.75" customHeight="1">
      <c r="A2" s="743" t="s">
        <v>1</v>
      </c>
      <c r="B2" s="743" t="s">
        <v>2</v>
      </c>
      <c r="C2" s="736" t="s">
        <v>536</v>
      </c>
      <c r="D2" s="736"/>
      <c r="E2" s="736"/>
      <c r="F2" s="737"/>
      <c r="G2" s="743" t="s">
        <v>8</v>
      </c>
      <c r="H2" s="739" t="s">
        <v>497</v>
      </c>
      <c r="I2" s="736" t="s">
        <v>616</v>
      </c>
      <c r="J2" s="736"/>
      <c r="K2" s="736"/>
      <c r="L2" s="736"/>
      <c r="M2" s="736"/>
      <c r="N2" s="736"/>
      <c r="O2" s="736"/>
      <c r="P2" s="737"/>
      <c r="Q2" s="743" t="s">
        <v>5</v>
      </c>
      <c r="R2" s="736" t="s">
        <v>501</v>
      </c>
      <c r="S2" s="736"/>
      <c r="T2" s="736"/>
      <c r="U2" s="737"/>
      <c r="V2" s="736" t="s">
        <v>502</v>
      </c>
      <c r="W2" s="736"/>
      <c r="X2" s="736"/>
      <c r="Y2" s="737"/>
      <c r="Z2" s="736" t="s">
        <v>503</v>
      </c>
      <c r="AA2" s="736"/>
      <c r="AB2" s="736"/>
      <c r="AC2" s="737"/>
    </row>
    <row r="3" spans="1:29" s="137" customFormat="1" ht="106.9" customHeight="1">
      <c r="A3" s="744"/>
      <c r="B3" s="744"/>
      <c r="C3" s="279" t="s">
        <v>612</v>
      </c>
      <c r="D3" s="279" t="s">
        <v>613</v>
      </c>
      <c r="E3" s="279" t="s">
        <v>534</v>
      </c>
      <c r="F3" s="279" t="s">
        <v>535</v>
      </c>
      <c r="G3" s="744"/>
      <c r="H3" s="739"/>
      <c r="I3" s="736" t="s">
        <v>612</v>
      </c>
      <c r="J3" s="737"/>
      <c r="K3" s="738" t="s">
        <v>613</v>
      </c>
      <c r="L3" s="737"/>
      <c r="M3" s="739" t="s">
        <v>534</v>
      </c>
      <c r="N3" s="739"/>
      <c r="O3" s="739" t="s">
        <v>535</v>
      </c>
      <c r="P3" s="739"/>
      <c r="Q3" s="744"/>
      <c r="R3" s="279" t="s">
        <v>612</v>
      </c>
      <c r="S3" s="279" t="s">
        <v>613</v>
      </c>
      <c r="T3" s="279" t="s">
        <v>534</v>
      </c>
      <c r="U3" s="279" t="s">
        <v>535</v>
      </c>
      <c r="V3" s="279" t="s">
        <v>612</v>
      </c>
      <c r="W3" s="279" t="s">
        <v>613</v>
      </c>
      <c r="X3" s="279" t="s">
        <v>534</v>
      </c>
      <c r="Y3" s="279" t="s">
        <v>535</v>
      </c>
      <c r="Z3" s="279" t="s">
        <v>612</v>
      </c>
      <c r="AA3" s="279" t="s">
        <v>613</v>
      </c>
      <c r="AB3" s="279" t="s">
        <v>534</v>
      </c>
      <c r="AC3" s="279" t="s">
        <v>535</v>
      </c>
    </row>
    <row r="4" spans="1:29" s="137" customFormat="1" ht="31.5">
      <c r="A4" s="279"/>
      <c r="B4" s="279"/>
      <c r="C4" s="284"/>
      <c r="D4" s="284"/>
      <c r="E4" s="284"/>
      <c r="F4" s="284"/>
      <c r="G4" s="279"/>
      <c r="H4" s="284"/>
      <c r="I4" s="284" t="s">
        <v>498</v>
      </c>
      <c r="J4" s="284" t="s">
        <v>496</v>
      </c>
      <c r="K4" s="284" t="s">
        <v>498</v>
      </c>
      <c r="L4" s="284" t="s">
        <v>496</v>
      </c>
      <c r="M4" s="284" t="s">
        <v>498</v>
      </c>
      <c r="N4" s="284" t="s">
        <v>496</v>
      </c>
      <c r="O4" s="284" t="s">
        <v>498</v>
      </c>
      <c r="P4" s="284" t="s">
        <v>496</v>
      </c>
      <c r="Q4" s="431"/>
      <c r="R4" s="282"/>
      <c r="S4" s="281"/>
      <c r="T4" s="281"/>
      <c r="U4" s="281"/>
      <c r="V4" s="282"/>
      <c r="W4" s="281"/>
      <c r="X4" s="281"/>
      <c r="Y4" s="281"/>
      <c r="Z4" s="282"/>
      <c r="AA4" s="281"/>
      <c r="AB4" s="281"/>
      <c r="AC4" s="281"/>
    </row>
    <row r="5" spans="1:29" s="96" customFormat="1" ht="15.75">
      <c r="A5" s="138">
        <v>1</v>
      </c>
      <c r="B5" s="138">
        <v>2</v>
      </c>
      <c r="C5" s="139"/>
      <c r="D5" s="139"/>
      <c r="E5" s="139"/>
      <c r="F5" s="139"/>
      <c r="G5" s="138">
        <v>5</v>
      </c>
      <c r="H5" s="138"/>
      <c r="I5" s="140"/>
      <c r="J5" s="141"/>
      <c r="K5" s="141"/>
      <c r="L5" s="141"/>
      <c r="M5" s="141"/>
      <c r="N5" s="141"/>
      <c r="O5" s="141"/>
      <c r="P5" s="141"/>
      <c r="Q5" s="142">
        <v>8</v>
      </c>
      <c r="R5" s="138"/>
      <c r="S5" s="139"/>
      <c r="T5" s="139"/>
      <c r="U5" s="139"/>
      <c r="V5" s="138"/>
      <c r="W5" s="139"/>
      <c r="X5" s="139"/>
      <c r="Y5" s="139"/>
      <c r="Z5" s="138"/>
      <c r="AA5" s="139"/>
      <c r="AB5" s="139"/>
      <c r="AC5" s="139"/>
    </row>
    <row r="6" spans="1:29" s="96" customFormat="1">
      <c r="A6" s="92">
        <v>1</v>
      </c>
      <c r="B6" s="457" t="s">
        <v>573</v>
      </c>
      <c r="C6" s="92">
        <v>1</v>
      </c>
      <c r="D6" s="92">
        <v>1</v>
      </c>
      <c r="E6" s="92">
        <v>1</v>
      </c>
      <c r="F6" s="92">
        <v>1</v>
      </c>
      <c r="G6" s="126">
        <v>1.5</v>
      </c>
      <c r="H6" s="126">
        <v>1.5</v>
      </c>
      <c r="I6" s="144">
        <v>4</v>
      </c>
      <c r="J6" s="144" t="s">
        <v>1175</v>
      </c>
      <c r="K6" s="144">
        <v>5</v>
      </c>
      <c r="L6" s="144" t="s">
        <v>1176</v>
      </c>
      <c r="M6" s="144">
        <v>6</v>
      </c>
      <c r="N6" s="144" t="s">
        <v>1177</v>
      </c>
      <c r="O6" s="144">
        <v>6</v>
      </c>
      <c r="P6" s="144" t="s">
        <v>1177</v>
      </c>
      <c r="Q6" s="206">
        <v>30</v>
      </c>
      <c r="R6" s="145">
        <f t="shared" ref="R6:R28" si="0">C6*G6*I6*Q6</f>
        <v>180</v>
      </c>
      <c r="S6" s="146">
        <f t="shared" ref="S6:S28" si="1">D6*G6*K6*Q6</f>
        <v>225</v>
      </c>
      <c r="T6" s="146">
        <f t="shared" ref="T6:T28" si="2">E6*G6*M6*Q6</f>
        <v>270</v>
      </c>
      <c r="U6" s="146">
        <f t="shared" ref="U6:U28" si="3">F6*G6*O6*Q6</f>
        <v>270</v>
      </c>
      <c r="V6" s="145">
        <f t="shared" ref="V6:V28" si="4">C6*H6*I6*Q6</f>
        <v>180</v>
      </c>
      <c r="W6" s="146">
        <f t="shared" ref="W6:W28" si="5">D6*H6*K6*Q6</f>
        <v>225</v>
      </c>
      <c r="X6" s="146">
        <f t="shared" ref="X6:X28" si="6">E6*H6*M6*Q6</f>
        <v>270</v>
      </c>
      <c r="Y6" s="146">
        <f t="shared" ref="Y6:Y28" si="7">F6*H6*O6*Q6</f>
        <v>270</v>
      </c>
      <c r="Z6" s="147">
        <f t="shared" ref="Z6:AC26" si="8">V6/R6</f>
        <v>1</v>
      </c>
      <c r="AA6" s="147">
        <f t="shared" si="8"/>
        <v>1</v>
      </c>
      <c r="AB6" s="147">
        <f t="shared" si="8"/>
        <v>1</v>
      </c>
      <c r="AC6" s="147">
        <f t="shared" si="8"/>
        <v>1</v>
      </c>
    </row>
    <row r="7" spans="1:29" s="96" customFormat="1">
      <c r="A7" s="92">
        <v>2</v>
      </c>
      <c r="B7" s="457" t="s">
        <v>574</v>
      </c>
      <c r="C7" s="92">
        <v>1</v>
      </c>
      <c r="D7" s="92">
        <v>1</v>
      </c>
      <c r="E7" s="92">
        <v>1</v>
      </c>
      <c r="F7" s="92">
        <v>1</v>
      </c>
      <c r="G7" s="126">
        <v>3</v>
      </c>
      <c r="H7" s="126">
        <v>3</v>
      </c>
      <c r="I7" s="144">
        <v>4.5</v>
      </c>
      <c r="J7" s="144" t="s">
        <v>1178</v>
      </c>
      <c r="K7" s="144">
        <v>5</v>
      </c>
      <c r="L7" s="144" t="s">
        <v>1179</v>
      </c>
      <c r="M7" s="144">
        <v>6</v>
      </c>
      <c r="N7" s="144" t="s">
        <v>1180</v>
      </c>
      <c r="O7" s="144">
        <v>6</v>
      </c>
      <c r="P7" s="144" t="s">
        <v>1180</v>
      </c>
      <c r="Q7" s="206">
        <v>30</v>
      </c>
      <c r="R7" s="145">
        <f t="shared" si="0"/>
        <v>405</v>
      </c>
      <c r="S7" s="146">
        <f t="shared" si="1"/>
        <v>450</v>
      </c>
      <c r="T7" s="146">
        <f t="shared" si="2"/>
        <v>540</v>
      </c>
      <c r="U7" s="146">
        <f t="shared" si="3"/>
        <v>540</v>
      </c>
      <c r="V7" s="145">
        <f t="shared" si="4"/>
        <v>405</v>
      </c>
      <c r="W7" s="146">
        <f t="shared" si="5"/>
        <v>450</v>
      </c>
      <c r="X7" s="146">
        <f t="shared" si="6"/>
        <v>540</v>
      </c>
      <c r="Y7" s="146">
        <f t="shared" si="7"/>
        <v>540</v>
      </c>
      <c r="Z7" s="147">
        <f t="shared" si="8"/>
        <v>1</v>
      </c>
      <c r="AA7" s="147">
        <f t="shared" si="8"/>
        <v>1</v>
      </c>
      <c r="AB7" s="147">
        <f t="shared" si="8"/>
        <v>1</v>
      </c>
      <c r="AC7" s="147">
        <f t="shared" si="8"/>
        <v>1</v>
      </c>
    </row>
    <row r="8" spans="1:29" s="96" customFormat="1">
      <c r="A8" s="92">
        <v>3</v>
      </c>
      <c r="B8" s="458" t="s">
        <v>575</v>
      </c>
      <c r="C8" s="92">
        <v>1</v>
      </c>
      <c r="D8" s="92">
        <v>1</v>
      </c>
      <c r="E8" s="92">
        <v>1</v>
      </c>
      <c r="F8" s="92">
        <v>1</v>
      </c>
      <c r="G8" s="126">
        <v>11.9</v>
      </c>
      <c r="H8" s="126">
        <v>11.9</v>
      </c>
      <c r="I8" s="144">
        <v>4</v>
      </c>
      <c r="J8" s="144" t="s">
        <v>1175</v>
      </c>
      <c r="K8" s="144">
        <v>6.5</v>
      </c>
      <c r="L8" s="144" t="s">
        <v>1181</v>
      </c>
      <c r="M8" s="144">
        <v>7</v>
      </c>
      <c r="N8" s="144" t="s">
        <v>1182</v>
      </c>
      <c r="O8" s="144">
        <v>9</v>
      </c>
      <c r="P8" s="144" t="s">
        <v>1183</v>
      </c>
      <c r="Q8" s="206">
        <v>30</v>
      </c>
      <c r="R8" s="145">
        <f t="shared" si="0"/>
        <v>1428</v>
      </c>
      <c r="S8" s="146">
        <f t="shared" si="1"/>
        <v>2320.5000000000005</v>
      </c>
      <c r="T8" s="146">
        <f t="shared" si="2"/>
        <v>2499</v>
      </c>
      <c r="U8" s="146">
        <f t="shared" si="3"/>
        <v>3213.0000000000005</v>
      </c>
      <c r="V8" s="145">
        <f t="shared" si="4"/>
        <v>1428</v>
      </c>
      <c r="W8" s="146">
        <f t="shared" si="5"/>
        <v>2320.5000000000005</v>
      </c>
      <c r="X8" s="146">
        <f t="shared" si="6"/>
        <v>2499</v>
      </c>
      <c r="Y8" s="146">
        <f t="shared" si="7"/>
        <v>3213.0000000000005</v>
      </c>
      <c r="Z8" s="147">
        <f t="shared" si="8"/>
        <v>1</v>
      </c>
      <c r="AA8" s="147">
        <f t="shared" si="8"/>
        <v>1</v>
      </c>
      <c r="AB8" s="147">
        <f t="shared" si="8"/>
        <v>1</v>
      </c>
      <c r="AC8" s="147">
        <f t="shared" si="8"/>
        <v>1</v>
      </c>
    </row>
    <row r="9" spans="1:29" s="96" customFormat="1">
      <c r="A9" s="92">
        <v>4</v>
      </c>
      <c r="B9" s="457" t="s">
        <v>576</v>
      </c>
      <c r="C9" s="92">
        <v>1</v>
      </c>
      <c r="D9" s="92">
        <v>1</v>
      </c>
      <c r="E9" s="92">
        <v>1</v>
      </c>
      <c r="F9" s="92">
        <v>1</v>
      </c>
      <c r="G9" s="126">
        <v>2.8</v>
      </c>
      <c r="H9" s="126">
        <v>2.8</v>
      </c>
      <c r="I9" s="144">
        <v>4</v>
      </c>
      <c r="J9" s="144" t="s">
        <v>1184</v>
      </c>
      <c r="K9" s="144">
        <v>5</v>
      </c>
      <c r="L9" s="144" t="s">
        <v>1179</v>
      </c>
      <c r="M9" s="144">
        <v>5</v>
      </c>
      <c r="N9" s="144" t="s">
        <v>1185</v>
      </c>
      <c r="O9" s="144">
        <v>9</v>
      </c>
      <c r="P9" s="144" t="s">
        <v>1183</v>
      </c>
      <c r="Q9" s="206">
        <v>30</v>
      </c>
      <c r="R9" s="145">
        <f t="shared" si="0"/>
        <v>336</v>
      </c>
      <c r="S9" s="146">
        <f t="shared" si="1"/>
        <v>420</v>
      </c>
      <c r="T9" s="146">
        <f t="shared" si="2"/>
        <v>420</v>
      </c>
      <c r="U9" s="146">
        <f t="shared" si="3"/>
        <v>756</v>
      </c>
      <c r="V9" s="145">
        <f t="shared" si="4"/>
        <v>336</v>
      </c>
      <c r="W9" s="146">
        <f t="shared" si="5"/>
        <v>420</v>
      </c>
      <c r="X9" s="146">
        <f t="shared" si="6"/>
        <v>420</v>
      </c>
      <c r="Y9" s="146">
        <f t="shared" si="7"/>
        <v>756</v>
      </c>
      <c r="Z9" s="147">
        <f t="shared" si="8"/>
        <v>1</v>
      </c>
      <c r="AA9" s="147">
        <f t="shared" si="8"/>
        <v>1</v>
      </c>
      <c r="AB9" s="147">
        <f t="shared" si="8"/>
        <v>1</v>
      </c>
      <c r="AC9" s="147">
        <f t="shared" si="8"/>
        <v>1</v>
      </c>
    </row>
    <row r="10" spans="1:29" s="96" customFormat="1">
      <c r="A10" s="92">
        <v>5</v>
      </c>
      <c r="B10" s="457" t="s">
        <v>577</v>
      </c>
      <c r="C10" s="92">
        <v>1</v>
      </c>
      <c r="D10" s="92">
        <v>1</v>
      </c>
      <c r="E10" s="92">
        <v>1</v>
      </c>
      <c r="F10" s="92">
        <v>1</v>
      </c>
      <c r="G10" s="126">
        <v>3</v>
      </c>
      <c r="H10" s="126">
        <v>3</v>
      </c>
      <c r="I10" s="144">
        <v>4</v>
      </c>
      <c r="J10" s="144" t="s">
        <v>1184</v>
      </c>
      <c r="K10" s="144">
        <v>7</v>
      </c>
      <c r="L10" s="144" t="s">
        <v>1182</v>
      </c>
      <c r="M10" s="144">
        <v>7</v>
      </c>
      <c r="N10" s="144" t="s">
        <v>1182</v>
      </c>
      <c r="O10" s="144">
        <v>9</v>
      </c>
      <c r="P10" s="144" t="s">
        <v>1183</v>
      </c>
      <c r="Q10" s="206">
        <v>30</v>
      </c>
      <c r="R10" s="145">
        <f t="shared" si="0"/>
        <v>360</v>
      </c>
      <c r="S10" s="146">
        <f t="shared" si="1"/>
        <v>630</v>
      </c>
      <c r="T10" s="146">
        <f t="shared" si="2"/>
        <v>630</v>
      </c>
      <c r="U10" s="146">
        <f t="shared" si="3"/>
        <v>810</v>
      </c>
      <c r="V10" s="145">
        <f t="shared" si="4"/>
        <v>360</v>
      </c>
      <c r="W10" s="146">
        <f t="shared" si="5"/>
        <v>630</v>
      </c>
      <c r="X10" s="146">
        <f t="shared" si="6"/>
        <v>630</v>
      </c>
      <c r="Y10" s="146">
        <f t="shared" si="7"/>
        <v>810</v>
      </c>
      <c r="Z10" s="147">
        <f t="shared" si="8"/>
        <v>1</v>
      </c>
      <c r="AA10" s="147">
        <f t="shared" si="8"/>
        <v>1</v>
      </c>
      <c r="AB10" s="147">
        <f t="shared" si="8"/>
        <v>1</v>
      </c>
      <c r="AC10" s="147">
        <f t="shared" si="8"/>
        <v>1</v>
      </c>
    </row>
    <row r="11" spans="1:29" s="96" customFormat="1">
      <c r="A11" s="92">
        <v>6</v>
      </c>
      <c r="B11" s="457" t="s">
        <v>578</v>
      </c>
      <c r="C11" s="92">
        <v>1</v>
      </c>
      <c r="D11" s="92">
        <v>1</v>
      </c>
      <c r="E11" s="92">
        <v>1</v>
      </c>
      <c r="F11" s="92">
        <v>1</v>
      </c>
      <c r="G11" s="126">
        <v>30</v>
      </c>
      <c r="H11" s="126">
        <v>30</v>
      </c>
      <c r="I11" s="144">
        <v>4</v>
      </c>
      <c r="J11" s="144" t="s">
        <v>1175</v>
      </c>
      <c r="K11" s="144">
        <v>5</v>
      </c>
      <c r="L11" s="144" t="s">
        <v>1179</v>
      </c>
      <c r="M11" s="144">
        <v>8</v>
      </c>
      <c r="N11" s="144" t="s">
        <v>1186</v>
      </c>
      <c r="O11" s="144">
        <v>15</v>
      </c>
      <c r="P11" s="144" t="s">
        <v>1187</v>
      </c>
      <c r="Q11" s="206">
        <v>30</v>
      </c>
      <c r="R11" s="145">
        <f t="shared" si="0"/>
        <v>3600</v>
      </c>
      <c r="S11" s="146">
        <f t="shared" si="1"/>
        <v>4500</v>
      </c>
      <c r="T11" s="146">
        <f t="shared" si="2"/>
        <v>7200</v>
      </c>
      <c r="U11" s="146">
        <f t="shared" si="3"/>
        <v>13500</v>
      </c>
      <c r="V11" s="145">
        <f t="shared" si="4"/>
        <v>3600</v>
      </c>
      <c r="W11" s="146">
        <f t="shared" si="5"/>
        <v>4500</v>
      </c>
      <c r="X11" s="146">
        <f t="shared" si="6"/>
        <v>7200</v>
      </c>
      <c r="Y11" s="146">
        <f t="shared" si="7"/>
        <v>13500</v>
      </c>
      <c r="Z11" s="147">
        <f t="shared" si="8"/>
        <v>1</v>
      </c>
      <c r="AA11" s="147">
        <f t="shared" si="8"/>
        <v>1</v>
      </c>
      <c r="AB11" s="147">
        <f t="shared" si="8"/>
        <v>1</v>
      </c>
      <c r="AC11" s="147">
        <f t="shared" si="8"/>
        <v>1</v>
      </c>
    </row>
    <row r="12" spans="1:29" s="96" customFormat="1">
      <c r="A12" s="92">
        <v>7</v>
      </c>
      <c r="B12" s="457" t="s">
        <v>579</v>
      </c>
      <c r="C12" s="92">
        <v>1</v>
      </c>
      <c r="D12" s="92">
        <v>1</v>
      </c>
      <c r="E12" s="92">
        <v>1</v>
      </c>
      <c r="F12" s="92">
        <v>1</v>
      </c>
      <c r="G12" s="126">
        <v>1.5</v>
      </c>
      <c r="H12" s="126">
        <v>1.5</v>
      </c>
      <c r="I12" s="144">
        <v>3</v>
      </c>
      <c r="J12" s="144" t="s">
        <v>1188</v>
      </c>
      <c r="K12" s="144">
        <v>5</v>
      </c>
      <c r="L12" s="144" t="s">
        <v>1189</v>
      </c>
      <c r="M12" s="144">
        <v>7</v>
      </c>
      <c r="N12" s="144" t="s">
        <v>1190</v>
      </c>
      <c r="O12" s="144">
        <v>9</v>
      </c>
      <c r="P12" s="144" t="s">
        <v>1191</v>
      </c>
      <c r="Q12" s="206">
        <v>30</v>
      </c>
      <c r="R12" s="145">
        <f t="shared" si="0"/>
        <v>135</v>
      </c>
      <c r="S12" s="146">
        <f t="shared" si="1"/>
        <v>225</v>
      </c>
      <c r="T12" s="146">
        <f t="shared" si="2"/>
        <v>315</v>
      </c>
      <c r="U12" s="146">
        <f t="shared" si="3"/>
        <v>405</v>
      </c>
      <c r="V12" s="145">
        <f t="shared" si="4"/>
        <v>135</v>
      </c>
      <c r="W12" s="146">
        <f t="shared" si="5"/>
        <v>225</v>
      </c>
      <c r="X12" s="146">
        <f t="shared" si="6"/>
        <v>315</v>
      </c>
      <c r="Y12" s="146">
        <f t="shared" si="7"/>
        <v>405</v>
      </c>
      <c r="Z12" s="147">
        <f t="shared" si="8"/>
        <v>1</v>
      </c>
      <c r="AA12" s="147">
        <f t="shared" si="8"/>
        <v>1</v>
      </c>
      <c r="AB12" s="147">
        <f t="shared" si="8"/>
        <v>1</v>
      </c>
      <c r="AC12" s="147">
        <f t="shared" si="8"/>
        <v>1</v>
      </c>
    </row>
    <row r="13" spans="1:29" s="96" customFormat="1">
      <c r="A13" s="92">
        <v>8</v>
      </c>
      <c r="B13" s="457" t="s">
        <v>580</v>
      </c>
      <c r="C13" s="92">
        <v>1</v>
      </c>
      <c r="D13" s="92">
        <v>1</v>
      </c>
      <c r="E13" s="92">
        <v>1</v>
      </c>
      <c r="F13" s="92">
        <v>1</v>
      </c>
      <c r="G13" s="126">
        <v>1.5</v>
      </c>
      <c r="H13" s="126">
        <v>1.5</v>
      </c>
      <c r="I13" s="144">
        <v>2</v>
      </c>
      <c r="J13" s="144" t="s">
        <v>1192</v>
      </c>
      <c r="K13" s="144">
        <v>2</v>
      </c>
      <c r="L13" s="144" t="s">
        <v>1193</v>
      </c>
      <c r="M13" s="144">
        <v>2</v>
      </c>
      <c r="N13" s="144" t="s">
        <v>1193</v>
      </c>
      <c r="O13" s="144">
        <v>3</v>
      </c>
      <c r="P13" s="144" t="s">
        <v>1194</v>
      </c>
      <c r="Q13" s="206">
        <v>30</v>
      </c>
      <c r="R13" s="145">
        <f t="shared" si="0"/>
        <v>90</v>
      </c>
      <c r="S13" s="146">
        <f t="shared" si="1"/>
        <v>90</v>
      </c>
      <c r="T13" s="146">
        <f t="shared" si="2"/>
        <v>90</v>
      </c>
      <c r="U13" s="146">
        <f t="shared" si="3"/>
        <v>135</v>
      </c>
      <c r="V13" s="145">
        <f t="shared" si="4"/>
        <v>90</v>
      </c>
      <c r="W13" s="146">
        <f t="shared" si="5"/>
        <v>90</v>
      </c>
      <c r="X13" s="146">
        <f t="shared" si="6"/>
        <v>90</v>
      </c>
      <c r="Y13" s="146">
        <f t="shared" si="7"/>
        <v>135</v>
      </c>
      <c r="Z13" s="147">
        <f t="shared" si="8"/>
        <v>1</v>
      </c>
      <c r="AA13" s="147">
        <f t="shared" si="8"/>
        <v>1</v>
      </c>
      <c r="AB13" s="147">
        <f t="shared" si="8"/>
        <v>1</v>
      </c>
      <c r="AC13" s="147">
        <f t="shared" si="8"/>
        <v>1</v>
      </c>
    </row>
    <row r="14" spans="1:29" s="96" customFormat="1">
      <c r="A14" s="92">
        <v>9</v>
      </c>
      <c r="B14" s="457" t="s">
        <v>581</v>
      </c>
      <c r="C14" s="92">
        <v>1</v>
      </c>
      <c r="D14" s="92">
        <v>1</v>
      </c>
      <c r="E14" s="92">
        <v>1</v>
      </c>
      <c r="F14" s="92">
        <v>1</v>
      </c>
      <c r="G14" s="126">
        <v>3.6</v>
      </c>
      <c r="H14" s="126">
        <v>3.6</v>
      </c>
      <c r="I14" s="144">
        <v>12</v>
      </c>
      <c r="J14" s="144" t="s">
        <v>1195</v>
      </c>
      <c r="K14" s="144">
        <v>12</v>
      </c>
      <c r="L14" s="144" t="s">
        <v>1195</v>
      </c>
      <c r="M14" s="144">
        <v>24</v>
      </c>
      <c r="N14" s="144" t="s">
        <v>996</v>
      </c>
      <c r="O14" s="144">
        <v>24</v>
      </c>
      <c r="P14" s="144" t="s">
        <v>996</v>
      </c>
      <c r="Q14" s="206">
        <v>30</v>
      </c>
      <c r="R14" s="145">
        <f t="shared" si="0"/>
        <v>1296</v>
      </c>
      <c r="S14" s="146">
        <f t="shared" si="1"/>
        <v>1296</v>
      </c>
      <c r="T14" s="146">
        <f t="shared" si="2"/>
        <v>2592</v>
      </c>
      <c r="U14" s="146">
        <f t="shared" si="3"/>
        <v>2592</v>
      </c>
      <c r="V14" s="145">
        <f t="shared" si="4"/>
        <v>1296</v>
      </c>
      <c r="W14" s="146">
        <f t="shared" si="5"/>
        <v>1296</v>
      </c>
      <c r="X14" s="146">
        <f t="shared" si="6"/>
        <v>2592</v>
      </c>
      <c r="Y14" s="146">
        <f t="shared" si="7"/>
        <v>2592</v>
      </c>
      <c r="Z14" s="147">
        <f t="shared" si="8"/>
        <v>1</v>
      </c>
      <c r="AA14" s="147">
        <f t="shared" si="8"/>
        <v>1</v>
      </c>
      <c r="AB14" s="147">
        <f t="shared" si="8"/>
        <v>1</v>
      </c>
      <c r="AC14" s="147">
        <f t="shared" si="8"/>
        <v>1</v>
      </c>
    </row>
    <row r="15" spans="1:29" s="96" customFormat="1">
      <c r="A15" s="92">
        <v>10</v>
      </c>
      <c r="B15" s="457" t="s">
        <v>582</v>
      </c>
      <c r="C15" s="92">
        <v>1</v>
      </c>
      <c r="D15" s="92">
        <v>1</v>
      </c>
      <c r="E15" s="92">
        <v>1</v>
      </c>
      <c r="F15" s="92">
        <v>1</v>
      </c>
      <c r="G15" s="126">
        <v>1.5</v>
      </c>
      <c r="H15" s="126">
        <v>1.5</v>
      </c>
      <c r="I15" s="144">
        <v>1</v>
      </c>
      <c r="J15" s="144" t="s">
        <v>1196</v>
      </c>
      <c r="K15" s="144">
        <v>1</v>
      </c>
      <c r="L15" s="144" t="s">
        <v>1196</v>
      </c>
      <c r="M15" s="144">
        <v>1</v>
      </c>
      <c r="N15" s="144" t="s">
        <v>1196</v>
      </c>
      <c r="O15" s="144">
        <v>1</v>
      </c>
      <c r="P15" s="144" t="s">
        <v>1196</v>
      </c>
      <c r="Q15" s="206">
        <v>30</v>
      </c>
      <c r="R15" s="145">
        <f t="shared" si="0"/>
        <v>45</v>
      </c>
      <c r="S15" s="146">
        <f t="shared" si="1"/>
        <v>45</v>
      </c>
      <c r="T15" s="146">
        <f t="shared" si="2"/>
        <v>45</v>
      </c>
      <c r="U15" s="146">
        <f t="shared" si="3"/>
        <v>45</v>
      </c>
      <c r="V15" s="145">
        <f t="shared" si="4"/>
        <v>45</v>
      </c>
      <c r="W15" s="146">
        <f t="shared" si="5"/>
        <v>45</v>
      </c>
      <c r="X15" s="146">
        <f t="shared" si="6"/>
        <v>45</v>
      </c>
      <c r="Y15" s="146">
        <f t="shared" si="7"/>
        <v>45</v>
      </c>
      <c r="Z15" s="147">
        <f t="shared" si="8"/>
        <v>1</v>
      </c>
      <c r="AA15" s="147">
        <f t="shared" si="8"/>
        <v>1</v>
      </c>
      <c r="AB15" s="147">
        <f t="shared" si="8"/>
        <v>1</v>
      </c>
      <c r="AC15" s="147">
        <f t="shared" si="8"/>
        <v>1</v>
      </c>
    </row>
    <row r="16" spans="1:29" s="96" customFormat="1">
      <c r="A16" s="92">
        <v>11</v>
      </c>
      <c r="B16" s="126" t="s">
        <v>195</v>
      </c>
      <c r="C16" s="92">
        <v>35</v>
      </c>
      <c r="D16" s="92">
        <v>35</v>
      </c>
      <c r="E16" s="92">
        <v>35</v>
      </c>
      <c r="F16" s="92">
        <v>35</v>
      </c>
      <c r="G16" s="126">
        <v>3.5999999999999997E-2</v>
      </c>
      <c r="H16" s="126">
        <v>3.5999999999999997E-2</v>
      </c>
      <c r="I16" s="144">
        <v>8</v>
      </c>
      <c r="J16" s="144" t="s">
        <v>1197</v>
      </c>
      <c r="K16" s="144">
        <v>8</v>
      </c>
      <c r="L16" s="144" t="s">
        <v>1197</v>
      </c>
      <c r="M16" s="144">
        <v>16</v>
      </c>
      <c r="N16" s="144" t="s">
        <v>1198</v>
      </c>
      <c r="O16" s="144">
        <v>16</v>
      </c>
      <c r="P16" s="144" t="s">
        <v>1198</v>
      </c>
      <c r="Q16" s="206">
        <v>30</v>
      </c>
      <c r="R16" s="145">
        <f t="shared" si="0"/>
        <v>302.39999999999998</v>
      </c>
      <c r="S16" s="146">
        <f t="shared" si="1"/>
        <v>302.39999999999998</v>
      </c>
      <c r="T16" s="146">
        <f t="shared" si="2"/>
        <v>604.79999999999995</v>
      </c>
      <c r="U16" s="146">
        <f t="shared" si="3"/>
        <v>604.79999999999995</v>
      </c>
      <c r="V16" s="145">
        <f t="shared" si="4"/>
        <v>302.39999999999998</v>
      </c>
      <c r="W16" s="146">
        <f t="shared" si="5"/>
        <v>302.39999999999998</v>
      </c>
      <c r="X16" s="146">
        <f t="shared" si="6"/>
        <v>604.79999999999995</v>
      </c>
      <c r="Y16" s="146">
        <f t="shared" si="7"/>
        <v>604.79999999999995</v>
      </c>
      <c r="Z16" s="147">
        <f t="shared" si="8"/>
        <v>1</v>
      </c>
      <c r="AA16" s="147">
        <f t="shared" si="8"/>
        <v>1</v>
      </c>
      <c r="AB16" s="147">
        <f t="shared" si="8"/>
        <v>1</v>
      </c>
      <c r="AC16" s="147">
        <f t="shared" si="8"/>
        <v>1</v>
      </c>
    </row>
    <row r="17" spans="1:29" s="96" customFormat="1">
      <c r="A17" s="92">
        <v>12</v>
      </c>
      <c r="B17" s="457" t="s">
        <v>583</v>
      </c>
      <c r="C17" s="92">
        <v>16</v>
      </c>
      <c r="D17" s="92">
        <v>16</v>
      </c>
      <c r="E17" s="92">
        <v>16</v>
      </c>
      <c r="F17" s="92">
        <v>16</v>
      </c>
      <c r="G17" s="126">
        <v>0.05</v>
      </c>
      <c r="H17" s="126">
        <v>0.05</v>
      </c>
      <c r="I17" s="144">
        <v>8</v>
      </c>
      <c r="J17" s="144" t="s">
        <v>1197</v>
      </c>
      <c r="K17" s="144">
        <v>8</v>
      </c>
      <c r="L17" s="144" t="s">
        <v>1197</v>
      </c>
      <c r="M17" s="144">
        <v>16</v>
      </c>
      <c r="N17" s="144" t="s">
        <v>1198</v>
      </c>
      <c r="O17" s="144">
        <v>16</v>
      </c>
      <c r="P17" s="144" t="s">
        <v>1198</v>
      </c>
      <c r="Q17" s="206">
        <v>30</v>
      </c>
      <c r="R17" s="145">
        <f t="shared" si="0"/>
        <v>192</v>
      </c>
      <c r="S17" s="146">
        <f t="shared" si="1"/>
        <v>192</v>
      </c>
      <c r="T17" s="146">
        <f t="shared" si="2"/>
        <v>384</v>
      </c>
      <c r="U17" s="146">
        <f t="shared" si="3"/>
        <v>384</v>
      </c>
      <c r="V17" s="145">
        <f t="shared" si="4"/>
        <v>192</v>
      </c>
      <c r="W17" s="146">
        <f t="shared" si="5"/>
        <v>192</v>
      </c>
      <c r="X17" s="146">
        <f t="shared" si="6"/>
        <v>384</v>
      </c>
      <c r="Y17" s="146">
        <f t="shared" si="7"/>
        <v>384</v>
      </c>
      <c r="Z17" s="147">
        <f t="shared" si="8"/>
        <v>1</v>
      </c>
      <c r="AA17" s="147">
        <f t="shared" si="8"/>
        <v>1</v>
      </c>
      <c r="AB17" s="147">
        <f t="shared" si="8"/>
        <v>1</v>
      </c>
      <c r="AC17" s="147">
        <f t="shared" si="8"/>
        <v>1</v>
      </c>
    </row>
    <row r="18" spans="1:29" s="96" customFormat="1">
      <c r="A18" s="92">
        <v>13</v>
      </c>
      <c r="B18" s="457" t="s">
        <v>584</v>
      </c>
      <c r="C18" s="92">
        <v>1</v>
      </c>
      <c r="D18" s="92">
        <v>1</v>
      </c>
      <c r="E18" s="92">
        <v>1</v>
      </c>
      <c r="F18" s="92">
        <v>1</v>
      </c>
      <c r="G18" s="126">
        <v>5.57</v>
      </c>
      <c r="H18" s="126">
        <v>5.57</v>
      </c>
      <c r="I18" s="144">
        <v>24</v>
      </c>
      <c r="J18" s="144" t="s">
        <v>996</v>
      </c>
      <c r="K18" s="144">
        <v>24</v>
      </c>
      <c r="L18" s="144" t="s">
        <v>996</v>
      </c>
      <c r="M18" s="144">
        <v>24</v>
      </c>
      <c r="N18" s="144" t="s">
        <v>996</v>
      </c>
      <c r="O18" s="144">
        <v>24</v>
      </c>
      <c r="P18" s="144" t="s">
        <v>996</v>
      </c>
      <c r="Q18" s="206">
        <v>30</v>
      </c>
      <c r="R18" s="145">
        <f t="shared" si="0"/>
        <v>4010.4</v>
      </c>
      <c r="S18" s="146">
        <f t="shared" si="1"/>
        <v>4010.4</v>
      </c>
      <c r="T18" s="146">
        <f t="shared" si="2"/>
        <v>4010.4</v>
      </c>
      <c r="U18" s="146">
        <f t="shared" si="3"/>
        <v>4010.4</v>
      </c>
      <c r="V18" s="145">
        <f t="shared" si="4"/>
        <v>4010.4</v>
      </c>
      <c r="W18" s="146">
        <f t="shared" si="5"/>
        <v>4010.4</v>
      </c>
      <c r="X18" s="146">
        <f t="shared" si="6"/>
        <v>4010.4</v>
      </c>
      <c r="Y18" s="146">
        <f t="shared" si="7"/>
        <v>4010.4</v>
      </c>
      <c r="Z18" s="147">
        <f t="shared" si="8"/>
        <v>1</v>
      </c>
      <c r="AA18" s="147">
        <f t="shared" si="8"/>
        <v>1</v>
      </c>
      <c r="AB18" s="147">
        <f t="shared" si="8"/>
        <v>1</v>
      </c>
      <c r="AC18" s="147">
        <f t="shared" si="8"/>
        <v>1</v>
      </c>
    </row>
    <row r="19" spans="1:29" s="96" customFormat="1">
      <c r="A19" s="92">
        <v>14</v>
      </c>
      <c r="B19" s="457" t="s">
        <v>585</v>
      </c>
      <c r="C19" s="92">
        <v>1</v>
      </c>
      <c r="D19" s="92">
        <v>1</v>
      </c>
      <c r="E19" s="92">
        <v>1</v>
      </c>
      <c r="F19" s="92">
        <v>1</v>
      </c>
      <c r="G19" s="126">
        <v>5.2</v>
      </c>
      <c r="H19" s="126">
        <v>5.2</v>
      </c>
      <c r="I19" s="144">
        <v>24</v>
      </c>
      <c r="J19" s="144" t="s">
        <v>996</v>
      </c>
      <c r="K19" s="144">
        <v>24</v>
      </c>
      <c r="L19" s="144" t="s">
        <v>996</v>
      </c>
      <c r="M19" s="144">
        <v>24</v>
      </c>
      <c r="N19" s="144" t="s">
        <v>996</v>
      </c>
      <c r="O19" s="144">
        <v>24</v>
      </c>
      <c r="P19" s="144" t="s">
        <v>996</v>
      </c>
      <c r="Q19" s="206">
        <v>30</v>
      </c>
      <c r="R19" s="145">
        <f t="shared" si="0"/>
        <v>3744.0000000000005</v>
      </c>
      <c r="S19" s="146">
        <f t="shared" si="1"/>
        <v>3744.0000000000005</v>
      </c>
      <c r="T19" s="146">
        <f t="shared" si="2"/>
        <v>3744.0000000000005</v>
      </c>
      <c r="U19" s="146">
        <f t="shared" si="3"/>
        <v>3744.0000000000005</v>
      </c>
      <c r="V19" s="145">
        <f t="shared" si="4"/>
        <v>3744.0000000000005</v>
      </c>
      <c r="W19" s="146">
        <f t="shared" si="5"/>
        <v>3744.0000000000005</v>
      </c>
      <c r="X19" s="146">
        <f t="shared" si="6"/>
        <v>3744.0000000000005</v>
      </c>
      <c r="Y19" s="146">
        <f t="shared" si="7"/>
        <v>3744.0000000000005</v>
      </c>
      <c r="Z19" s="147">
        <f t="shared" si="8"/>
        <v>1</v>
      </c>
      <c r="AA19" s="147">
        <f t="shared" si="8"/>
        <v>1</v>
      </c>
      <c r="AB19" s="147">
        <f t="shared" si="8"/>
        <v>1</v>
      </c>
      <c r="AC19" s="147">
        <f t="shared" si="8"/>
        <v>1</v>
      </c>
    </row>
    <row r="20" spans="1:29" s="96" customFormat="1">
      <c r="A20" s="92">
        <v>15</v>
      </c>
      <c r="B20" s="457" t="s">
        <v>586</v>
      </c>
      <c r="C20" s="92">
        <v>1</v>
      </c>
      <c r="D20" s="92">
        <v>1</v>
      </c>
      <c r="E20" s="92">
        <v>1</v>
      </c>
      <c r="F20" s="92">
        <v>1</v>
      </c>
      <c r="G20" s="126">
        <v>6.68</v>
      </c>
      <c r="H20" s="126">
        <v>6.68</v>
      </c>
      <c r="I20" s="144">
        <v>24</v>
      </c>
      <c r="J20" s="144" t="s">
        <v>996</v>
      </c>
      <c r="K20" s="144">
        <v>24</v>
      </c>
      <c r="L20" s="144" t="s">
        <v>996</v>
      </c>
      <c r="M20" s="144">
        <v>24</v>
      </c>
      <c r="N20" s="144" t="s">
        <v>996</v>
      </c>
      <c r="O20" s="144">
        <v>24</v>
      </c>
      <c r="P20" s="144" t="s">
        <v>996</v>
      </c>
      <c r="Q20" s="206">
        <v>30</v>
      </c>
      <c r="R20" s="145">
        <f t="shared" si="0"/>
        <v>4809.5999999999995</v>
      </c>
      <c r="S20" s="146">
        <f t="shared" si="1"/>
        <v>4809.5999999999995</v>
      </c>
      <c r="T20" s="146">
        <f t="shared" si="2"/>
        <v>4809.5999999999995</v>
      </c>
      <c r="U20" s="146">
        <f t="shared" si="3"/>
        <v>4809.5999999999995</v>
      </c>
      <c r="V20" s="145">
        <f t="shared" si="4"/>
        <v>4809.5999999999995</v>
      </c>
      <c r="W20" s="146">
        <f t="shared" si="5"/>
        <v>4809.5999999999995</v>
      </c>
      <c r="X20" s="146">
        <f t="shared" si="6"/>
        <v>4809.5999999999995</v>
      </c>
      <c r="Y20" s="146">
        <f t="shared" si="7"/>
        <v>4809.5999999999995</v>
      </c>
      <c r="Z20" s="147">
        <f t="shared" si="8"/>
        <v>1</v>
      </c>
      <c r="AA20" s="147">
        <f t="shared" si="8"/>
        <v>1</v>
      </c>
      <c r="AB20" s="147">
        <f t="shared" si="8"/>
        <v>1</v>
      </c>
      <c r="AC20" s="147">
        <f t="shared" si="8"/>
        <v>1</v>
      </c>
    </row>
    <row r="21" spans="1:29" s="96" customFormat="1">
      <c r="A21" s="92">
        <v>16</v>
      </c>
      <c r="B21" s="457" t="s">
        <v>587</v>
      </c>
      <c r="C21" s="92">
        <v>1</v>
      </c>
      <c r="D21" s="92">
        <v>1</v>
      </c>
      <c r="E21" s="92">
        <v>1</v>
      </c>
      <c r="F21" s="92">
        <v>1</v>
      </c>
      <c r="G21" s="126">
        <v>11.67</v>
      </c>
      <c r="H21" s="126">
        <v>11.67</v>
      </c>
      <c r="I21" s="144">
        <v>24</v>
      </c>
      <c r="J21" s="144" t="s">
        <v>996</v>
      </c>
      <c r="K21" s="144">
        <v>24</v>
      </c>
      <c r="L21" s="144" t="s">
        <v>996</v>
      </c>
      <c r="M21" s="144">
        <v>24</v>
      </c>
      <c r="N21" s="144" t="s">
        <v>996</v>
      </c>
      <c r="O21" s="144">
        <v>24</v>
      </c>
      <c r="P21" s="144" t="s">
        <v>996</v>
      </c>
      <c r="Q21" s="206">
        <v>30</v>
      </c>
      <c r="R21" s="145">
        <f t="shared" si="0"/>
        <v>8402.4</v>
      </c>
      <c r="S21" s="146">
        <f t="shared" si="1"/>
        <v>8402.4</v>
      </c>
      <c r="T21" s="146">
        <f t="shared" si="2"/>
        <v>8402.4</v>
      </c>
      <c r="U21" s="146">
        <f t="shared" si="3"/>
        <v>8402.4</v>
      </c>
      <c r="V21" s="145">
        <f t="shared" si="4"/>
        <v>8402.4</v>
      </c>
      <c r="W21" s="146">
        <f t="shared" si="5"/>
        <v>8402.4</v>
      </c>
      <c r="X21" s="146">
        <f t="shared" si="6"/>
        <v>8402.4</v>
      </c>
      <c r="Y21" s="146">
        <f t="shared" si="7"/>
        <v>8402.4</v>
      </c>
      <c r="Z21" s="147">
        <f t="shared" si="8"/>
        <v>1</v>
      </c>
      <c r="AA21" s="147">
        <f t="shared" si="8"/>
        <v>1</v>
      </c>
      <c r="AB21" s="147">
        <f t="shared" si="8"/>
        <v>1</v>
      </c>
      <c r="AC21" s="147">
        <f t="shared" si="8"/>
        <v>1</v>
      </c>
    </row>
    <row r="22" spans="1:29" s="96" customFormat="1">
      <c r="A22" s="92">
        <v>17</v>
      </c>
      <c r="B22" s="457" t="s">
        <v>588</v>
      </c>
      <c r="C22" s="92">
        <v>1</v>
      </c>
      <c r="D22" s="92">
        <v>1</v>
      </c>
      <c r="E22" s="92">
        <v>1</v>
      </c>
      <c r="F22" s="92">
        <v>1</v>
      </c>
      <c r="G22" s="126">
        <v>6.61</v>
      </c>
      <c r="H22" s="126">
        <v>6.61</v>
      </c>
      <c r="I22" s="144">
        <v>24</v>
      </c>
      <c r="J22" s="144" t="s">
        <v>996</v>
      </c>
      <c r="K22" s="144">
        <v>24</v>
      </c>
      <c r="L22" s="144" t="s">
        <v>996</v>
      </c>
      <c r="M22" s="144">
        <v>24</v>
      </c>
      <c r="N22" s="144" t="s">
        <v>996</v>
      </c>
      <c r="O22" s="144">
        <v>24</v>
      </c>
      <c r="P22" s="144" t="s">
        <v>996</v>
      </c>
      <c r="Q22" s="206">
        <v>30</v>
      </c>
      <c r="R22" s="145">
        <f t="shared" si="0"/>
        <v>4759.2000000000007</v>
      </c>
      <c r="S22" s="146">
        <f t="shared" si="1"/>
        <v>4759.2000000000007</v>
      </c>
      <c r="T22" s="146">
        <f t="shared" si="2"/>
        <v>4759.2000000000007</v>
      </c>
      <c r="U22" s="146">
        <f t="shared" si="3"/>
        <v>4759.2000000000007</v>
      </c>
      <c r="V22" s="145">
        <f t="shared" si="4"/>
        <v>4759.2000000000007</v>
      </c>
      <c r="W22" s="146">
        <f t="shared" si="5"/>
        <v>4759.2000000000007</v>
      </c>
      <c r="X22" s="146">
        <f t="shared" si="6"/>
        <v>4759.2000000000007</v>
      </c>
      <c r="Y22" s="146">
        <f t="shared" si="7"/>
        <v>4759.2000000000007</v>
      </c>
      <c r="Z22" s="147">
        <f t="shared" si="8"/>
        <v>1</v>
      </c>
      <c r="AA22" s="147">
        <f t="shared" si="8"/>
        <v>1</v>
      </c>
      <c r="AB22" s="147">
        <f t="shared" si="8"/>
        <v>1</v>
      </c>
      <c r="AC22" s="147">
        <f t="shared" si="8"/>
        <v>1</v>
      </c>
    </row>
    <row r="23" spans="1:29" s="96" customFormat="1">
      <c r="A23" s="92">
        <v>18</v>
      </c>
      <c r="B23" s="457" t="s">
        <v>589</v>
      </c>
      <c r="C23" s="92">
        <v>1</v>
      </c>
      <c r="D23" s="92">
        <v>1</v>
      </c>
      <c r="E23" s="92">
        <v>1</v>
      </c>
      <c r="F23" s="92">
        <v>1</v>
      </c>
      <c r="G23" s="126">
        <v>6.61</v>
      </c>
      <c r="H23" s="126">
        <v>6.61</v>
      </c>
      <c r="I23" s="144">
        <v>24</v>
      </c>
      <c r="J23" s="144" t="s">
        <v>996</v>
      </c>
      <c r="K23" s="144">
        <v>24</v>
      </c>
      <c r="L23" s="144" t="s">
        <v>996</v>
      </c>
      <c r="M23" s="144">
        <v>24</v>
      </c>
      <c r="N23" s="144" t="s">
        <v>996</v>
      </c>
      <c r="O23" s="144">
        <v>24</v>
      </c>
      <c r="P23" s="144" t="s">
        <v>996</v>
      </c>
      <c r="Q23" s="206">
        <v>30</v>
      </c>
      <c r="R23" s="145">
        <f t="shared" si="0"/>
        <v>4759.2000000000007</v>
      </c>
      <c r="S23" s="146">
        <f t="shared" si="1"/>
        <v>4759.2000000000007</v>
      </c>
      <c r="T23" s="146">
        <f t="shared" si="2"/>
        <v>4759.2000000000007</v>
      </c>
      <c r="U23" s="146">
        <f t="shared" si="3"/>
        <v>4759.2000000000007</v>
      </c>
      <c r="V23" s="145">
        <f t="shared" si="4"/>
        <v>4759.2000000000007</v>
      </c>
      <c r="W23" s="146">
        <f t="shared" si="5"/>
        <v>4759.2000000000007</v>
      </c>
      <c r="X23" s="146">
        <f t="shared" si="6"/>
        <v>4759.2000000000007</v>
      </c>
      <c r="Y23" s="146">
        <f t="shared" si="7"/>
        <v>4759.2000000000007</v>
      </c>
      <c r="Z23" s="147">
        <f t="shared" si="8"/>
        <v>1</v>
      </c>
      <c r="AA23" s="147">
        <f t="shared" si="8"/>
        <v>1</v>
      </c>
      <c r="AB23" s="147">
        <f t="shared" si="8"/>
        <v>1</v>
      </c>
      <c r="AC23" s="147">
        <f t="shared" si="8"/>
        <v>1</v>
      </c>
    </row>
    <row r="24" spans="1:29" s="96" customFormat="1">
      <c r="A24" s="92">
        <v>19</v>
      </c>
      <c r="B24" s="457" t="s">
        <v>590</v>
      </c>
      <c r="C24" s="92">
        <v>1</v>
      </c>
      <c r="D24" s="92">
        <v>1</v>
      </c>
      <c r="E24" s="92">
        <v>1</v>
      </c>
      <c r="F24" s="92">
        <v>1</v>
      </c>
      <c r="G24" s="126">
        <v>11.67</v>
      </c>
      <c r="H24" s="126">
        <v>11.67</v>
      </c>
      <c r="I24" s="144">
        <v>24</v>
      </c>
      <c r="J24" s="144" t="s">
        <v>996</v>
      </c>
      <c r="K24" s="144">
        <v>24</v>
      </c>
      <c r="L24" s="144" t="s">
        <v>996</v>
      </c>
      <c r="M24" s="144">
        <v>24</v>
      </c>
      <c r="N24" s="144" t="s">
        <v>996</v>
      </c>
      <c r="O24" s="144">
        <v>24</v>
      </c>
      <c r="P24" s="144" t="s">
        <v>996</v>
      </c>
      <c r="Q24" s="206">
        <v>30</v>
      </c>
      <c r="R24" s="145">
        <f t="shared" si="0"/>
        <v>8402.4</v>
      </c>
      <c r="S24" s="146">
        <f t="shared" si="1"/>
        <v>8402.4</v>
      </c>
      <c r="T24" s="146">
        <f t="shared" si="2"/>
        <v>8402.4</v>
      </c>
      <c r="U24" s="146">
        <f t="shared" si="3"/>
        <v>8402.4</v>
      </c>
      <c r="V24" s="145">
        <f t="shared" si="4"/>
        <v>8402.4</v>
      </c>
      <c r="W24" s="146">
        <f t="shared" si="5"/>
        <v>8402.4</v>
      </c>
      <c r="X24" s="146">
        <f t="shared" si="6"/>
        <v>8402.4</v>
      </c>
      <c r="Y24" s="146">
        <f t="shared" si="7"/>
        <v>8402.4</v>
      </c>
      <c r="Z24" s="147">
        <f t="shared" si="8"/>
        <v>1</v>
      </c>
      <c r="AA24" s="147">
        <f t="shared" si="8"/>
        <v>1</v>
      </c>
      <c r="AB24" s="147">
        <f t="shared" si="8"/>
        <v>1</v>
      </c>
      <c r="AC24" s="147">
        <f t="shared" si="8"/>
        <v>1</v>
      </c>
    </row>
    <row r="25" spans="1:29" s="96" customFormat="1">
      <c r="A25" s="92">
        <v>20</v>
      </c>
      <c r="B25" s="457" t="s">
        <v>591</v>
      </c>
      <c r="C25" s="92">
        <v>1</v>
      </c>
      <c r="D25" s="92">
        <v>1</v>
      </c>
      <c r="E25" s="92">
        <v>1</v>
      </c>
      <c r="F25" s="92">
        <v>1</v>
      </c>
      <c r="G25" s="126">
        <v>6.61</v>
      </c>
      <c r="H25" s="126">
        <v>6.61</v>
      </c>
      <c r="I25" s="144">
        <v>24</v>
      </c>
      <c r="J25" s="144" t="s">
        <v>996</v>
      </c>
      <c r="K25" s="144">
        <v>24</v>
      </c>
      <c r="L25" s="144" t="s">
        <v>996</v>
      </c>
      <c r="M25" s="144">
        <v>24</v>
      </c>
      <c r="N25" s="144" t="s">
        <v>996</v>
      </c>
      <c r="O25" s="144">
        <v>24</v>
      </c>
      <c r="P25" s="144" t="s">
        <v>996</v>
      </c>
      <c r="Q25" s="206">
        <v>30</v>
      </c>
      <c r="R25" s="145">
        <f t="shared" si="0"/>
        <v>4759.2000000000007</v>
      </c>
      <c r="S25" s="146">
        <f t="shared" si="1"/>
        <v>4759.2000000000007</v>
      </c>
      <c r="T25" s="146">
        <f t="shared" si="2"/>
        <v>4759.2000000000007</v>
      </c>
      <c r="U25" s="146">
        <f t="shared" si="3"/>
        <v>4759.2000000000007</v>
      </c>
      <c r="V25" s="145">
        <f t="shared" si="4"/>
        <v>4759.2000000000007</v>
      </c>
      <c r="W25" s="146">
        <f t="shared" si="5"/>
        <v>4759.2000000000007</v>
      </c>
      <c r="X25" s="146">
        <f t="shared" si="6"/>
        <v>4759.2000000000007</v>
      </c>
      <c r="Y25" s="146">
        <f t="shared" si="7"/>
        <v>4759.2000000000007</v>
      </c>
      <c r="Z25" s="147">
        <f t="shared" si="8"/>
        <v>1</v>
      </c>
      <c r="AA25" s="147">
        <f t="shared" si="8"/>
        <v>1</v>
      </c>
      <c r="AB25" s="147">
        <f t="shared" si="8"/>
        <v>1</v>
      </c>
      <c r="AC25" s="147">
        <f t="shared" si="8"/>
        <v>1</v>
      </c>
    </row>
    <row r="26" spans="1:29" s="96" customFormat="1">
      <c r="A26" s="92">
        <v>21</v>
      </c>
      <c r="B26" s="457" t="s">
        <v>592</v>
      </c>
      <c r="C26" s="92">
        <v>1</v>
      </c>
      <c r="D26" s="92">
        <v>1</v>
      </c>
      <c r="E26" s="92">
        <v>1</v>
      </c>
      <c r="F26" s="92">
        <v>1</v>
      </c>
      <c r="G26" s="126">
        <v>9.2899999999999991</v>
      </c>
      <c r="H26" s="126">
        <v>9.2899999999999991</v>
      </c>
      <c r="I26" s="144">
        <v>24</v>
      </c>
      <c r="J26" s="144" t="s">
        <v>996</v>
      </c>
      <c r="K26" s="144">
        <v>24</v>
      </c>
      <c r="L26" s="144" t="s">
        <v>996</v>
      </c>
      <c r="M26" s="144">
        <v>24</v>
      </c>
      <c r="N26" s="144" t="s">
        <v>996</v>
      </c>
      <c r="O26" s="144">
        <v>24</v>
      </c>
      <c r="P26" s="144" t="s">
        <v>996</v>
      </c>
      <c r="Q26" s="206">
        <v>30</v>
      </c>
      <c r="R26" s="145">
        <f t="shared" si="0"/>
        <v>6688.7999999999993</v>
      </c>
      <c r="S26" s="146">
        <f t="shared" si="1"/>
        <v>6688.7999999999993</v>
      </c>
      <c r="T26" s="146">
        <f t="shared" si="2"/>
        <v>6688.7999999999993</v>
      </c>
      <c r="U26" s="146">
        <f t="shared" si="3"/>
        <v>6688.7999999999993</v>
      </c>
      <c r="V26" s="145">
        <f t="shared" si="4"/>
        <v>6688.7999999999993</v>
      </c>
      <c r="W26" s="146">
        <f t="shared" si="5"/>
        <v>6688.7999999999993</v>
      </c>
      <c r="X26" s="146">
        <f t="shared" si="6"/>
        <v>6688.7999999999993</v>
      </c>
      <c r="Y26" s="146">
        <f t="shared" si="7"/>
        <v>6688.7999999999993</v>
      </c>
      <c r="Z26" s="147">
        <f t="shared" si="8"/>
        <v>1</v>
      </c>
      <c r="AA26" s="147">
        <f t="shared" si="8"/>
        <v>1</v>
      </c>
      <c r="AB26" s="147">
        <f t="shared" si="8"/>
        <v>1</v>
      </c>
      <c r="AC26" s="147">
        <f t="shared" si="8"/>
        <v>1</v>
      </c>
    </row>
    <row r="27" spans="1:29" s="96" customFormat="1">
      <c r="A27" s="92">
        <v>22</v>
      </c>
      <c r="B27" s="457" t="s">
        <v>1199</v>
      </c>
      <c r="C27" s="92">
        <v>1</v>
      </c>
      <c r="D27" s="92">
        <v>1</v>
      </c>
      <c r="E27" s="92">
        <v>1</v>
      </c>
      <c r="F27" s="92">
        <v>1</v>
      </c>
      <c r="G27" s="126">
        <v>36.5</v>
      </c>
      <c r="H27" s="126">
        <v>36.5</v>
      </c>
      <c r="I27" s="144">
        <v>4</v>
      </c>
      <c r="J27" s="144" t="s">
        <v>1175</v>
      </c>
      <c r="K27" s="144">
        <v>5</v>
      </c>
      <c r="L27" s="144" t="s">
        <v>1179</v>
      </c>
      <c r="M27" s="144">
        <v>8</v>
      </c>
      <c r="N27" s="144" t="s">
        <v>1186</v>
      </c>
      <c r="O27" s="144">
        <v>15</v>
      </c>
      <c r="P27" s="144" t="s">
        <v>1187</v>
      </c>
      <c r="Q27" s="206">
        <v>30</v>
      </c>
      <c r="R27" s="145">
        <f t="shared" si="0"/>
        <v>4380</v>
      </c>
      <c r="S27" s="146">
        <f t="shared" si="1"/>
        <v>5475</v>
      </c>
      <c r="T27" s="146">
        <f t="shared" si="2"/>
        <v>8760</v>
      </c>
      <c r="U27" s="146">
        <f t="shared" si="3"/>
        <v>16425</v>
      </c>
      <c r="V27" s="145">
        <f t="shared" si="4"/>
        <v>4380</v>
      </c>
      <c r="W27" s="146">
        <f t="shared" si="5"/>
        <v>5475</v>
      </c>
      <c r="X27" s="146">
        <f t="shared" si="6"/>
        <v>8760</v>
      </c>
      <c r="Y27" s="146">
        <f t="shared" si="7"/>
        <v>16425</v>
      </c>
      <c r="Z27" s="147">
        <f t="shared" ref="Z27:AC28" si="9">V27/R27</f>
        <v>1</v>
      </c>
      <c r="AA27" s="147">
        <f t="shared" si="9"/>
        <v>1</v>
      </c>
      <c r="AB27" s="147">
        <f t="shared" si="9"/>
        <v>1</v>
      </c>
      <c r="AC27" s="147">
        <f t="shared" si="9"/>
        <v>1</v>
      </c>
    </row>
    <row r="28" spans="1:29" s="96" customFormat="1">
      <c r="A28" s="92">
        <v>23</v>
      </c>
      <c r="B28" s="457" t="s">
        <v>1200</v>
      </c>
      <c r="C28" s="92">
        <v>1</v>
      </c>
      <c r="D28" s="92">
        <v>1</v>
      </c>
      <c r="E28" s="92">
        <v>1</v>
      </c>
      <c r="F28" s="92">
        <v>1</v>
      </c>
      <c r="G28" s="126">
        <v>0.75</v>
      </c>
      <c r="H28" s="126">
        <v>0.75</v>
      </c>
      <c r="I28" s="144">
        <v>1.5</v>
      </c>
      <c r="J28" s="144" t="s">
        <v>1201</v>
      </c>
      <c r="K28" s="144">
        <v>1.5</v>
      </c>
      <c r="L28" s="144" t="s">
        <v>1201</v>
      </c>
      <c r="M28" s="144">
        <v>2</v>
      </c>
      <c r="N28" s="144" t="s">
        <v>1193</v>
      </c>
      <c r="O28" s="144">
        <v>2.5</v>
      </c>
      <c r="P28" s="144" t="s">
        <v>1202</v>
      </c>
      <c r="Q28" s="206">
        <v>30</v>
      </c>
      <c r="R28" s="145">
        <f t="shared" si="0"/>
        <v>33.75</v>
      </c>
      <c r="S28" s="146">
        <f t="shared" si="1"/>
        <v>33.75</v>
      </c>
      <c r="T28" s="146">
        <f t="shared" si="2"/>
        <v>45</v>
      </c>
      <c r="U28" s="146">
        <f t="shared" si="3"/>
        <v>56.25</v>
      </c>
      <c r="V28" s="145">
        <f t="shared" si="4"/>
        <v>33.75</v>
      </c>
      <c r="W28" s="146">
        <f t="shared" si="5"/>
        <v>33.75</v>
      </c>
      <c r="X28" s="146">
        <f t="shared" si="6"/>
        <v>45</v>
      </c>
      <c r="Y28" s="146">
        <f t="shared" si="7"/>
        <v>56.25</v>
      </c>
      <c r="Z28" s="147">
        <f t="shared" si="9"/>
        <v>1</v>
      </c>
      <c r="AA28" s="147">
        <f t="shared" si="9"/>
        <v>1</v>
      </c>
      <c r="AB28" s="147">
        <f t="shared" si="9"/>
        <v>1</v>
      </c>
      <c r="AC28" s="147">
        <f t="shared" si="9"/>
        <v>1</v>
      </c>
    </row>
    <row r="29" spans="1:29" ht="38.450000000000003" customHeight="1">
      <c r="A29" s="816" t="s">
        <v>564</v>
      </c>
      <c r="B29" s="816"/>
      <c r="C29" s="816"/>
      <c r="D29" s="816"/>
      <c r="E29" s="816"/>
      <c r="F29" s="816"/>
      <c r="G29" s="816"/>
      <c r="H29" s="816"/>
      <c r="I29" s="816"/>
      <c r="J29" s="816"/>
      <c r="K29" s="816"/>
      <c r="L29" s="816"/>
      <c r="M29" s="816"/>
      <c r="N29" s="816"/>
      <c r="O29" s="816"/>
      <c r="P29" s="816"/>
      <c r="Q29" s="816"/>
      <c r="R29" s="456">
        <f t="shared" ref="R29:Y29" si="10">SUM(R6:R26)</f>
        <v>58704.600000000006</v>
      </c>
      <c r="S29" s="456">
        <f t="shared" si="10"/>
        <v>61031.100000000006</v>
      </c>
      <c r="T29" s="456">
        <f t="shared" si="10"/>
        <v>65925</v>
      </c>
      <c r="U29" s="456">
        <f t="shared" si="10"/>
        <v>73590.000000000015</v>
      </c>
      <c r="V29" s="456">
        <f t="shared" si="10"/>
        <v>58704.600000000006</v>
      </c>
      <c r="W29" s="456">
        <f t="shared" si="10"/>
        <v>61031.100000000006</v>
      </c>
      <c r="X29" s="456">
        <f t="shared" si="10"/>
        <v>65925</v>
      </c>
      <c r="Y29" s="456">
        <f t="shared" si="10"/>
        <v>73590.000000000015</v>
      </c>
      <c r="Z29" s="126"/>
      <c r="AA29" s="126"/>
      <c r="AB29" s="126"/>
      <c r="AC29" s="126"/>
    </row>
    <row r="32" spans="1:29" ht="18.75">
      <c r="P32" s="287" t="s">
        <v>615</v>
      </c>
    </row>
    <row r="93" spans="1:3">
      <c r="A93" s="136"/>
      <c r="C93" s="136"/>
    </row>
  </sheetData>
  <mergeCells count="16">
    <mergeCell ref="A29:Q29"/>
    <mergeCell ref="A1:AB1"/>
    <mergeCell ref="A2:A3"/>
    <mergeCell ref="B2:B3"/>
    <mergeCell ref="C2:F2"/>
    <mergeCell ref="G2:G3"/>
    <mergeCell ref="H2:H3"/>
    <mergeCell ref="I2:P2"/>
    <mergeCell ref="Q2:Q3"/>
    <mergeCell ref="R2:U2"/>
    <mergeCell ref="V2:Y2"/>
    <mergeCell ref="Z2:AC2"/>
    <mergeCell ref="I3:J3"/>
    <mergeCell ref="K3:L3"/>
    <mergeCell ref="M3:N3"/>
    <mergeCell ref="O3:P3"/>
  </mergeCells>
  <pageMargins left="0.7" right="0.2" top="0.75" bottom="0.75" header="0.3" footer="0.3"/>
  <pageSetup scale="50" orientation="landscape" r:id="rId1"/>
  <colBreaks count="1" manualBreakCount="1">
    <brk id="17" max="27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BB7E-DC24-41B8-AD0C-7A21E7306C65}">
  <dimension ref="A1:AF35"/>
  <sheetViews>
    <sheetView view="pageBreakPreview" zoomScale="60" zoomScaleNormal="70" workbookViewId="0">
      <selection activeCell="P11" sqref="P11"/>
    </sheetView>
  </sheetViews>
  <sheetFormatPr defaultColWidth="8.85546875" defaultRowHeight="15"/>
  <cols>
    <col min="1" max="1" width="9.140625" style="137" customWidth="1"/>
    <col min="2" max="2" width="49.42578125" style="136" customWidth="1"/>
    <col min="3" max="3" width="10.42578125" style="136" customWidth="1"/>
    <col min="4" max="4" width="11.42578125" style="136" customWidth="1"/>
    <col min="5" max="6" width="10.42578125" style="136" customWidth="1"/>
    <col min="7" max="7" width="15.42578125" style="136" hidden="1" customWidth="1"/>
    <col min="8" max="11" width="11.42578125" style="137" hidden="1" customWidth="1"/>
    <col min="12" max="12" width="15.140625" style="278" bestFit="1" customWidth="1"/>
    <col min="13" max="13" width="22.7109375" style="136" customWidth="1"/>
    <col min="14" max="14" width="15.140625" style="96" bestFit="1" customWidth="1"/>
    <col min="15" max="15" width="21.5703125" style="136" customWidth="1"/>
    <col min="16" max="16" width="15.140625" style="96" bestFit="1" customWidth="1"/>
    <col min="17" max="17" width="23.85546875" style="136" customWidth="1"/>
    <col min="18" max="18" width="15.140625" style="96" bestFit="1" customWidth="1"/>
    <col min="19" max="19" width="24" style="136" customWidth="1"/>
    <col min="20" max="20" width="19" style="136" customWidth="1"/>
    <col min="21" max="22" width="13.7109375" style="136" hidden="1" customWidth="1"/>
    <col min="23" max="24" width="14.140625" style="136" hidden="1" customWidth="1"/>
    <col min="25" max="25" width="17.7109375" style="136" hidden="1" customWidth="1"/>
    <col min="26" max="28" width="16.7109375" style="136" hidden="1" customWidth="1"/>
    <col min="29" max="29" width="13.7109375" style="136" hidden="1" customWidth="1"/>
    <col min="30" max="30" width="7.7109375" style="136" hidden="1" customWidth="1"/>
    <col min="31" max="31" width="6" style="136" hidden="1" customWidth="1"/>
    <col min="32" max="32" width="8.140625" style="136" hidden="1" customWidth="1"/>
    <col min="33" max="33" width="30.140625" style="136" customWidth="1"/>
    <col min="34" max="16384" width="8.85546875" style="136"/>
  </cols>
  <sheetData>
    <row r="1" spans="1:32" s="96" customFormat="1" ht="36.6" customHeight="1">
      <c r="A1" s="741" t="s">
        <v>662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2"/>
      <c r="M1" s="742"/>
      <c r="N1" s="741"/>
      <c r="O1" s="741"/>
      <c r="P1" s="741"/>
      <c r="Q1" s="741"/>
      <c r="R1" s="741"/>
      <c r="S1" s="741"/>
      <c r="T1" s="741"/>
      <c r="U1" s="741"/>
      <c r="V1" s="741"/>
      <c r="W1" s="741"/>
      <c r="X1" s="741"/>
      <c r="Y1" s="741"/>
      <c r="Z1" s="741"/>
      <c r="AA1" s="741"/>
      <c r="AB1" s="741"/>
      <c r="AC1" s="741"/>
      <c r="AD1" s="741"/>
      <c r="AE1" s="741"/>
      <c r="AF1" s="275"/>
    </row>
    <row r="2" spans="1:32" ht="15.75">
      <c r="A2" s="743" t="s">
        <v>1</v>
      </c>
      <c r="B2" s="743" t="s">
        <v>2</v>
      </c>
      <c r="C2" s="736" t="s">
        <v>536</v>
      </c>
      <c r="D2" s="736"/>
      <c r="E2" s="736"/>
      <c r="F2" s="737"/>
      <c r="G2" s="743" t="s">
        <v>8</v>
      </c>
      <c r="H2" s="823" t="s">
        <v>497</v>
      </c>
      <c r="I2" s="823"/>
      <c r="J2" s="823"/>
      <c r="K2" s="824"/>
      <c r="L2" s="736" t="s">
        <v>616</v>
      </c>
      <c r="M2" s="736"/>
      <c r="N2" s="736"/>
      <c r="O2" s="736"/>
      <c r="P2" s="736"/>
      <c r="Q2" s="736"/>
      <c r="R2" s="736"/>
      <c r="S2" s="737"/>
      <c r="T2" s="743" t="s">
        <v>5</v>
      </c>
      <c r="U2" s="738" t="s">
        <v>501</v>
      </c>
      <c r="V2" s="736"/>
      <c r="W2" s="736"/>
      <c r="X2" s="737"/>
      <c r="Y2" s="738" t="s">
        <v>502</v>
      </c>
      <c r="Z2" s="736"/>
      <c r="AA2" s="736"/>
      <c r="AB2" s="737"/>
      <c r="AC2" s="738" t="s">
        <v>503</v>
      </c>
      <c r="AD2" s="736"/>
      <c r="AE2" s="736"/>
      <c r="AF2" s="737"/>
    </row>
    <row r="3" spans="1:32" ht="94.5">
      <c r="A3" s="744"/>
      <c r="B3" s="744"/>
      <c r="C3" s="279" t="s">
        <v>612</v>
      </c>
      <c r="D3" s="279" t="s">
        <v>613</v>
      </c>
      <c r="E3" s="279" t="s">
        <v>534</v>
      </c>
      <c r="F3" s="279" t="s">
        <v>535</v>
      </c>
      <c r="G3" s="744"/>
      <c r="H3" s="279" t="s">
        <v>612</v>
      </c>
      <c r="I3" s="279" t="s">
        <v>613</v>
      </c>
      <c r="J3" s="279" t="s">
        <v>534</v>
      </c>
      <c r="K3" s="279" t="s">
        <v>535</v>
      </c>
      <c r="L3" s="736" t="s">
        <v>612</v>
      </c>
      <c r="M3" s="737"/>
      <c r="N3" s="738" t="s">
        <v>613</v>
      </c>
      <c r="O3" s="737"/>
      <c r="P3" s="739" t="s">
        <v>534</v>
      </c>
      <c r="Q3" s="739"/>
      <c r="R3" s="739" t="s">
        <v>535</v>
      </c>
      <c r="S3" s="739"/>
      <c r="T3" s="744"/>
      <c r="U3" s="279" t="s">
        <v>612</v>
      </c>
      <c r="V3" s="279" t="s">
        <v>613</v>
      </c>
      <c r="W3" s="279" t="s">
        <v>534</v>
      </c>
      <c r="X3" s="279" t="s">
        <v>535</v>
      </c>
      <c r="Y3" s="279" t="s">
        <v>612</v>
      </c>
      <c r="Z3" s="279" t="s">
        <v>613</v>
      </c>
      <c r="AA3" s="279" t="s">
        <v>534</v>
      </c>
      <c r="AB3" s="279" t="s">
        <v>535</v>
      </c>
      <c r="AC3" s="279" t="s">
        <v>612</v>
      </c>
      <c r="AD3" s="279" t="s">
        <v>613</v>
      </c>
      <c r="AE3" s="279" t="s">
        <v>534</v>
      </c>
      <c r="AF3" s="279" t="s">
        <v>535</v>
      </c>
    </row>
    <row r="4" spans="1:32" ht="31.5">
      <c r="A4" s="279"/>
      <c r="B4" s="279"/>
      <c r="C4" s="284"/>
      <c r="D4" s="284"/>
      <c r="E4" s="284"/>
      <c r="F4" s="284"/>
      <c r="G4" s="279"/>
      <c r="H4" s="279"/>
      <c r="I4" s="279"/>
      <c r="J4" s="279"/>
      <c r="K4" s="279"/>
      <c r="L4" s="279" t="s">
        <v>498</v>
      </c>
      <c r="M4" s="284" t="s">
        <v>496</v>
      </c>
      <c r="N4" s="279" t="s">
        <v>498</v>
      </c>
      <c r="O4" s="284" t="s">
        <v>496</v>
      </c>
      <c r="P4" s="279" t="s">
        <v>498</v>
      </c>
      <c r="Q4" s="284" t="s">
        <v>496</v>
      </c>
      <c r="R4" s="279" t="s">
        <v>498</v>
      </c>
      <c r="S4" s="284" t="s">
        <v>496</v>
      </c>
      <c r="T4" s="280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</row>
    <row r="5" spans="1:32" s="128" customFormat="1" ht="25.5" customHeight="1">
      <c r="A5" s="133" t="s">
        <v>6</v>
      </c>
      <c r="B5" s="820" t="s">
        <v>539</v>
      </c>
      <c r="C5" s="821"/>
      <c r="D5" s="821"/>
      <c r="E5" s="821"/>
      <c r="F5" s="821"/>
      <c r="G5" s="821"/>
      <c r="H5" s="821"/>
      <c r="I5" s="821"/>
      <c r="J5" s="821"/>
      <c r="K5" s="821"/>
      <c r="L5" s="821"/>
      <c r="M5" s="821"/>
      <c r="N5" s="821"/>
      <c r="O5" s="821"/>
      <c r="P5" s="821"/>
      <c r="Q5" s="821"/>
      <c r="R5" s="821"/>
      <c r="S5" s="821"/>
      <c r="T5" s="821"/>
      <c r="U5" s="821"/>
      <c r="V5" s="821"/>
      <c r="W5" s="821"/>
      <c r="X5" s="821"/>
      <c r="Y5" s="821"/>
      <c r="Z5" s="821"/>
      <c r="AA5" s="821"/>
      <c r="AB5" s="821"/>
      <c r="AC5" s="821"/>
      <c r="AD5" s="821"/>
      <c r="AE5" s="821"/>
      <c r="AF5" s="822"/>
    </row>
    <row r="6" spans="1:32" s="128" customFormat="1" ht="39.950000000000003" customHeight="1">
      <c r="A6" s="130">
        <v>1</v>
      </c>
      <c r="B6" s="93" t="s">
        <v>273</v>
      </c>
      <c r="C6" s="14">
        <v>2</v>
      </c>
      <c r="D6" s="14">
        <v>2</v>
      </c>
      <c r="E6" s="14">
        <v>3</v>
      </c>
      <c r="F6" s="14">
        <v>3</v>
      </c>
      <c r="G6" s="130"/>
      <c r="H6" s="130"/>
      <c r="I6" s="130"/>
      <c r="J6" s="130"/>
      <c r="K6" s="130"/>
      <c r="L6" s="462">
        <v>11.5</v>
      </c>
      <c r="M6" s="14" t="s">
        <v>1203</v>
      </c>
      <c r="N6" s="462">
        <v>11.5</v>
      </c>
      <c r="O6" s="14" t="s">
        <v>1203</v>
      </c>
      <c r="P6" s="462">
        <v>11.5</v>
      </c>
      <c r="Q6" s="14" t="s">
        <v>1203</v>
      </c>
      <c r="R6" s="462">
        <v>11.5</v>
      </c>
      <c r="S6" s="14" t="s">
        <v>1203</v>
      </c>
      <c r="T6" s="130">
        <v>30</v>
      </c>
      <c r="U6" s="215">
        <f t="shared" ref="U6:U13" si="0">C6*G6*L6*T6</f>
        <v>0</v>
      </c>
      <c r="V6" s="131">
        <f t="shared" ref="V6:V13" si="1">D6*G6*N6*T6</f>
        <v>0</v>
      </c>
      <c r="W6" s="131">
        <f t="shared" ref="W6:W13" si="2">E6*G6*P6*T6</f>
        <v>0</v>
      </c>
      <c r="X6" s="131">
        <f t="shared" ref="X6:X13" si="3">F6*G6*R6*T6</f>
        <v>0</v>
      </c>
      <c r="Y6" s="215">
        <f t="shared" ref="Y6:Y13" si="4">C6*H6*L6*T6</f>
        <v>0</v>
      </c>
      <c r="Z6" s="131">
        <f t="shared" ref="Z6:Z13" si="5">D6*I6*N6*T6</f>
        <v>0</v>
      </c>
      <c r="AA6" s="131">
        <f>E6*J6*P6*T6</f>
        <v>0</v>
      </c>
      <c r="AB6" s="131">
        <f t="shared" ref="AB6:AB13" si="6">F6*K6*R6*T6</f>
        <v>0</v>
      </c>
      <c r="AC6" s="216" t="e">
        <f t="shared" ref="AC6:AF13" si="7">Y6/U6</f>
        <v>#DIV/0!</v>
      </c>
      <c r="AD6" s="216" t="e">
        <f t="shared" si="7"/>
        <v>#DIV/0!</v>
      </c>
      <c r="AE6" s="216" t="e">
        <f t="shared" si="7"/>
        <v>#DIV/0!</v>
      </c>
      <c r="AF6" s="216" t="e">
        <f t="shared" si="7"/>
        <v>#DIV/0!</v>
      </c>
    </row>
    <row r="7" spans="1:32" s="128" customFormat="1" ht="39.950000000000003" customHeight="1">
      <c r="A7" s="130">
        <v>2</v>
      </c>
      <c r="B7" s="93" t="s">
        <v>1204</v>
      </c>
      <c r="C7" s="14">
        <v>1</v>
      </c>
      <c r="D7" s="14">
        <v>1</v>
      </c>
      <c r="E7" s="14">
        <v>1</v>
      </c>
      <c r="F7" s="14">
        <v>1</v>
      </c>
      <c r="G7" s="130"/>
      <c r="H7" s="130"/>
      <c r="I7" s="130"/>
      <c r="J7" s="130"/>
      <c r="K7" s="130"/>
      <c r="L7" s="462">
        <v>4</v>
      </c>
      <c r="M7" s="14" t="s">
        <v>1205</v>
      </c>
      <c r="N7" s="462">
        <v>4</v>
      </c>
      <c r="O7" s="14" t="s">
        <v>1205</v>
      </c>
      <c r="P7" s="462">
        <v>4</v>
      </c>
      <c r="Q7" s="14" t="s">
        <v>1205</v>
      </c>
      <c r="R7" s="462">
        <v>4</v>
      </c>
      <c r="S7" s="14" t="s">
        <v>1205</v>
      </c>
      <c r="T7" s="130">
        <v>30</v>
      </c>
      <c r="U7" s="215">
        <f t="shared" si="0"/>
        <v>0</v>
      </c>
      <c r="V7" s="131">
        <f t="shared" si="1"/>
        <v>0</v>
      </c>
      <c r="W7" s="131">
        <f t="shared" si="2"/>
        <v>0</v>
      </c>
      <c r="X7" s="131">
        <f t="shared" si="3"/>
        <v>0</v>
      </c>
      <c r="Y7" s="215">
        <f t="shared" si="4"/>
        <v>0</v>
      </c>
      <c r="Z7" s="131">
        <f t="shared" si="5"/>
        <v>0</v>
      </c>
      <c r="AA7" s="131">
        <f t="shared" ref="AA7:AA13" si="8">E7*K7*P7*T7</f>
        <v>0</v>
      </c>
      <c r="AB7" s="131">
        <f t="shared" si="6"/>
        <v>0</v>
      </c>
      <c r="AC7" s="216" t="e">
        <f t="shared" si="7"/>
        <v>#DIV/0!</v>
      </c>
      <c r="AD7" s="216" t="e">
        <f t="shared" si="7"/>
        <v>#DIV/0!</v>
      </c>
      <c r="AE7" s="216" t="e">
        <f t="shared" si="7"/>
        <v>#DIV/0!</v>
      </c>
      <c r="AF7" s="216" t="e">
        <f t="shared" si="7"/>
        <v>#DIV/0!</v>
      </c>
    </row>
    <row r="8" spans="1:32" s="128" customFormat="1" ht="39.950000000000003" customHeight="1">
      <c r="A8" s="130">
        <v>3</v>
      </c>
      <c r="B8" s="93" t="s">
        <v>509</v>
      </c>
      <c r="C8" s="14">
        <v>0</v>
      </c>
      <c r="D8" s="14">
        <v>0</v>
      </c>
      <c r="E8" s="14">
        <v>2</v>
      </c>
      <c r="F8" s="14">
        <v>2</v>
      </c>
      <c r="G8" s="130"/>
      <c r="H8" s="130"/>
      <c r="I8" s="130"/>
      <c r="J8" s="130"/>
      <c r="K8" s="130"/>
      <c r="L8" s="462">
        <v>0</v>
      </c>
      <c r="M8" s="14" t="s">
        <v>863</v>
      </c>
      <c r="N8" s="462">
        <v>0</v>
      </c>
      <c r="O8" s="14" t="s">
        <v>863</v>
      </c>
      <c r="P8" s="462">
        <v>6</v>
      </c>
      <c r="Q8" s="463" t="s">
        <v>1206</v>
      </c>
      <c r="R8" s="462">
        <v>6.5</v>
      </c>
      <c r="S8" s="463" t="s">
        <v>1207</v>
      </c>
      <c r="T8" s="130">
        <v>30</v>
      </c>
      <c r="U8" s="215">
        <f t="shared" si="0"/>
        <v>0</v>
      </c>
      <c r="V8" s="131">
        <f t="shared" si="1"/>
        <v>0</v>
      </c>
      <c r="W8" s="131">
        <f t="shared" si="2"/>
        <v>0</v>
      </c>
      <c r="X8" s="131">
        <f t="shared" si="3"/>
        <v>0</v>
      </c>
      <c r="Y8" s="215">
        <f t="shared" si="4"/>
        <v>0</v>
      </c>
      <c r="Z8" s="131">
        <f t="shared" si="5"/>
        <v>0</v>
      </c>
      <c r="AA8" s="131">
        <f t="shared" si="8"/>
        <v>0</v>
      </c>
      <c r="AB8" s="131">
        <f t="shared" si="6"/>
        <v>0</v>
      </c>
      <c r="AC8" s="216" t="e">
        <f t="shared" si="7"/>
        <v>#DIV/0!</v>
      </c>
      <c r="AD8" s="216" t="e">
        <f t="shared" si="7"/>
        <v>#DIV/0!</v>
      </c>
      <c r="AE8" s="216" t="e">
        <f t="shared" si="7"/>
        <v>#DIV/0!</v>
      </c>
      <c r="AF8" s="216" t="e">
        <f t="shared" si="7"/>
        <v>#DIV/0!</v>
      </c>
    </row>
    <row r="9" spans="1:32" s="128" customFormat="1" ht="39.950000000000003" customHeight="1">
      <c r="A9" s="130">
        <v>4</v>
      </c>
      <c r="B9" s="93" t="s">
        <v>514</v>
      </c>
      <c r="C9" s="14">
        <v>0</v>
      </c>
      <c r="D9" s="14">
        <v>0</v>
      </c>
      <c r="E9" s="14">
        <v>0</v>
      </c>
      <c r="F9" s="14">
        <v>0</v>
      </c>
      <c r="G9" s="130"/>
      <c r="H9" s="130"/>
      <c r="I9" s="130"/>
      <c r="J9" s="130"/>
      <c r="K9" s="130"/>
      <c r="L9" s="462">
        <v>0</v>
      </c>
      <c r="M9" s="14" t="s">
        <v>863</v>
      </c>
      <c r="N9" s="462">
        <v>0</v>
      </c>
      <c r="O9" s="14" t="s">
        <v>863</v>
      </c>
      <c r="P9" s="462">
        <v>0</v>
      </c>
      <c r="Q9" s="14" t="s">
        <v>863</v>
      </c>
      <c r="R9" s="462">
        <v>0</v>
      </c>
      <c r="S9" s="14" t="s">
        <v>863</v>
      </c>
      <c r="T9" s="130"/>
      <c r="U9" s="215">
        <f t="shared" si="0"/>
        <v>0</v>
      </c>
      <c r="V9" s="131">
        <f t="shared" si="1"/>
        <v>0</v>
      </c>
      <c r="W9" s="131">
        <f t="shared" si="2"/>
        <v>0</v>
      </c>
      <c r="X9" s="131">
        <f t="shared" si="3"/>
        <v>0</v>
      </c>
      <c r="Y9" s="215">
        <f t="shared" si="4"/>
        <v>0</v>
      </c>
      <c r="Z9" s="131">
        <f t="shared" si="5"/>
        <v>0</v>
      </c>
      <c r="AA9" s="131">
        <f t="shared" si="8"/>
        <v>0</v>
      </c>
      <c r="AB9" s="131">
        <f t="shared" si="6"/>
        <v>0</v>
      </c>
      <c r="AC9" s="216" t="e">
        <f t="shared" si="7"/>
        <v>#DIV/0!</v>
      </c>
      <c r="AD9" s="216" t="e">
        <f t="shared" si="7"/>
        <v>#DIV/0!</v>
      </c>
      <c r="AE9" s="216" t="e">
        <f t="shared" si="7"/>
        <v>#DIV/0!</v>
      </c>
      <c r="AF9" s="216" t="e">
        <f t="shared" si="7"/>
        <v>#DIV/0!</v>
      </c>
    </row>
    <row r="10" spans="1:32" s="128" customFormat="1" ht="39.950000000000003" customHeight="1">
      <c r="A10" s="130">
        <v>5</v>
      </c>
      <c r="B10" s="93" t="s">
        <v>510</v>
      </c>
      <c r="C10" s="14">
        <v>0</v>
      </c>
      <c r="D10" s="14">
        <v>0</v>
      </c>
      <c r="E10" s="14">
        <v>2</v>
      </c>
      <c r="F10" s="14">
        <v>2</v>
      </c>
      <c r="G10" s="130"/>
      <c r="H10" s="130"/>
      <c r="I10" s="130"/>
      <c r="J10" s="130"/>
      <c r="K10" s="130"/>
      <c r="L10" s="462">
        <v>0</v>
      </c>
      <c r="M10" s="14" t="s">
        <v>863</v>
      </c>
      <c r="N10" s="462">
        <v>0</v>
      </c>
      <c r="O10" s="14" t="s">
        <v>863</v>
      </c>
      <c r="P10" s="462">
        <v>6</v>
      </c>
      <c r="Q10" s="463" t="s">
        <v>1206</v>
      </c>
      <c r="R10" s="462">
        <v>6</v>
      </c>
      <c r="S10" s="463" t="s">
        <v>1208</v>
      </c>
      <c r="T10" s="130">
        <v>30</v>
      </c>
      <c r="U10" s="215">
        <f t="shared" si="0"/>
        <v>0</v>
      </c>
      <c r="V10" s="131">
        <f t="shared" si="1"/>
        <v>0</v>
      </c>
      <c r="W10" s="131">
        <f t="shared" si="2"/>
        <v>0</v>
      </c>
      <c r="X10" s="131">
        <f t="shared" si="3"/>
        <v>0</v>
      </c>
      <c r="Y10" s="215">
        <f t="shared" si="4"/>
        <v>0</v>
      </c>
      <c r="Z10" s="131">
        <f t="shared" si="5"/>
        <v>0</v>
      </c>
      <c r="AA10" s="131">
        <f t="shared" si="8"/>
        <v>0</v>
      </c>
      <c r="AB10" s="131">
        <f t="shared" si="6"/>
        <v>0</v>
      </c>
      <c r="AC10" s="216" t="e">
        <f t="shared" si="7"/>
        <v>#DIV/0!</v>
      </c>
      <c r="AD10" s="216" t="e">
        <f t="shared" si="7"/>
        <v>#DIV/0!</v>
      </c>
      <c r="AE10" s="216" t="e">
        <f t="shared" si="7"/>
        <v>#DIV/0!</v>
      </c>
      <c r="AF10" s="216" t="e">
        <f t="shared" si="7"/>
        <v>#DIV/0!</v>
      </c>
    </row>
    <row r="11" spans="1:32" s="128" customFormat="1" ht="39.950000000000003" customHeight="1">
      <c r="A11" s="130">
        <v>6</v>
      </c>
      <c r="B11" s="93" t="s">
        <v>519</v>
      </c>
      <c r="C11" s="14">
        <v>0</v>
      </c>
      <c r="D11" s="14">
        <v>0</v>
      </c>
      <c r="E11" s="14">
        <v>1</v>
      </c>
      <c r="F11" s="14">
        <v>1</v>
      </c>
      <c r="G11" s="130"/>
      <c r="H11" s="130"/>
      <c r="I11" s="130"/>
      <c r="J11" s="130"/>
      <c r="K11" s="130"/>
      <c r="L11" s="462">
        <v>0.5</v>
      </c>
      <c r="M11" s="130" t="s">
        <v>1209</v>
      </c>
      <c r="N11" s="462">
        <v>0.5</v>
      </c>
      <c r="O11" s="130" t="s">
        <v>1209</v>
      </c>
      <c r="P11" s="462">
        <v>1</v>
      </c>
      <c r="Q11" s="130" t="s">
        <v>1209</v>
      </c>
      <c r="R11" s="462">
        <v>1</v>
      </c>
      <c r="S11" s="130" t="s">
        <v>1209</v>
      </c>
      <c r="T11" s="130">
        <v>30</v>
      </c>
      <c r="U11" s="215">
        <f t="shared" si="0"/>
        <v>0</v>
      </c>
      <c r="V11" s="131">
        <f t="shared" si="1"/>
        <v>0</v>
      </c>
      <c r="W11" s="131">
        <f t="shared" si="2"/>
        <v>0</v>
      </c>
      <c r="X11" s="131">
        <f t="shared" si="3"/>
        <v>0</v>
      </c>
      <c r="Y11" s="215">
        <f t="shared" si="4"/>
        <v>0</v>
      </c>
      <c r="Z11" s="131">
        <f t="shared" si="5"/>
        <v>0</v>
      </c>
      <c r="AA11" s="131">
        <f t="shared" si="8"/>
        <v>0</v>
      </c>
      <c r="AB11" s="131">
        <f t="shared" si="6"/>
        <v>0</v>
      </c>
      <c r="AC11" s="216" t="e">
        <f t="shared" si="7"/>
        <v>#DIV/0!</v>
      </c>
      <c r="AD11" s="216" t="e">
        <f t="shared" si="7"/>
        <v>#DIV/0!</v>
      </c>
      <c r="AE11" s="216" t="e">
        <f t="shared" si="7"/>
        <v>#DIV/0!</v>
      </c>
      <c r="AF11" s="216" t="e">
        <f t="shared" si="7"/>
        <v>#DIV/0!</v>
      </c>
    </row>
    <row r="12" spans="1:32" s="128" customFormat="1" ht="39.950000000000003" customHeight="1">
      <c r="A12" s="130">
        <v>7</v>
      </c>
      <c r="B12" s="93" t="s">
        <v>511</v>
      </c>
      <c r="C12" s="14">
        <v>12</v>
      </c>
      <c r="D12" s="14">
        <v>12</v>
      </c>
      <c r="E12" s="14">
        <v>12</v>
      </c>
      <c r="F12" s="14">
        <v>12</v>
      </c>
      <c r="G12" s="130"/>
      <c r="H12" s="130"/>
      <c r="I12" s="130"/>
      <c r="J12" s="130"/>
      <c r="K12" s="130"/>
      <c r="L12" s="133">
        <v>12</v>
      </c>
      <c r="M12" s="130" t="s">
        <v>1210</v>
      </c>
      <c r="N12" s="133">
        <v>12</v>
      </c>
      <c r="O12" s="130" t="s">
        <v>1210</v>
      </c>
      <c r="P12" s="133">
        <v>12</v>
      </c>
      <c r="Q12" s="130" t="s">
        <v>1211</v>
      </c>
      <c r="R12" s="133">
        <v>12</v>
      </c>
      <c r="S12" s="130" t="s">
        <v>1211</v>
      </c>
      <c r="T12" s="130">
        <v>30</v>
      </c>
      <c r="U12" s="215">
        <f t="shared" si="0"/>
        <v>0</v>
      </c>
      <c r="V12" s="131">
        <f t="shared" si="1"/>
        <v>0</v>
      </c>
      <c r="W12" s="131">
        <f t="shared" si="2"/>
        <v>0</v>
      </c>
      <c r="X12" s="131">
        <f t="shared" si="3"/>
        <v>0</v>
      </c>
      <c r="Y12" s="215">
        <f t="shared" si="4"/>
        <v>0</v>
      </c>
      <c r="Z12" s="131">
        <f t="shared" si="5"/>
        <v>0</v>
      </c>
      <c r="AA12" s="131">
        <f t="shared" si="8"/>
        <v>0</v>
      </c>
      <c r="AB12" s="131">
        <f t="shared" si="6"/>
        <v>0</v>
      </c>
      <c r="AC12" s="216" t="e">
        <f t="shared" si="7"/>
        <v>#DIV/0!</v>
      </c>
      <c r="AD12" s="216" t="e">
        <f t="shared" si="7"/>
        <v>#DIV/0!</v>
      </c>
      <c r="AE12" s="216" t="e">
        <f t="shared" si="7"/>
        <v>#DIV/0!</v>
      </c>
      <c r="AF12" s="216" t="e">
        <f t="shared" si="7"/>
        <v>#DIV/0!</v>
      </c>
    </row>
    <row r="13" spans="1:32" s="128" customFormat="1" ht="39.950000000000003" customHeight="1">
      <c r="A13" s="130">
        <v>8</v>
      </c>
      <c r="B13" s="93" t="s">
        <v>515</v>
      </c>
      <c r="C13" s="14">
        <v>2</v>
      </c>
      <c r="D13" s="14">
        <v>2</v>
      </c>
      <c r="E13" s="14">
        <v>2</v>
      </c>
      <c r="F13" s="14">
        <v>2</v>
      </c>
      <c r="G13" s="130"/>
      <c r="H13" s="130"/>
      <c r="I13" s="130"/>
      <c r="J13" s="130"/>
      <c r="K13" s="130"/>
      <c r="L13" s="462">
        <v>0</v>
      </c>
      <c r="M13" s="14" t="s">
        <v>1212</v>
      </c>
      <c r="N13" s="462">
        <v>0</v>
      </c>
      <c r="O13" s="14" t="s">
        <v>1213</v>
      </c>
      <c r="P13" s="462">
        <v>0</v>
      </c>
      <c r="Q13" s="14" t="s">
        <v>1213</v>
      </c>
      <c r="R13" s="462">
        <v>3</v>
      </c>
      <c r="S13" s="14" t="s">
        <v>1212</v>
      </c>
      <c r="T13" s="130">
        <v>30</v>
      </c>
      <c r="U13" s="215">
        <f t="shared" si="0"/>
        <v>0</v>
      </c>
      <c r="V13" s="131">
        <f t="shared" si="1"/>
        <v>0</v>
      </c>
      <c r="W13" s="131">
        <f t="shared" si="2"/>
        <v>0</v>
      </c>
      <c r="X13" s="131">
        <f t="shared" si="3"/>
        <v>0</v>
      </c>
      <c r="Y13" s="215">
        <f t="shared" si="4"/>
        <v>0</v>
      </c>
      <c r="Z13" s="131">
        <f t="shared" si="5"/>
        <v>0</v>
      </c>
      <c r="AA13" s="131">
        <f t="shared" si="8"/>
        <v>0</v>
      </c>
      <c r="AB13" s="131">
        <f t="shared" si="6"/>
        <v>0</v>
      </c>
      <c r="AC13" s="216" t="e">
        <f t="shared" si="7"/>
        <v>#DIV/0!</v>
      </c>
      <c r="AD13" s="216" t="e">
        <f t="shared" si="7"/>
        <v>#DIV/0!</v>
      </c>
      <c r="AE13" s="216" t="e">
        <f t="shared" si="7"/>
        <v>#DIV/0!</v>
      </c>
      <c r="AF13" s="216" t="e">
        <f t="shared" si="7"/>
        <v>#DIV/0!</v>
      </c>
    </row>
    <row r="14" spans="1:32" s="128" customFormat="1" ht="39.950000000000003" customHeight="1">
      <c r="A14" s="130">
        <v>9</v>
      </c>
      <c r="B14" s="93" t="s">
        <v>624</v>
      </c>
      <c r="C14" s="14">
        <v>2</v>
      </c>
      <c r="D14" s="14">
        <v>2</v>
      </c>
      <c r="E14" s="14">
        <v>2</v>
      </c>
      <c r="F14" s="14">
        <v>2</v>
      </c>
      <c r="G14" s="130"/>
      <c r="H14" s="130"/>
      <c r="I14" s="130"/>
      <c r="J14" s="130"/>
      <c r="K14" s="130"/>
      <c r="L14" s="133">
        <v>10.5</v>
      </c>
      <c r="M14" s="130" t="s">
        <v>1211</v>
      </c>
      <c r="N14" s="133">
        <v>14.5</v>
      </c>
      <c r="O14" s="14" t="s">
        <v>1214</v>
      </c>
      <c r="P14" s="133">
        <v>14.5</v>
      </c>
      <c r="Q14" s="14" t="s">
        <v>1214</v>
      </c>
      <c r="R14" s="133">
        <v>14.5</v>
      </c>
      <c r="S14" s="14" t="s">
        <v>1214</v>
      </c>
      <c r="T14" s="130">
        <v>30</v>
      </c>
      <c r="U14" s="215"/>
      <c r="V14" s="131"/>
      <c r="W14" s="131"/>
      <c r="X14" s="131"/>
      <c r="Y14" s="215"/>
      <c r="Z14" s="131"/>
      <c r="AA14" s="131"/>
      <c r="AB14" s="131"/>
      <c r="AC14" s="216"/>
      <c r="AD14" s="216"/>
      <c r="AE14" s="216"/>
      <c r="AF14" s="216"/>
    </row>
    <row r="15" spans="1:32" s="128" customFormat="1" ht="39.950000000000003" customHeight="1">
      <c r="A15" s="130">
        <v>10</v>
      </c>
      <c r="B15" s="93" t="s">
        <v>274</v>
      </c>
      <c r="C15" s="14">
        <v>2</v>
      </c>
      <c r="D15" s="14">
        <v>2</v>
      </c>
      <c r="E15" s="14">
        <v>2</v>
      </c>
      <c r="F15" s="14">
        <v>2</v>
      </c>
      <c r="G15" s="130"/>
      <c r="H15" s="130"/>
      <c r="I15" s="130"/>
      <c r="J15" s="130"/>
      <c r="K15" s="130"/>
      <c r="L15" s="462">
        <v>11.5</v>
      </c>
      <c r="M15" s="14" t="s">
        <v>1215</v>
      </c>
      <c r="N15" s="462">
        <v>11.5</v>
      </c>
      <c r="O15" s="14" t="s">
        <v>1215</v>
      </c>
      <c r="P15" s="462">
        <v>11.5</v>
      </c>
      <c r="Q15" s="14" t="s">
        <v>1215</v>
      </c>
      <c r="R15" s="462">
        <v>11.5</v>
      </c>
      <c r="S15" s="14" t="s">
        <v>1215</v>
      </c>
      <c r="T15" s="130">
        <v>30</v>
      </c>
      <c r="U15" s="215">
        <f t="shared" ref="U15:U30" si="9">C15*G15*L15*T15</f>
        <v>0</v>
      </c>
      <c r="V15" s="131">
        <f t="shared" ref="V15:V31" si="10">D15*G15*N15*T15</f>
        <v>0</v>
      </c>
      <c r="W15" s="131">
        <f t="shared" ref="W15:W31" si="11">E15*G15*P15*T15</f>
        <v>0</v>
      </c>
      <c r="X15" s="131">
        <f t="shared" ref="X15:X31" si="12">F15*G15*R15*T15</f>
        <v>0</v>
      </c>
      <c r="Y15" s="215">
        <f t="shared" ref="Y15:Y30" si="13">C15*H15*L15*T15</f>
        <v>0</v>
      </c>
      <c r="Z15" s="131">
        <f t="shared" ref="Z15:Z31" si="14">D15*I15*N15*T15</f>
        <v>0</v>
      </c>
      <c r="AA15" s="131">
        <f t="shared" ref="AA15:AA31" si="15">E15*K15*P15*T15</f>
        <v>0</v>
      </c>
      <c r="AB15" s="131">
        <f t="shared" ref="AB15:AB31" si="16">F15*K15*R15*T15</f>
        <v>0</v>
      </c>
      <c r="AC15" s="216" t="e">
        <f t="shared" ref="AC15:AF31" si="17">Y15/U15</f>
        <v>#DIV/0!</v>
      </c>
      <c r="AD15" s="216" t="e">
        <f t="shared" si="17"/>
        <v>#DIV/0!</v>
      </c>
      <c r="AE15" s="216" t="e">
        <f t="shared" si="17"/>
        <v>#DIV/0!</v>
      </c>
      <c r="AF15" s="216" t="e">
        <f t="shared" si="17"/>
        <v>#DIV/0!</v>
      </c>
    </row>
    <row r="16" spans="1:32" s="128" customFormat="1" ht="39.950000000000003" customHeight="1">
      <c r="A16" s="130">
        <v>11</v>
      </c>
      <c r="B16" s="93" t="s">
        <v>516</v>
      </c>
      <c r="C16" s="14">
        <v>1</v>
      </c>
      <c r="D16" s="14">
        <v>1</v>
      </c>
      <c r="E16" s="14">
        <v>1</v>
      </c>
      <c r="F16" s="14">
        <v>1</v>
      </c>
      <c r="G16" s="130"/>
      <c r="H16" s="130"/>
      <c r="I16" s="130"/>
      <c r="J16" s="130"/>
      <c r="K16" s="130"/>
      <c r="L16" s="462">
        <v>3</v>
      </c>
      <c r="M16" s="14" t="s">
        <v>1216</v>
      </c>
      <c r="N16" s="462">
        <v>3</v>
      </c>
      <c r="O16" s="14" t="s">
        <v>1215</v>
      </c>
      <c r="P16" s="462">
        <v>4</v>
      </c>
      <c r="Q16" s="14" t="s">
        <v>1215</v>
      </c>
      <c r="R16" s="462">
        <v>5</v>
      </c>
      <c r="S16" s="14" t="s">
        <v>1215</v>
      </c>
      <c r="T16" s="130">
        <v>30</v>
      </c>
      <c r="U16" s="215">
        <f t="shared" si="9"/>
        <v>0</v>
      </c>
      <c r="V16" s="131">
        <f t="shared" si="10"/>
        <v>0</v>
      </c>
      <c r="W16" s="131">
        <f t="shared" si="11"/>
        <v>0</v>
      </c>
      <c r="X16" s="131">
        <f t="shared" si="12"/>
        <v>0</v>
      </c>
      <c r="Y16" s="215">
        <f t="shared" si="13"/>
        <v>0</v>
      </c>
      <c r="Z16" s="131">
        <f t="shared" si="14"/>
        <v>0</v>
      </c>
      <c r="AA16" s="131">
        <f t="shared" si="15"/>
        <v>0</v>
      </c>
      <c r="AB16" s="131">
        <f t="shared" si="16"/>
        <v>0</v>
      </c>
      <c r="AC16" s="216" t="e">
        <f t="shared" si="17"/>
        <v>#DIV/0!</v>
      </c>
      <c r="AD16" s="216" t="e">
        <f t="shared" si="17"/>
        <v>#DIV/0!</v>
      </c>
      <c r="AE16" s="216" t="e">
        <f t="shared" si="17"/>
        <v>#DIV/0!</v>
      </c>
      <c r="AF16" s="216" t="e">
        <f t="shared" si="17"/>
        <v>#DIV/0!</v>
      </c>
    </row>
    <row r="17" spans="1:32" s="128" customFormat="1" ht="39.950000000000003" customHeight="1">
      <c r="A17" s="130">
        <v>12</v>
      </c>
      <c r="B17" s="93" t="s">
        <v>275</v>
      </c>
      <c r="C17" s="14">
        <v>2</v>
      </c>
      <c r="D17" s="14">
        <v>2</v>
      </c>
      <c r="E17" s="14">
        <v>2</v>
      </c>
      <c r="F17" s="14">
        <v>2</v>
      </c>
      <c r="G17" s="130"/>
      <c r="H17" s="130"/>
      <c r="I17" s="130"/>
      <c r="J17" s="130"/>
      <c r="K17" s="130"/>
      <c r="L17" s="462">
        <v>11.5</v>
      </c>
      <c r="M17" s="14" t="s">
        <v>1215</v>
      </c>
      <c r="N17" s="462">
        <v>11.5</v>
      </c>
      <c r="O17" s="14" t="s">
        <v>1215</v>
      </c>
      <c r="P17" s="462">
        <v>11.5</v>
      </c>
      <c r="Q17" s="14" t="s">
        <v>1215</v>
      </c>
      <c r="R17" s="462">
        <v>11.5</v>
      </c>
      <c r="S17" s="14" t="s">
        <v>1215</v>
      </c>
      <c r="T17" s="130">
        <v>30</v>
      </c>
      <c r="U17" s="215">
        <f t="shared" si="9"/>
        <v>0</v>
      </c>
      <c r="V17" s="131">
        <f t="shared" si="10"/>
        <v>0</v>
      </c>
      <c r="W17" s="131">
        <f t="shared" si="11"/>
        <v>0</v>
      </c>
      <c r="X17" s="131">
        <f t="shared" si="12"/>
        <v>0</v>
      </c>
      <c r="Y17" s="215">
        <f t="shared" si="13"/>
        <v>0</v>
      </c>
      <c r="Z17" s="131">
        <f t="shared" si="14"/>
        <v>0</v>
      </c>
      <c r="AA17" s="131">
        <f t="shared" si="15"/>
        <v>0</v>
      </c>
      <c r="AB17" s="131">
        <f t="shared" si="16"/>
        <v>0</v>
      </c>
      <c r="AC17" s="216" t="e">
        <f t="shared" si="17"/>
        <v>#DIV/0!</v>
      </c>
      <c r="AD17" s="216" t="e">
        <f t="shared" si="17"/>
        <v>#DIV/0!</v>
      </c>
      <c r="AE17" s="216" t="e">
        <f t="shared" si="17"/>
        <v>#DIV/0!</v>
      </c>
      <c r="AF17" s="216" t="e">
        <f t="shared" si="17"/>
        <v>#DIV/0!</v>
      </c>
    </row>
    <row r="18" spans="1:32" s="128" customFormat="1" ht="39.950000000000003" customHeight="1">
      <c r="A18" s="130">
        <v>13</v>
      </c>
      <c r="B18" s="93" t="s">
        <v>276</v>
      </c>
      <c r="C18" s="14">
        <v>2</v>
      </c>
      <c r="D18" s="14">
        <v>2</v>
      </c>
      <c r="E18" s="14">
        <v>2</v>
      </c>
      <c r="F18" s="14">
        <v>2</v>
      </c>
      <c r="G18" s="130"/>
      <c r="H18" s="130"/>
      <c r="I18" s="130"/>
      <c r="J18" s="130"/>
      <c r="K18" s="130"/>
      <c r="L18" s="462">
        <v>13.5</v>
      </c>
      <c r="M18" s="14" t="s">
        <v>1217</v>
      </c>
      <c r="N18" s="462">
        <v>13.5</v>
      </c>
      <c r="O18" s="14" t="s">
        <v>1217</v>
      </c>
      <c r="P18" s="462">
        <v>13.5</v>
      </c>
      <c r="Q18" s="14" t="s">
        <v>1217</v>
      </c>
      <c r="R18" s="462">
        <v>13.5</v>
      </c>
      <c r="S18" s="14" t="s">
        <v>1217</v>
      </c>
      <c r="T18" s="130">
        <v>30</v>
      </c>
      <c r="U18" s="215">
        <f t="shared" si="9"/>
        <v>0</v>
      </c>
      <c r="V18" s="131">
        <f t="shared" si="10"/>
        <v>0</v>
      </c>
      <c r="W18" s="131">
        <f t="shared" si="11"/>
        <v>0</v>
      </c>
      <c r="X18" s="131">
        <f t="shared" si="12"/>
        <v>0</v>
      </c>
      <c r="Y18" s="215">
        <f t="shared" si="13"/>
        <v>0</v>
      </c>
      <c r="Z18" s="131">
        <f t="shared" si="14"/>
        <v>0</v>
      </c>
      <c r="AA18" s="131">
        <f t="shared" si="15"/>
        <v>0</v>
      </c>
      <c r="AB18" s="131">
        <f t="shared" si="16"/>
        <v>0</v>
      </c>
      <c r="AC18" s="216" t="e">
        <f t="shared" si="17"/>
        <v>#DIV/0!</v>
      </c>
      <c r="AD18" s="216" t="e">
        <f t="shared" si="17"/>
        <v>#DIV/0!</v>
      </c>
      <c r="AE18" s="216" t="e">
        <f t="shared" si="17"/>
        <v>#DIV/0!</v>
      </c>
      <c r="AF18" s="216" t="e">
        <f t="shared" si="17"/>
        <v>#DIV/0!</v>
      </c>
    </row>
    <row r="19" spans="1:32" s="128" customFormat="1" ht="39.950000000000003" customHeight="1">
      <c r="A19" s="130">
        <v>14</v>
      </c>
      <c r="B19" s="93" t="s">
        <v>512</v>
      </c>
      <c r="C19" s="14">
        <v>8</v>
      </c>
      <c r="D19" s="14">
        <v>10</v>
      </c>
      <c r="E19" s="14">
        <v>10</v>
      </c>
      <c r="F19" s="14">
        <v>10</v>
      </c>
      <c r="G19" s="130"/>
      <c r="H19" s="130"/>
      <c r="I19" s="130"/>
      <c r="J19" s="130"/>
      <c r="K19" s="130"/>
      <c r="L19" s="462">
        <v>13.5</v>
      </c>
      <c r="M19" s="14" t="s">
        <v>1212</v>
      </c>
      <c r="N19" s="462">
        <v>13.5</v>
      </c>
      <c r="O19" s="14" t="s">
        <v>1217</v>
      </c>
      <c r="P19" s="462">
        <v>13.5</v>
      </c>
      <c r="Q19" s="14" t="s">
        <v>1217</v>
      </c>
      <c r="R19" s="462">
        <v>13.5</v>
      </c>
      <c r="S19" s="14" t="s">
        <v>1217</v>
      </c>
      <c r="T19" s="130">
        <v>30</v>
      </c>
      <c r="U19" s="215">
        <f t="shared" si="9"/>
        <v>0</v>
      </c>
      <c r="V19" s="131">
        <f t="shared" si="10"/>
        <v>0</v>
      </c>
      <c r="W19" s="131">
        <f t="shared" si="11"/>
        <v>0</v>
      </c>
      <c r="X19" s="131">
        <f t="shared" si="12"/>
        <v>0</v>
      </c>
      <c r="Y19" s="215">
        <f t="shared" si="13"/>
        <v>0</v>
      </c>
      <c r="Z19" s="131">
        <f t="shared" si="14"/>
        <v>0</v>
      </c>
      <c r="AA19" s="131">
        <f t="shared" si="15"/>
        <v>0</v>
      </c>
      <c r="AB19" s="131">
        <f t="shared" si="16"/>
        <v>0</v>
      </c>
      <c r="AC19" s="216" t="e">
        <f t="shared" si="17"/>
        <v>#DIV/0!</v>
      </c>
      <c r="AD19" s="216" t="e">
        <f t="shared" si="17"/>
        <v>#DIV/0!</v>
      </c>
      <c r="AE19" s="216" t="e">
        <f t="shared" si="17"/>
        <v>#DIV/0!</v>
      </c>
      <c r="AF19" s="216" t="e">
        <f t="shared" si="17"/>
        <v>#DIV/0!</v>
      </c>
    </row>
    <row r="20" spans="1:32" s="128" customFormat="1" ht="63" customHeight="1">
      <c r="A20" s="130">
        <v>15</v>
      </c>
      <c r="B20" s="93" t="s">
        <v>513</v>
      </c>
      <c r="C20" s="14">
        <v>0</v>
      </c>
      <c r="D20" s="14">
        <v>4</v>
      </c>
      <c r="E20" s="14">
        <v>4</v>
      </c>
      <c r="F20" s="14">
        <v>4</v>
      </c>
      <c r="G20" s="130"/>
      <c r="H20" s="130"/>
      <c r="I20" s="130"/>
      <c r="J20" s="130"/>
      <c r="K20" s="130"/>
      <c r="L20" s="462">
        <v>0</v>
      </c>
      <c r="M20" s="14" t="s">
        <v>863</v>
      </c>
      <c r="N20" s="462">
        <v>8.5</v>
      </c>
      <c r="O20" s="463" t="s">
        <v>1218</v>
      </c>
      <c r="P20" s="462">
        <v>9.5</v>
      </c>
      <c r="Q20" s="463" t="s">
        <v>1219</v>
      </c>
      <c r="R20" s="462">
        <v>9.5</v>
      </c>
      <c r="S20" s="463" t="s">
        <v>1219</v>
      </c>
      <c r="T20" s="130">
        <v>30</v>
      </c>
      <c r="U20" s="215">
        <f t="shared" si="9"/>
        <v>0</v>
      </c>
      <c r="V20" s="131">
        <f t="shared" si="10"/>
        <v>0</v>
      </c>
      <c r="W20" s="131">
        <f t="shared" si="11"/>
        <v>0</v>
      </c>
      <c r="X20" s="131">
        <f t="shared" si="12"/>
        <v>0</v>
      </c>
      <c r="Y20" s="215">
        <f t="shared" si="13"/>
        <v>0</v>
      </c>
      <c r="Z20" s="131">
        <f t="shared" si="14"/>
        <v>0</v>
      </c>
      <c r="AA20" s="131">
        <f t="shared" si="15"/>
        <v>0</v>
      </c>
      <c r="AB20" s="131">
        <f t="shared" si="16"/>
        <v>0</v>
      </c>
      <c r="AC20" s="216" t="e">
        <f t="shared" si="17"/>
        <v>#DIV/0!</v>
      </c>
      <c r="AD20" s="216" t="e">
        <f t="shared" si="17"/>
        <v>#DIV/0!</v>
      </c>
      <c r="AE20" s="216" t="e">
        <f t="shared" si="17"/>
        <v>#DIV/0!</v>
      </c>
      <c r="AF20" s="216" t="e">
        <f t="shared" si="17"/>
        <v>#DIV/0!</v>
      </c>
    </row>
    <row r="21" spans="1:32" s="128" customFormat="1" ht="39.950000000000003" customHeight="1">
      <c r="A21" s="130">
        <v>16</v>
      </c>
      <c r="B21" s="93" t="s">
        <v>517</v>
      </c>
      <c r="C21" s="14">
        <v>1</v>
      </c>
      <c r="D21" s="14">
        <v>1</v>
      </c>
      <c r="E21" s="14">
        <v>1</v>
      </c>
      <c r="F21" s="14">
        <v>1</v>
      </c>
      <c r="G21" s="130"/>
      <c r="H21" s="130"/>
      <c r="I21" s="130"/>
      <c r="J21" s="130"/>
      <c r="K21" s="130"/>
      <c r="L21" s="462">
        <v>0</v>
      </c>
      <c r="M21" s="14" t="s">
        <v>863</v>
      </c>
      <c r="N21" s="462">
        <v>0.5</v>
      </c>
      <c r="O21" s="130" t="s">
        <v>1209</v>
      </c>
      <c r="P21" s="462">
        <v>0.5</v>
      </c>
      <c r="Q21" s="130" t="s">
        <v>1209</v>
      </c>
      <c r="R21" s="462">
        <v>0.5</v>
      </c>
      <c r="S21" s="130" t="s">
        <v>1209</v>
      </c>
      <c r="T21" s="130">
        <v>30</v>
      </c>
      <c r="U21" s="215">
        <f t="shared" si="9"/>
        <v>0</v>
      </c>
      <c r="V21" s="131">
        <f t="shared" si="10"/>
        <v>0</v>
      </c>
      <c r="W21" s="131">
        <f t="shared" si="11"/>
        <v>0</v>
      </c>
      <c r="X21" s="131">
        <f t="shared" si="12"/>
        <v>0</v>
      </c>
      <c r="Y21" s="215">
        <f t="shared" si="13"/>
        <v>0</v>
      </c>
      <c r="Z21" s="131">
        <f t="shared" si="14"/>
        <v>0</v>
      </c>
      <c r="AA21" s="131">
        <f t="shared" si="15"/>
        <v>0</v>
      </c>
      <c r="AB21" s="131">
        <f t="shared" si="16"/>
        <v>0</v>
      </c>
      <c r="AC21" s="216" t="e">
        <f t="shared" si="17"/>
        <v>#DIV/0!</v>
      </c>
      <c r="AD21" s="216" t="e">
        <f t="shared" si="17"/>
        <v>#DIV/0!</v>
      </c>
      <c r="AE21" s="216" t="e">
        <f t="shared" si="17"/>
        <v>#DIV/0!</v>
      </c>
      <c r="AF21" s="216" t="e">
        <f t="shared" si="17"/>
        <v>#DIV/0!</v>
      </c>
    </row>
    <row r="22" spans="1:32" s="128" customFormat="1" ht="57.75" customHeight="1">
      <c r="A22" s="130">
        <v>17</v>
      </c>
      <c r="B22" s="93" t="s">
        <v>1220</v>
      </c>
      <c r="C22" s="14">
        <v>2</v>
      </c>
      <c r="D22" s="14">
        <v>2</v>
      </c>
      <c r="E22" s="14">
        <v>2</v>
      </c>
      <c r="F22" s="14">
        <v>2</v>
      </c>
      <c r="G22" s="130"/>
      <c r="H22" s="130"/>
      <c r="I22" s="130"/>
      <c r="J22" s="130"/>
      <c r="K22" s="130"/>
      <c r="L22" s="462">
        <v>13.5</v>
      </c>
      <c r="M22" s="14" t="s">
        <v>1217</v>
      </c>
      <c r="N22" s="462">
        <v>13.5</v>
      </c>
      <c r="O22" s="14" t="s">
        <v>1217</v>
      </c>
      <c r="P22" s="462">
        <v>13.5</v>
      </c>
      <c r="Q22" s="14" t="s">
        <v>1217</v>
      </c>
      <c r="R22" s="462">
        <v>13.5</v>
      </c>
      <c r="S22" s="14" t="s">
        <v>1217</v>
      </c>
      <c r="T22" s="130">
        <v>30</v>
      </c>
      <c r="U22" s="215">
        <f t="shared" si="9"/>
        <v>0</v>
      </c>
      <c r="V22" s="131">
        <f t="shared" si="10"/>
        <v>0</v>
      </c>
      <c r="W22" s="131">
        <f t="shared" si="11"/>
        <v>0</v>
      </c>
      <c r="X22" s="131">
        <f t="shared" si="12"/>
        <v>0</v>
      </c>
      <c r="Y22" s="215">
        <f t="shared" si="13"/>
        <v>0</v>
      </c>
      <c r="Z22" s="131">
        <f t="shared" si="14"/>
        <v>0</v>
      </c>
      <c r="AA22" s="131">
        <f t="shared" si="15"/>
        <v>0</v>
      </c>
      <c r="AB22" s="131">
        <f t="shared" si="16"/>
        <v>0</v>
      </c>
      <c r="AC22" s="216" t="e">
        <f t="shared" si="17"/>
        <v>#DIV/0!</v>
      </c>
      <c r="AD22" s="216" t="e">
        <f t="shared" si="17"/>
        <v>#DIV/0!</v>
      </c>
      <c r="AE22" s="216" t="e">
        <f t="shared" si="17"/>
        <v>#DIV/0!</v>
      </c>
      <c r="AF22" s="216" t="e">
        <f t="shared" si="17"/>
        <v>#DIV/0!</v>
      </c>
    </row>
    <row r="23" spans="1:32" s="128" customFormat="1" ht="39.950000000000003" hidden="1" customHeight="1">
      <c r="A23" s="130">
        <v>18</v>
      </c>
      <c r="B23" s="93" t="s">
        <v>277</v>
      </c>
      <c r="C23" s="14" t="s">
        <v>1221</v>
      </c>
      <c r="D23" s="14" t="s">
        <v>1221</v>
      </c>
      <c r="E23" s="14" t="s">
        <v>1221</v>
      </c>
      <c r="F23" s="14" t="s">
        <v>1221</v>
      </c>
      <c r="G23" s="130"/>
      <c r="H23" s="130"/>
      <c r="I23" s="130"/>
      <c r="J23" s="130"/>
      <c r="K23" s="130"/>
      <c r="L23" s="462"/>
      <c r="M23" s="14"/>
      <c r="N23" s="462"/>
      <c r="O23" s="14"/>
      <c r="P23" s="462"/>
      <c r="Q23" s="14"/>
      <c r="R23" s="462"/>
      <c r="S23" s="14"/>
      <c r="T23" s="130"/>
      <c r="U23" s="215">
        <f>C31*G23*L23*T23</f>
        <v>0</v>
      </c>
      <c r="V23" s="131" t="e">
        <f t="shared" si="10"/>
        <v>#VALUE!</v>
      </c>
      <c r="W23" s="131" t="e">
        <f t="shared" si="11"/>
        <v>#VALUE!</v>
      </c>
      <c r="X23" s="131" t="e">
        <f t="shared" si="12"/>
        <v>#VALUE!</v>
      </c>
      <c r="Y23" s="215">
        <f>C31*H23*L23*T23</f>
        <v>0</v>
      </c>
      <c r="Z23" s="131" t="e">
        <f t="shared" si="14"/>
        <v>#VALUE!</v>
      </c>
      <c r="AA23" s="131" t="e">
        <f t="shared" si="15"/>
        <v>#VALUE!</v>
      </c>
      <c r="AB23" s="131" t="e">
        <f t="shared" si="16"/>
        <v>#VALUE!</v>
      </c>
      <c r="AC23" s="216" t="e">
        <f t="shared" si="17"/>
        <v>#DIV/0!</v>
      </c>
      <c r="AD23" s="216" t="e">
        <f t="shared" si="17"/>
        <v>#VALUE!</v>
      </c>
      <c r="AE23" s="216" t="e">
        <f t="shared" si="17"/>
        <v>#VALUE!</v>
      </c>
      <c r="AF23" s="216" t="e">
        <f t="shared" si="17"/>
        <v>#VALUE!</v>
      </c>
    </row>
    <row r="24" spans="1:32" s="128" customFormat="1" ht="39.950000000000003" hidden="1" customHeight="1">
      <c r="A24" s="130">
        <v>19</v>
      </c>
      <c r="B24" s="93" t="s">
        <v>278</v>
      </c>
      <c r="C24" s="14" t="s">
        <v>1221</v>
      </c>
      <c r="D24" s="14" t="s">
        <v>1221</v>
      </c>
      <c r="E24" s="14" t="s">
        <v>1221</v>
      </c>
      <c r="F24" s="14" t="s">
        <v>1221</v>
      </c>
      <c r="G24" s="130"/>
      <c r="H24" s="130"/>
      <c r="I24" s="130"/>
      <c r="J24" s="130"/>
      <c r="K24" s="130"/>
      <c r="L24" s="133"/>
      <c r="M24" s="130"/>
      <c r="N24" s="133"/>
      <c r="O24" s="130"/>
      <c r="P24" s="133"/>
      <c r="Q24" s="130"/>
      <c r="R24" s="133"/>
      <c r="S24" s="130"/>
      <c r="T24" s="130"/>
      <c r="U24" s="215" t="e">
        <f t="shared" si="9"/>
        <v>#VALUE!</v>
      </c>
      <c r="V24" s="131" t="e">
        <f t="shared" si="10"/>
        <v>#VALUE!</v>
      </c>
      <c r="W24" s="131" t="e">
        <f t="shared" si="11"/>
        <v>#VALUE!</v>
      </c>
      <c r="X24" s="131" t="e">
        <f t="shared" si="12"/>
        <v>#VALUE!</v>
      </c>
      <c r="Y24" s="215" t="e">
        <f t="shared" si="13"/>
        <v>#VALUE!</v>
      </c>
      <c r="Z24" s="131" t="e">
        <f t="shared" si="14"/>
        <v>#VALUE!</v>
      </c>
      <c r="AA24" s="131" t="e">
        <f t="shared" si="15"/>
        <v>#VALUE!</v>
      </c>
      <c r="AB24" s="131" t="e">
        <f t="shared" si="16"/>
        <v>#VALUE!</v>
      </c>
      <c r="AC24" s="216" t="e">
        <f t="shared" si="17"/>
        <v>#VALUE!</v>
      </c>
      <c r="AD24" s="216" t="e">
        <f t="shared" si="17"/>
        <v>#VALUE!</v>
      </c>
      <c r="AE24" s="216" t="e">
        <f t="shared" si="17"/>
        <v>#VALUE!</v>
      </c>
      <c r="AF24" s="216" t="e">
        <f t="shared" si="17"/>
        <v>#VALUE!</v>
      </c>
    </row>
    <row r="25" spans="1:32" s="128" customFormat="1" ht="39.950000000000003" hidden="1" customHeight="1">
      <c r="A25" s="130">
        <v>20</v>
      </c>
      <c r="B25" s="93" t="s">
        <v>279</v>
      </c>
      <c r="C25" s="14" t="s">
        <v>1221</v>
      </c>
      <c r="D25" s="14" t="s">
        <v>1221</v>
      </c>
      <c r="E25" s="14" t="s">
        <v>1221</v>
      </c>
      <c r="F25" s="14" t="s">
        <v>1221</v>
      </c>
      <c r="G25" s="130"/>
      <c r="H25" s="130"/>
      <c r="I25" s="130"/>
      <c r="J25" s="130"/>
      <c r="K25" s="130"/>
      <c r="L25" s="133"/>
      <c r="M25" s="149"/>
      <c r="N25" s="133"/>
      <c r="O25" s="130"/>
      <c r="P25" s="133"/>
      <c r="Q25" s="130"/>
      <c r="R25" s="133"/>
      <c r="S25" s="130"/>
      <c r="T25" s="130"/>
      <c r="U25" s="215" t="e">
        <f t="shared" si="9"/>
        <v>#VALUE!</v>
      </c>
      <c r="V25" s="131" t="e">
        <f t="shared" si="10"/>
        <v>#VALUE!</v>
      </c>
      <c r="W25" s="131" t="e">
        <f t="shared" si="11"/>
        <v>#VALUE!</v>
      </c>
      <c r="X25" s="131" t="e">
        <f t="shared" si="12"/>
        <v>#VALUE!</v>
      </c>
      <c r="Y25" s="215" t="e">
        <f t="shared" si="13"/>
        <v>#VALUE!</v>
      </c>
      <c r="Z25" s="131" t="e">
        <f t="shared" si="14"/>
        <v>#VALUE!</v>
      </c>
      <c r="AA25" s="131" t="e">
        <f t="shared" si="15"/>
        <v>#VALUE!</v>
      </c>
      <c r="AB25" s="131" t="e">
        <f t="shared" si="16"/>
        <v>#VALUE!</v>
      </c>
      <c r="AC25" s="216" t="e">
        <f t="shared" si="17"/>
        <v>#VALUE!</v>
      </c>
      <c r="AD25" s="216" t="e">
        <f t="shared" si="17"/>
        <v>#VALUE!</v>
      </c>
      <c r="AE25" s="216" t="e">
        <f t="shared" si="17"/>
        <v>#VALUE!</v>
      </c>
      <c r="AF25" s="216" t="e">
        <f t="shared" si="17"/>
        <v>#VALUE!</v>
      </c>
    </row>
    <row r="26" spans="1:32" s="128" customFormat="1" ht="39.950000000000003" hidden="1" customHeight="1">
      <c r="A26" s="130">
        <v>21</v>
      </c>
      <c r="B26" s="93" t="s">
        <v>280</v>
      </c>
      <c r="C26" s="14" t="s">
        <v>1222</v>
      </c>
      <c r="D26" s="14" t="s">
        <v>1222</v>
      </c>
      <c r="E26" s="14" t="s">
        <v>1222</v>
      </c>
      <c r="F26" s="14" t="s">
        <v>1222</v>
      </c>
      <c r="G26" s="130"/>
      <c r="H26" s="130"/>
      <c r="I26" s="130"/>
      <c r="J26" s="130"/>
      <c r="K26" s="130"/>
      <c r="L26" s="133"/>
      <c r="M26" s="130"/>
      <c r="N26" s="133"/>
      <c r="O26" s="130"/>
      <c r="P26" s="133"/>
      <c r="Q26" s="130"/>
      <c r="R26" s="133"/>
      <c r="S26" s="130"/>
      <c r="T26" s="130"/>
      <c r="U26" s="215" t="e">
        <f t="shared" si="9"/>
        <v>#VALUE!</v>
      </c>
      <c r="V26" s="131" t="e">
        <f t="shared" si="10"/>
        <v>#VALUE!</v>
      </c>
      <c r="W26" s="131" t="e">
        <f t="shared" si="11"/>
        <v>#VALUE!</v>
      </c>
      <c r="X26" s="131" t="e">
        <f t="shared" si="12"/>
        <v>#VALUE!</v>
      </c>
      <c r="Y26" s="215" t="e">
        <f t="shared" si="13"/>
        <v>#VALUE!</v>
      </c>
      <c r="Z26" s="131" t="e">
        <f t="shared" si="14"/>
        <v>#VALUE!</v>
      </c>
      <c r="AA26" s="131" t="e">
        <f t="shared" si="15"/>
        <v>#VALUE!</v>
      </c>
      <c r="AB26" s="131" t="e">
        <f t="shared" si="16"/>
        <v>#VALUE!</v>
      </c>
      <c r="AC26" s="216" t="e">
        <f t="shared" si="17"/>
        <v>#VALUE!</v>
      </c>
      <c r="AD26" s="216" t="e">
        <f t="shared" si="17"/>
        <v>#VALUE!</v>
      </c>
      <c r="AE26" s="216" t="e">
        <f t="shared" si="17"/>
        <v>#VALUE!</v>
      </c>
      <c r="AF26" s="216" t="e">
        <f t="shared" si="17"/>
        <v>#VALUE!</v>
      </c>
    </row>
    <row r="27" spans="1:32" s="128" customFormat="1" ht="39.950000000000003" hidden="1" customHeight="1">
      <c r="A27" s="130">
        <v>22</v>
      </c>
      <c r="B27" s="93" t="s">
        <v>528</v>
      </c>
      <c r="C27" s="14" t="s">
        <v>1222</v>
      </c>
      <c r="D27" s="14" t="s">
        <v>1222</v>
      </c>
      <c r="E27" s="14" t="s">
        <v>1222</v>
      </c>
      <c r="F27" s="14" t="s">
        <v>1222</v>
      </c>
      <c r="G27" s="130"/>
      <c r="H27" s="130"/>
      <c r="I27" s="130"/>
      <c r="J27" s="130"/>
      <c r="K27" s="130"/>
      <c r="L27" s="133"/>
      <c r="M27" s="130"/>
      <c r="N27" s="133"/>
      <c r="O27" s="130"/>
      <c r="P27" s="133"/>
      <c r="Q27" s="130"/>
      <c r="R27" s="133"/>
      <c r="S27" s="130"/>
      <c r="T27" s="130"/>
      <c r="U27" s="215" t="e">
        <f t="shared" si="9"/>
        <v>#VALUE!</v>
      </c>
      <c r="V27" s="131" t="e">
        <f t="shared" si="10"/>
        <v>#VALUE!</v>
      </c>
      <c r="W27" s="131" t="e">
        <f t="shared" si="11"/>
        <v>#VALUE!</v>
      </c>
      <c r="X27" s="131" t="e">
        <f t="shared" si="12"/>
        <v>#VALUE!</v>
      </c>
      <c r="Y27" s="215" t="e">
        <f t="shared" si="13"/>
        <v>#VALUE!</v>
      </c>
      <c r="Z27" s="131" t="e">
        <f t="shared" si="14"/>
        <v>#VALUE!</v>
      </c>
      <c r="AA27" s="131" t="e">
        <f t="shared" si="15"/>
        <v>#VALUE!</v>
      </c>
      <c r="AB27" s="131" t="e">
        <f t="shared" si="16"/>
        <v>#VALUE!</v>
      </c>
      <c r="AC27" s="216" t="e">
        <f t="shared" si="17"/>
        <v>#VALUE!</v>
      </c>
      <c r="AD27" s="216" t="e">
        <f t="shared" si="17"/>
        <v>#VALUE!</v>
      </c>
      <c r="AE27" s="216" t="e">
        <f t="shared" si="17"/>
        <v>#VALUE!</v>
      </c>
      <c r="AF27" s="216" t="e">
        <f t="shared" si="17"/>
        <v>#VALUE!</v>
      </c>
    </row>
    <row r="28" spans="1:32" s="128" customFormat="1" ht="39.950000000000003" hidden="1" customHeight="1">
      <c r="A28" s="130">
        <v>23</v>
      </c>
      <c r="B28" s="93" t="s">
        <v>529</v>
      </c>
      <c r="C28" s="14" t="s">
        <v>1221</v>
      </c>
      <c r="D28" s="14" t="s">
        <v>1221</v>
      </c>
      <c r="E28" s="14" t="s">
        <v>1221</v>
      </c>
      <c r="F28" s="14" t="s">
        <v>1221</v>
      </c>
      <c r="G28" s="130"/>
      <c r="H28" s="130"/>
      <c r="I28" s="130"/>
      <c r="J28" s="130"/>
      <c r="K28" s="130"/>
      <c r="L28" s="133"/>
      <c r="M28" s="130"/>
      <c r="N28" s="133"/>
      <c r="O28" s="130"/>
      <c r="P28" s="133"/>
      <c r="Q28" s="130"/>
      <c r="R28" s="133"/>
      <c r="S28" s="130"/>
      <c r="T28" s="130"/>
      <c r="U28" s="215" t="e">
        <f t="shared" si="9"/>
        <v>#VALUE!</v>
      </c>
      <c r="V28" s="131" t="e">
        <f t="shared" si="10"/>
        <v>#VALUE!</v>
      </c>
      <c r="W28" s="131" t="e">
        <f t="shared" si="11"/>
        <v>#VALUE!</v>
      </c>
      <c r="X28" s="131" t="e">
        <f t="shared" si="12"/>
        <v>#VALUE!</v>
      </c>
      <c r="Y28" s="215" t="e">
        <f t="shared" si="13"/>
        <v>#VALUE!</v>
      </c>
      <c r="Z28" s="131" t="e">
        <f t="shared" si="14"/>
        <v>#VALUE!</v>
      </c>
      <c r="AA28" s="131" t="e">
        <f t="shared" si="15"/>
        <v>#VALUE!</v>
      </c>
      <c r="AB28" s="131" t="e">
        <f t="shared" si="16"/>
        <v>#VALUE!</v>
      </c>
      <c r="AC28" s="216" t="e">
        <f t="shared" si="17"/>
        <v>#VALUE!</v>
      </c>
      <c r="AD28" s="216" t="e">
        <f t="shared" si="17"/>
        <v>#VALUE!</v>
      </c>
      <c r="AE28" s="216" t="e">
        <f t="shared" si="17"/>
        <v>#VALUE!</v>
      </c>
      <c r="AF28" s="216" t="e">
        <f t="shared" si="17"/>
        <v>#VALUE!</v>
      </c>
    </row>
    <row r="29" spans="1:32" s="128" customFormat="1" ht="39.950000000000003" hidden="1" customHeight="1">
      <c r="A29" s="130">
        <v>24</v>
      </c>
      <c r="B29" s="93" t="s">
        <v>530</v>
      </c>
      <c r="C29" s="14" t="s">
        <v>1221</v>
      </c>
      <c r="D29" s="14" t="s">
        <v>1221</v>
      </c>
      <c r="E29" s="14" t="s">
        <v>1221</v>
      </c>
      <c r="F29" s="14" t="s">
        <v>1221</v>
      </c>
      <c r="G29" s="130"/>
      <c r="H29" s="130"/>
      <c r="I29" s="130"/>
      <c r="J29" s="130"/>
      <c r="K29" s="130"/>
      <c r="L29" s="133"/>
      <c r="M29" s="130"/>
      <c r="N29" s="133"/>
      <c r="O29" s="130"/>
      <c r="P29" s="133"/>
      <c r="Q29" s="130"/>
      <c r="R29" s="133"/>
      <c r="S29" s="130"/>
      <c r="T29" s="130"/>
      <c r="U29" s="215" t="e">
        <f t="shared" si="9"/>
        <v>#VALUE!</v>
      </c>
      <c r="V29" s="131" t="e">
        <f t="shared" si="10"/>
        <v>#VALUE!</v>
      </c>
      <c r="W29" s="131" t="e">
        <f t="shared" si="11"/>
        <v>#VALUE!</v>
      </c>
      <c r="X29" s="131" t="e">
        <f t="shared" si="12"/>
        <v>#VALUE!</v>
      </c>
      <c r="Y29" s="215" t="e">
        <f t="shared" si="13"/>
        <v>#VALUE!</v>
      </c>
      <c r="Z29" s="131" t="e">
        <f t="shared" si="14"/>
        <v>#VALUE!</v>
      </c>
      <c r="AA29" s="131" t="e">
        <f t="shared" si="15"/>
        <v>#VALUE!</v>
      </c>
      <c r="AB29" s="131" t="e">
        <f t="shared" si="16"/>
        <v>#VALUE!</v>
      </c>
      <c r="AC29" s="216" t="e">
        <f t="shared" si="17"/>
        <v>#VALUE!</v>
      </c>
      <c r="AD29" s="216" t="e">
        <f t="shared" si="17"/>
        <v>#VALUE!</v>
      </c>
      <c r="AE29" s="216" t="e">
        <f t="shared" si="17"/>
        <v>#VALUE!</v>
      </c>
      <c r="AF29" s="216" t="e">
        <f t="shared" si="17"/>
        <v>#VALUE!</v>
      </c>
    </row>
    <row r="30" spans="1:32" s="128" customFormat="1" ht="39.950000000000003" hidden="1" customHeight="1">
      <c r="A30" s="130">
        <v>25</v>
      </c>
      <c r="B30" s="93" t="s">
        <v>531</v>
      </c>
      <c r="C30" s="14" t="s">
        <v>1221</v>
      </c>
      <c r="D30" s="14" t="s">
        <v>1221</v>
      </c>
      <c r="E30" s="14" t="s">
        <v>1221</v>
      </c>
      <c r="F30" s="14" t="s">
        <v>1221</v>
      </c>
      <c r="G30" s="130"/>
      <c r="H30" s="130"/>
      <c r="I30" s="130"/>
      <c r="J30" s="130"/>
      <c r="K30" s="130"/>
      <c r="L30" s="133"/>
      <c r="M30" s="130"/>
      <c r="N30" s="133"/>
      <c r="O30" s="130"/>
      <c r="P30" s="133"/>
      <c r="Q30" s="130"/>
      <c r="R30" s="133"/>
      <c r="S30" s="130"/>
      <c r="T30" s="130"/>
      <c r="U30" s="215" t="e">
        <f t="shared" si="9"/>
        <v>#VALUE!</v>
      </c>
      <c r="V30" s="131" t="e">
        <f t="shared" si="10"/>
        <v>#VALUE!</v>
      </c>
      <c r="W30" s="131" t="e">
        <f t="shared" si="11"/>
        <v>#VALUE!</v>
      </c>
      <c r="X30" s="131" t="e">
        <f t="shared" si="12"/>
        <v>#VALUE!</v>
      </c>
      <c r="Y30" s="215" t="e">
        <f t="shared" si="13"/>
        <v>#VALUE!</v>
      </c>
      <c r="Z30" s="131" t="e">
        <f t="shared" si="14"/>
        <v>#VALUE!</v>
      </c>
      <c r="AA30" s="131" t="e">
        <f t="shared" si="15"/>
        <v>#VALUE!</v>
      </c>
      <c r="AB30" s="131" t="e">
        <f t="shared" si="16"/>
        <v>#VALUE!</v>
      </c>
      <c r="AC30" s="216" t="e">
        <f t="shared" si="17"/>
        <v>#VALUE!</v>
      </c>
      <c r="AD30" s="216" t="e">
        <f t="shared" si="17"/>
        <v>#VALUE!</v>
      </c>
      <c r="AE30" s="216" t="e">
        <f t="shared" si="17"/>
        <v>#VALUE!</v>
      </c>
      <c r="AF30" s="216" t="e">
        <f t="shared" si="17"/>
        <v>#VALUE!</v>
      </c>
    </row>
    <row r="31" spans="1:32" s="128" customFormat="1" ht="39.950000000000003" customHeight="1">
      <c r="A31" s="130">
        <v>26</v>
      </c>
      <c r="B31" s="93" t="s">
        <v>518</v>
      </c>
      <c r="C31" s="14">
        <v>3</v>
      </c>
      <c r="D31" s="14">
        <v>3</v>
      </c>
      <c r="E31" s="14">
        <v>3</v>
      </c>
      <c r="F31" s="14">
        <v>3</v>
      </c>
      <c r="G31" s="130"/>
      <c r="H31" s="130"/>
      <c r="I31" s="130"/>
      <c r="J31" s="130"/>
      <c r="K31" s="130"/>
      <c r="L31" s="133"/>
      <c r="M31" s="130"/>
      <c r="N31" s="133"/>
      <c r="O31" s="130"/>
      <c r="P31" s="133"/>
      <c r="Q31" s="130"/>
      <c r="R31" s="133"/>
      <c r="S31" s="130"/>
      <c r="T31" s="130"/>
      <c r="U31" s="218" t="e">
        <f>#REF!*G31*L31*T31</f>
        <v>#REF!</v>
      </c>
      <c r="V31" s="132">
        <f t="shared" si="10"/>
        <v>0</v>
      </c>
      <c r="W31" s="132">
        <f t="shared" si="11"/>
        <v>0</v>
      </c>
      <c r="X31" s="132">
        <f t="shared" si="12"/>
        <v>0</v>
      </c>
      <c r="Y31" s="218" t="e">
        <f>#REF!*H31*L31*T31</f>
        <v>#REF!</v>
      </c>
      <c r="Z31" s="132">
        <f t="shared" si="14"/>
        <v>0</v>
      </c>
      <c r="AA31" s="132">
        <f t="shared" si="15"/>
        <v>0</v>
      </c>
      <c r="AB31" s="132">
        <f t="shared" si="16"/>
        <v>0</v>
      </c>
      <c r="AC31" s="219" t="e">
        <f t="shared" si="17"/>
        <v>#REF!</v>
      </c>
      <c r="AD31" s="219" t="e">
        <f t="shared" si="17"/>
        <v>#DIV/0!</v>
      </c>
      <c r="AE31" s="219" t="e">
        <f t="shared" si="17"/>
        <v>#DIV/0!</v>
      </c>
      <c r="AF31" s="219" t="e">
        <f t="shared" si="17"/>
        <v>#DIV/0!</v>
      </c>
    </row>
    <row r="32" spans="1:32" s="128" customFormat="1" ht="51.75" customHeight="1">
      <c r="A32" s="129"/>
      <c r="B32" s="817" t="s">
        <v>7</v>
      </c>
      <c r="C32" s="818"/>
      <c r="D32" s="818"/>
      <c r="E32" s="818"/>
      <c r="F32" s="818"/>
      <c r="G32" s="818"/>
      <c r="H32" s="818"/>
      <c r="I32" s="818"/>
      <c r="J32" s="818"/>
      <c r="K32" s="818"/>
      <c r="L32" s="818"/>
      <c r="M32" s="818"/>
      <c r="N32" s="818"/>
      <c r="O32" s="818"/>
      <c r="P32" s="818"/>
      <c r="Q32" s="818"/>
      <c r="R32" s="459"/>
      <c r="S32" s="459"/>
      <c r="T32" s="460"/>
      <c r="U32" s="459" t="e">
        <f t="shared" ref="U32:AB32" si="18">SUM(U6:U31)</f>
        <v>#VALUE!</v>
      </c>
      <c r="V32" s="459" t="e">
        <f t="shared" si="18"/>
        <v>#VALUE!</v>
      </c>
      <c r="W32" s="459" t="e">
        <f t="shared" si="18"/>
        <v>#VALUE!</v>
      </c>
      <c r="X32" s="459" t="e">
        <f t="shared" si="18"/>
        <v>#VALUE!</v>
      </c>
      <c r="Y32" s="459" t="e">
        <f t="shared" si="18"/>
        <v>#VALUE!</v>
      </c>
      <c r="Z32" s="459" t="e">
        <f t="shared" si="18"/>
        <v>#VALUE!</v>
      </c>
      <c r="AA32" s="459" t="e">
        <f t="shared" si="18"/>
        <v>#VALUE!</v>
      </c>
      <c r="AB32" s="459" t="e">
        <f t="shared" si="18"/>
        <v>#VALUE!</v>
      </c>
      <c r="AC32" s="461"/>
      <c r="AD32" s="461"/>
      <c r="AE32" s="461"/>
      <c r="AF32" s="461"/>
    </row>
    <row r="33" spans="1:28" ht="10.35" customHeight="1">
      <c r="A33" s="819"/>
      <c r="B33" s="819"/>
      <c r="C33" s="819"/>
      <c r="D33" s="819"/>
      <c r="E33" s="819"/>
      <c r="F33" s="819"/>
      <c r="G33" s="819"/>
      <c r="H33" s="819"/>
      <c r="I33" s="819"/>
      <c r="J33" s="819"/>
      <c r="K33" s="819"/>
      <c r="L33" s="819"/>
      <c r="M33" s="819"/>
      <c r="N33" s="819"/>
      <c r="O33" s="819"/>
      <c r="P33" s="819"/>
      <c r="Q33" s="819"/>
      <c r="R33" s="819"/>
      <c r="S33" s="819"/>
      <c r="T33" s="819"/>
      <c r="U33" s="819"/>
      <c r="V33" s="819"/>
      <c r="W33" s="819"/>
      <c r="X33" s="819"/>
      <c r="Y33" s="819"/>
      <c r="Z33" s="819"/>
      <c r="AA33" s="819"/>
      <c r="AB33" s="819"/>
    </row>
    <row r="35" spans="1:28" ht="18.75">
      <c r="S35" s="287" t="s">
        <v>615</v>
      </c>
    </row>
  </sheetData>
  <mergeCells count="18">
    <mergeCell ref="A1:AE1"/>
    <mergeCell ref="A2:A3"/>
    <mergeCell ref="B2:B3"/>
    <mergeCell ref="C2:F2"/>
    <mergeCell ref="G2:G3"/>
    <mergeCell ref="H2:K2"/>
    <mergeCell ref="L2:S2"/>
    <mergeCell ref="T2:T3"/>
    <mergeCell ref="U2:X2"/>
    <mergeCell ref="Y2:AB2"/>
    <mergeCell ref="B32:Q32"/>
    <mergeCell ref="A33:AB33"/>
    <mergeCell ref="AC2:AF2"/>
    <mergeCell ref="L3:M3"/>
    <mergeCell ref="N3:O3"/>
    <mergeCell ref="P3:Q3"/>
    <mergeCell ref="R3:S3"/>
    <mergeCell ref="B5:AF5"/>
  </mergeCells>
  <pageMargins left="0.95" right="0.2" top="0.75" bottom="0.75" header="0.3" footer="0.3"/>
  <pageSetup scale="42" orientation="landscape" r:id="rId1"/>
  <colBreaks count="1" manualBreakCount="1">
    <brk id="20" max="3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A896-E859-4E94-8DDF-40DFF1985EBC}">
  <dimension ref="A1:AF42"/>
  <sheetViews>
    <sheetView view="pageBreakPreview" zoomScale="70" zoomScaleNormal="70" zoomScaleSheetLayoutView="70" workbookViewId="0">
      <selection activeCell="AF5" sqref="AF5:AF10"/>
    </sheetView>
  </sheetViews>
  <sheetFormatPr defaultColWidth="11.85546875" defaultRowHeight="15"/>
  <cols>
    <col min="1" max="1" width="10.28515625" style="252" customWidth="1"/>
    <col min="2" max="2" width="45.85546875" style="252" customWidth="1"/>
    <col min="3" max="3" width="22" style="252" hidden="1" customWidth="1"/>
    <col min="4" max="4" width="20.85546875" style="252" hidden="1" customWidth="1"/>
    <col min="5" max="5" width="21.7109375" style="252" hidden="1" customWidth="1"/>
    <col min="6" max="6" width="22.28515625" style="252" hidden="1" customWidth="1"/>
    <col min="7" max="7" width="11.85546875" style="252"/>
    <col min="8" max="8" width="20.5703125" style="252" customWidth="1"/>
    <col min="9" max="9" width="11.85546875" style="252"/>
    <col min="10" max="10" width="21.140625" style="252" customWidth="1"/>
    <col min="11" max="11" width="11.85546875" style="252"/>
    <col min="12" max="12" width="21.85546875" style="252" customWidth="1"/>
    <col min="13" max="13" width="11.85546875" style="252"/>
    <col min="14" max="14" width="25.5703125" style="252" customWidth="1"/>
    <col min="15" max="15" width="11.85546875" style="252"/>
    <col min="16" max="16" width="16.85546875" style="252" customWidth="1"/>
    <col min="17" max="17" width="11.85546875" style="252"/>
    <col min="18" max="18" width="19.28515625" style="252" customWidth="1"/>
    <col min="19" max="19" width="11.85546875" style="252"/>
    <col min="20" max="20" width="20.42578125" style="252" customWidth="1"/>
    <col min="21" max="21" width="11.85546875" style="252"/>
    <col min="22" max="22" width="16.42578125" style="252" customWidth="1"/>
    <col min="23" max="23" width="11.85546875" style="252"/>
    <col min="24" max="24" width="19.85546875" style="252" customWidth="1"/>
    <col min="25" max="25" width="11.85546875" style="252"/>
    <col min="26" max="26" width="16.85546875" style="252" customWidth="1"/>
    <col min="27" max="27" width="11.85546875" style="252"/>
    <col min="28" max="28" width="19.7109375" style="252" customWidth="1"/>
    <col min="29" max="29" width="11.85546875" style="252"/>
    <col min="30" max="31" width="17" style="252" customWidth="1"/>
    <col min="32" max="16384" width="11.85546875" style="252"/>
  </cols>
  <sheetData>
    <row r="1" spans="1:32" ht="39" customHeight="1">
      <c r="A1" s="725" t="s">
        <v>662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725"/>
      <c r="AD1" s="725"/>
      <c r="AE1" s="725"/>
    </row>
    <row r="2" spans="1:32" ht="25.15" customHeight="1">
      <c r="A2" s="717" t="s">
        <v>1</v>
      </c>
      <c r="B2" s="717" t="s">
        <v>2</v>
      </c>
      <c r="C2" s="828" t="s">
        <v>536</v>
      </c>
      <c r="D2" s="828"/>
      <c r="E2" s="828"/>
      <c r="F2" s="829"/>
      <c r="G2" s="716" t="s">
        <v>616</v>
      </c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  <c r="AA2" s="716"/>
      <c r="AB2" s="716"/>
      <c r="AC2" s="716"/>
      <c r="AD2" s="716"/>
      <c r="AE2" s="716"/>
      <c r="AF2" s="251"/>
    </row>
    <row r="3" spans="1:32" ht="16.899999999999999" customHeight="1">
      <c r="A3" s="718"/>
      <c r="B3" s="718"/>
      <c r="C3" s="290" t="s">
        <v>612</v>
      </c>
      <c r="D3" s="290" t="s">
        <v>613</v>
      </c>
      <c r="E3" s="290" t="s">
        <v>534</v>
      </c>
      <c r="F3" s="290" t="s">
        <v>535</v>
      </c>
      <c r="G3" s="716" t="s">
        <v>1592</v>
      </c>
      <c r="H3" s="716"/>
      <c r="I3" s="716" t="s">
        <v>1593</v>
      </c>
      <c r="J3" s="716"/>
      <c r="K3" s="716" t="s">
        <v>1594</v>
      </c>
      <c r="L3" s="716"/>
      <c r="M3" s="716" t="s">
        <v>1595</v>
      </c>
      <c r="N3" s="716"/>
      <c r="O3" s="716" t="s">
        <v>1596</v>
      </c>
      <c r="P3" s="716"/>
      <c r="Q3" s="716" t="s">
        <v>1597</v>
      </c>
      <c r="R3" s="716"/>
      <c r="S3" s="716" t="s">
        <v>1598</v>
      </c>
      <c r="T3" s="716"/>
      <c r="U3" s="716" t="s">
        <v>1599</v>
      </c>
      <c r="V3" s="716"/>
      <c r="W3" s="716" t="s">
        <v>1600</v>
      </c>
      <c r="X3" s="716"/>
      <c r="Y3" s="716" t="s">
        <v>1601</v>
      </c>
      <c r="Z3" s="716"/>
      <c r="AA3" s="716" t="s">
        <v>1602</v>
      </c>
      <c r="AB3" s="716"/>
      <c r="AC3" s="716" t="s">
        <v>1603</v>
      </c>
      <c r="AD3" s="716"/>
      <c r="AE3" s="290"/>
      <c r="AF3" s="251"/>
    </row>
    <row r="4" spans="1:32" ht="50.45" customHeight="1">
      <c r="A4" s="291"/>
      <c r="B4" s="291"/>
      <c r="C4" s="290"/>
      <c r="D4" s="290"/>
      <c r="E4" s="290"/>
      <c r="F4" s="290"/>
      <c r="G4" s="290" t="s">
        <v>498</v>
      </c>
      <c r="H4" s="294" t="s">
        <v>496</v>
      </c>
      <c r="I4" s="290" t="s">
        <v>498</v>
      </c>
      <c r="J4" s="294" t="s">
        <v>496</v>
      </c>
      <c r="K4" s="290" t="s">
        <v>498</v>
      </c>
      <c r="L4" s="294" t="s">
        <v>496</v>
      </c>
      <c r="M4" s="290" t="s">
        <v>498</v>
      </c>
      <c r="N4" s="294" t="s">
        <v>496</v>
      </c>
      <c r="O4" s="290" t="s">
        <v>498</v>
      </c>
      <c r="P4" s="294" t="s">
        <v>496</v>
      </c>
      <c r="Q4" s="290" t="s">
        <v>498</v>
      </c>
      <c r="R4" s="294" t="s">
        <v>496</v>
      </c>
      <c r="S4" s="290" t="s">
        <v>498</v>
      </c>
      <c r="T4" s="294" t="s">
        <v>496</v>
      </c>
      <c r="U4" s="290" t="s">
        <v>498</v>
      </c>
      <c r="V4" s="294" t="s">
        <v>496</v>
      </c>
      <c r="W4" s="290" t="s">
        <v>498</v>
      </c>
      <c r="X4" s="294" t="s">
        <v>496</v>
      </c>
      <c r="Y4" s="290" t="s">
        <v>498</v>
      </c>
      <c r="Z4" s="294" t="s">
        <v>496</v>
      </c>
      <c r="AA4" s="290" t="s">
        <v>498</v>
      </c>
      <c r="AB4" s="294" t="s">
        <v>496</v>
      </c>
      <c r="AC4" s="290" t="s">
        <v>498</v>
      </c>
      <c r="AD4" s="294" t="s">
        <v>496</v>
      </c>
      <c r="AE4" s="464" t="s">
        <v>5</v>
      </c>
      <c r="AF4" s="251"/>
    </row>
    <row r="5" spans="1:32" ht="30" customHeight="1">
      <c r="A5" s="133" t="s">
        <v>18</v>
      </c>
      <c r="B5" s="149" t="s">
        <v>625</v>
      </c>
      <c r="C5" s="130"/>
      <c r="D5" s="130"/>
      <c r="E5" s="130"/>
      <c r="F5" s="130"/>
      <c r="G5" s="133">
        <v>15</v>
      </c>
      <c r="H5" s="130" t="s">
        <v>1223</v>
      </c>
      <c r="I5" s="133">
        <v>5.5</v>
      </c>
      <c r="J5" s="130" t="s">
        <v>1223</v>
      </c>
      <c r="K5" s="133">
        <v>5.5</v>
      </c>
      <c r="L5" s="130" t="s">
        <v>1604</v>
      </c>
      <c r="M5" s="133">
        <v>5.5</v>
      </c>
      <c r="N5" s="130" t="s">
        <v>1604</v>
      </c>
      <c r="O5" s="133">
        <v>5.5</v>
      </c>
      <c r="P5" s="130" t="s">
        <v>1604</v>
      </c>
      <c r="Q5" s="133">
        <v>5.5</v>
      </c>
      <c r="R5" s="130" t="s">
        <v>1604</v>
      </c>
      <c r="S5" s="133">
        <v>5.5</v>
      </c>
      <c r="T5" s="130" t="s">
        <v>1604</v>
      </c>
      <c r="U5" s="133">
        <v>5.5</v>
      </c>
      <c r="V5" s="130" t="s">
        <v>1604</v>
      </c>
      <c r="W5" s="133">
        <v>5.5</v>
      </c>
      <c r="X5" s="130" t="s">
        <v>1604</v>
      </c>
      <c r="Y5" s="133">
        <v>15</v>
      </c>
      <c r="Z5" s="130" t="s">
        <v>1223</v>
      </c>
      <c r="AA5" s="133">
        <v>15</v>
      </c>
      <c r="AB5" s="130" t="s">
        <v>1223</v>
      </c>
      <c r="AC5" s="133">
        <v>15</v>
      </c>
      <c r="AD5" s="130" t="s">
        <v>1223</v>
      </c>
      <c r="AE5" s="130">
        <v>30</v>
      </c>
      <c r="AF5" s="825" t="s">
        <v>1224</v>
      </c>
    </row>
    <row r="6" spans="1:32" ht="50.65" customHeight="1">
      <c r="A6" s="130">
        <v>1</v>
      </c>
      <c r="B6" s="93" t="s">
        <v>626</v>
      </c>
      <c r="C6" s="130" t="s">
        <v>1605</v>
      </c>
      <c r="D6" s="130"/>
      <c r="E6" s="130"/>
      <c r="F6" s="130"/>
      <c r="G6" s="133">
        <v>15</v>
      </c>
      <c r="H6" s="130" t="s">
        <v>1223</v>
      </c>
      <c r="I6" s="133">
        <v>5.5</v>
      </c>
      <c r="J6" s="130" t="s">
        <v>1223</v>
      </c>
      <c r="K6" s="133">
        <v>5.5</v>
      </c>
      <c r="L6" s="130" t="s">
        <v>1604</v>
      </c>
      <c r="M6" s="133">
        <v>5.5</v>
      </c>
      <c r="N6" s="130" t="s">
        <v>1604</v>
      </c>
      <c r="O6" s="133">
        <v>5.5</v>
      </c>
      <c r="P6" s="130" t="s">
        <v>1604</v>
      </c>
      <c r="Q6" s="133">
        <v>5.5</v>
      </c>
      <c r="R6" s="130" t="s">
        <v>1604</v>
      </c>
      <c r="S6" s="133">
        <v>5.5</v>
      </c>
      <c r="T6" s="130" t="s">
        <v>1604</v>
      </c>
      <c r="U6" s="133">
        <v>5.5</v>
      </c>
      <c r="V6" s="130" t="s">
        <v>1604</v>
      </c>
      <c r="W6" s="133">
        <v>5.5</v>
      </c>
      <c r="X6" s="130" t="s">
        <v>1604</v>
      </c>
      <c r="Y6" s="133">
        <v>15</v>
      </c>
      <c r="Z6" s="130" t="s">
        <v>1223</v>
      </c>
      <c r="AA6" s="133">
        <v>15</v>
      </c>
      <c r="AB6" s="130" t="s">
        <v>1223</v>
      </c>
      <c r="AC6" s="133">
        <v>15</v>
      </c>
      <c r="AD6" s="130" t="s">
        <v>1223</v>
      </c>
      <c r="AE6" s="130">
        <v>30</v>
      </c>
      <c r="AF6" s="826"/>
    </row>
    <row r="7" spans="1:32" ht="47.65" customHeight="1">
      <c r="A7" s="130">
        <v>2</v>
      </c>
      <c r="B7" s="93" t="s">
        <v>627</v>
      </c>
      <c r="C7" s="130" t="s">
        <v>1606</v>
      </c>
      <c r="D7" s="130"/>
      <c r="E7" s="130"/>
      <c r="F7" s="130"/>
      <c r="G7" s="133">
        <v>15</v>
      </c>
      <c r="H7" s="130" t="s">
        <v>1223</v>
      </c>
      <c r="I7" s="133">
        <v>5.5</v>
      </c>
      <c r="J7" s="130" t="s">
        <v>1223</v>
      </c>
      <c r="K7" s="133">
        <v>5.5</v>
      </c>
      <c r="L7" s="130" t="s">
        <v>1604</v>
      </c>
      <c r="M7" s="133">
        <v>5.5</v>
      </c>
      <c r="N7" s="130" t="s">
        <v>1604</v>
      </c>
      <c r="O7" s="133">
        <v>5.5</v>
      </c>
      <c r="P7" s="130" t="s">
        <v>1604</v>
      </c>
      <c r="Q7" s="133">
        <v>5.5</v>
      </c>
      <c r="R7" s="130" t="s">
        <v>1604</v>
      </c>
      <c r="S7" s="133">
        <v>5.5</v>
      </c>
      <c r="T7" s="130" t="s">
        <v>1604</v>
      </c>
      <c r="U7" s="133">
        <v>5.5</v>
      </c>
      <c r="V7" s="130" t="s">
        <v>1604</v>
      </c>
      <c r="W7" s="133">
        <v>5.5</v>
      </c>
      <c r="X7" s="130" t="s">
        <v>1604</v>
      </c>
      <c r="Y7" s="133">
        <v>15</v>
      </c>
      <c r="Z7" s="130" t="s">
        <v>1223</v>
      </c>
      <c r="AA7" s="133">
        <v>15</v>
      </c>
      <c r="AB7" s="130" t="s">
        <v>1223</v>
      </c>
      <c r="AC7" s="133">
        <v>15</v>
      </c>
      <c r="AD7" s="130" t="s">
        <v>1223</v>
      </c>
      <c r="AE7" s="130">
        <v>30</v>
      </c>
      <c r="AF7" s="826"/>
    </row>
    <row r="8" spans="1:32" ht="47.65" customHeight="1">
      <c r="A8" s="130">
        <v>3</v>
      </c>
      <c r="B8" s="93" t="s">
        <v>628</v>
      </c>
      <c r="C8" s="130" t="s">
        <v>1607</v>
      </c>
      <c r="D8" s="130"/>
      <c r="E8" s="130"/>
      <c r="F8" s="130"/>
      <c r="G8" s="133">
        <v>15</v>
      </c>
      <c r="H8" s="130" t="s">
        <v>1223</v>
      </c>
      <c r="I8" s="133">
        <v>5.5</v>
      </c>
      <c r="J8" s="130" t="s">
        <v>1223</v>
      </c>
      <c r="K8" s="133">
        <v>5.5</v>
      </c>
      <c r="L8" s="130" t="s">
        <v>1604</v>
      </c>
      <c r="M8" s="133">
        <v>5.5</v>
      </c>
      <c r="N8" s="130" t="s">
        <v>1604</v>
      </c>
      <c r="O8" s="133">
        <v>5.5</v>
      </c>
      <c r="P8" s="130" t="s">
        <v>1604</v>
      </c>
      <c r="Q8" s="133">
        <v>5.5</v>
      </c>
      <c r="R8" s="130" t="s">
        <v>1604</v>
      </c>
      <c r="S8" s="133">
        <v>5.5</v>
      </c>
      <c r="T8" s="130" t="s">
        <v>1604</v>
      </c>
      <c r="U8" s="133">
        <v>5.5</v>
      </c>
      <c r="V8" s="130" t="s">
        <v>1604</v>
      </c>
      <c r="W8" s="133">
        <v>5.5</v>
      </c>
      <c r="X8" s="130" t="s">
        <v>1604</v>
      </c>
      <c r="Y8" s="133">
        <v>15</v>
      </c>
      <c r="Z8" s="130" t="s">
        <v>1223</v>
      </c>
      <c r="AA8" s="133">
        <v>15</v>
      </c>
      <c r="AB8" s="130" t="s">
        <v>1223</v>
      </c>
      <c r="AC8" s="133">
        <v>15</v>
      </c>
      <c r="AD8" s="130" t="s">
        <v>1223</v>
      </c>
      <c r="AE8" s="130">
        <v>30</v>
      </c>
      <c r="AF8" s="826"/>
    </row>
    <row r="9" spans="1:32" ht="47.65" customHeight="1">
      <c r="A9" s="130">
        <v>4</v>
      </c>
      <c r="B9" s="93" t="s">
        <v>629</v>
      </c>
      <c r="C9" s="130" t="s">
        <v>1608</v>
      </c>
      <c r="D9" s="130"/>
      <c r="E9" s="130"/>
      <c r="F9" s="130"/>
      <c r="G9" s="133">
        <v>15</v>
      </c>
      <c r="H9" s="130" t="s">
        <v>1223</v>
      </c>
      <c r="I9" s="133">
        <v>5.5</v>
      </c>
      <c r="J9" s="130" t="s">
        <v>1223</v>
      </c>
      <c r="K9" s="133">
        <v>5.5</v>
      </c>
      <c r="L9" s="130" t="s">
        <v>1604</v>
      </c>
      <c r="M9" s="133">
        <v>5.5</v>
      </c>
      <c r="N9" s="130" t="s">
        <v>1604</v>
      </c>
      <c r="O9" s="133">
        <v>5.5</v>
      </c>
      <c r="P9" s="130" t="s">
        <v>1604</v>
      </c>
      <c r="Q9" s="133">
        <v>5.5</v>
      </c>
      <c r="R9" s="130" t="s">
        <v>1604</v>
      </c>
      <c r="S9" s="133">
        <v>5.5</v>
      </c>
      <c r="T9" s="130" t="s">
        <v>1604</v>
      </c>
      <c r="U9" s="133">
        <v>5.5</v>
      </c>
      <c r="V9" s="130" t="s">
        <v>1604</v>
      </c>
      <c r="W9" s="133">
        <v>5.5</v>
      </c>
      <c r="X9" s="130" t="s">
        <v>1604</v>
      </c>
      <c r="Y9" s="133">
        <v>15</v>
      </c>
      <c r="Z9" s="130" t="s">
        <v>1223</v>
      </c>
      <c r="AA9" s="133">
        <v>15</v>
      </c>
      <c r="AB9" s="130" t="s">
        <v>1223</v>
      </c>
      <c r="AC9" s="133">
        <v>15</v>
      </c>
      <c r="AD9" s="130" t="s">
        <v>1223</v>
      </c>
      <c r="AE9" s="130">
        <v>30</v>
      </c>
      <c r="AF9" s="826"/>
    </row>
    <row r="10" spans="1:32" ht="47.65" customHeight="1">
      <c r="A10" s="130">
        <v>5</v>
      </c>
      <c r="B10" s="93" t="s">
        <v>630</v>
      </c>
      <c r="C10" s="130" t="s">
        <v>1609</v>
      </c>
      <c r="D10" s="130"/>
      <c r="E10" s="130"/>
      <c r="F10" s="130"/>
      <c r="G10" s="133">
        <v>15</v>
      </c>
      <c r="H10" s="130" t="s">
        <v>1223</v>
      </c>
      <c r="I10" s="133">
        <v>5.5</v>
      </c>
      <c r="J10" s="130" t="s">
        <v>1223</v>
      </c>
      <c r="K10" s="133">
        <v>5.5</v>
      </c>
      <c r="L10" s="130" t="s">
        <v>1604</v>
      </c>
      <c r="M10" s="133">
        <v>5.5</v>
      </c>
      <c r="N10" s="130" t="s">
        <v>1604</v>
      </c>
      <c r="O10" s="133">
        <v>5.5</v>
      </c>
      <c r="P10" s="130" t="s">
        <v>1604</v>
      </c>
      <c r="Q10" s="133">
        <v>5.5</v>
      </c>
      <c r="R10" s="130" t="s">
        <v>1604</v>
      </c>
      <c r="S10" s="133">
        <v>5.5</v>
      </c>
      <c r="T10" s="130" t="s">
        <v>1604</v>
      </c>
      <c r="U10" s="133">
        <v>5.5</v>
      </c>
      <c r="V10" s="130" t="s">
        <v>1604</v>
      </c>
      <c r="W10" s="133">
        <v>5.5</v>
      </c>
      <c r="X10" s="130" t="s">
        <v>1604</v>
      </c>
      <c r="Y10" s="133">
        <v>15</v>
      </c>
      <c r="Z10" s="130" t="s">
        <v>1223</v>
      </c>
      <c r="AA10" s="133">
        <v>15</v>
      </c>
      <c r="AB10" s="130" t="s">
        <v>1223</v>
      </c>
      <c r="AC10" s="133">
        <v>15</v>
      </c>
      <c r="AD10" s="130" t="s">
        <v>1223</v>
      </c>
      <c r="AE10" s="130">
        <v>30</v>
      </c>
      <c r="AF10" s="827"/>
    </row>
    <row r="11" spans="1:32" ht="47.65" customHeight="1">
      <c r="A11" s="130">
        <v>6</v>
      </c>
      <c r="B11" s="93" t="s">
        <v>631</v>
      </c>
      <c r="C11" s="130"/>
      <c r="D11" s="130"/>
      <c r="E11" s="130"/>
      <c r="F11" s="130"/>
      <c r="G11" s="133">
        <v>15</v>
      </c>
      <c r="H11" s="130" t="s">
        <v>1223</v>
      </c>
      <c r="I11" s="133">
        <v>15</v>
      </c>
      <c r="J11" s="130" t="s">
        <v>1223</v>
      </c>
      <c r="K11" s="133">
        <v>5.5</v>
      </c>
      <c r="L11" s="130" t="s">
        <v>1604</v>
      </c>
      <c r="M11" s="133">
        <v>5.5</v>
      </c>
      <c r="N11" s="130" t="s">
        <v>1604</v>
      </c>
      <c r="O11" s="133" t="s">
        <v>1610</v>
      </c>
      <c r="P11" s="130" t="s">
        <v>1604</v>
      </c>
      <c r="Q11" s="133">
        <v>0</v>
      </c>
      <c r="R11" s="130" t="s">
        <v>1604</v>
      </c>
      <c r="S11" s="133">
        <v>6</v>
      </c>
      <c r="T11" s="130" t="s">
        <v>1604</v>
      </c>
      <c r="U11" s="133">
        <v>6</v>
      </c>
      <c r="V11" s="130" t="s">
        <v>1604</v>
      </c>
      <c r="W11" s="133">
        <v>6</v>
      </c>
      <c r="X11" s="130" t="s">
        <v>1604</v>
      </c>
      <c r="Y11" s="133">
        <v>15</v>
      </c>
      <c r="Z11" s="130" t="s">
        <v>1223</v>
      </c>
      <c r="AA11" s="133">
        <v>15</v>
      </c>
      <c r="AB11" s="130" t="s">
        <v>1223</v>
      </c>
      <c r="AC11" s="133">
        <v>15</v>
      </c>
      <c r="AD11" s="130" t="s">
        <v>1223</v>
      </c>
      <c r="AE11" s="130">
        <v>30</v>
      </c>
      <c r="AF11" s="249"/>
    </row>
    <row r="12" spans="1:32" ht="47.65" customHeight="1">
      <c r="A12" s="130">
        <v>7</v>
      </c>
      <c r="B12" s="93" t="s">
        <v>632</v>
      </c>
      <c r="C12" s="130" t="s">
        <v>1611</v>
      </c>
      <c r="D12" s="130"/>
      <c r="E12" s="130"/>
      <c r="F12" s="130"/>
      <c r="G12" s="133">
        <v>0</v>
      </c>
      <c r="H12" s="130" t="s">
        <v>863</v>
      </c>
      <c r="I12" s="133">
        <v>3</v>
      </c>
      <c r="J12" s="130" t="s">
        <v>1612</v>
      </c>
      <c r="K12" s="133">
        <v>0</v>
      </c>
      <c r="L12" s="130" t="s">
        <v>863</v>
      </c>
      <c r="M12" s="133" t="s">
        <v>1613</v>
      </c>
      <c r="N12" s="130" t="s">
        <v>1614</v>
      </c>
      <c r="O12" s="133" t="s">
        <v>1613</v>
      </c>
      <c r="P12" s="130" t="s">
        <v>1614</v>
      </c>
      <c r="Q12" s="133">
        <v>0</v>
      </c>
      <c r="R12" s="130" t="s">
        <v>1614</v>
      </c>
      <c r="S12" s="133">
        <v>6</v>
      </c>
      <c r="T12" s="130" t="s">
        <v>1614</v>
      </c>
      <c r="U12" s="133">
        <v>6</v>
      </c>
      <c r="V12" s="130" t="s">
        <v>1614</v>
      </c>
      <c r="W12" s="133">
        <v>3</v>
      </c>
      <c r="X12" s="130" t="s">
        <v>1615</v>
      </c>
      <c r="Y12" s="133">
        <v>0</v>
      </c>
      <c r="Z12" s="130" t="s">
        <v>863</v>
      </c>
      <c r="AA12" s="133">
        <v>0</v>
      </c>
      <c r="AB12" s="130" t="s">
        <v>863</v>
      </c>
      <c r="AC12" s="133">
        <v>0</v>
      </c>
      <c r="AD12" s="130" t="s">
        <v>863</v>
      </c>
      <c r="AE12" s="130">
        <v>30</v>
      </c>
      <c r="AF12" s="249"/>
    </row>
    <row r="13" spans="1:32" ht="47.65" customHeight="1">
      <c r="A13" s="130">
        <v>8</v>
      </c>
      <c r="B13" s="93" t="s">
        <v>633</v>
      </c>
      <c r="C13" s="130"/>
      <c r="D13" s="130"/>
      <c r="E13" s="130"/>
      <c r="F13" s="130"/>
      <c r="G13" s="133">
        <v>0</v>
      </c>
      <c r="H13" s="130" t="s">
        <v>863</v>
      </c>
      <c r="I13" s="133">
        <v>2.5</v>
      </c>
      <c r="J13" s="130" t="s">
        <v>1616</v>
      </c>
      <c r="K13" s="133">
        <v>5.5</v>
      </c>
      <c r="L13" s="130" t="s">
        <v>863</v>
      </c>
      <c r="M13" s="133" t="s">
        <v>1613</v>
      </c>
      <c r="N13" s="130" t="s">
        <v>1614</v>
      </c>
      <c r="O13" s="133" t="s">
        <v>1613</v>
      </c>
      <c r="P13" s="130" t="s">
        <v>1614</v>
      </c>
      <c r="Q13" s="133" t="s">
        <v>1613</v>
      </c>
      <c r="R13" s="130" t="s">
        <v>1614</v>
      </c>
      <c r="S13" s="133" t="s">
        <v>1613</v>
      </c>
      <c r="T13" s="130" t="s">
        <v>1614</v>
      </c>
      <c r="U13" s="133" t="s">
        <v>1613</v>
      </c>
      <c r="V13" s="130" t="s">
        <v>1614</v>
      </c>
      <c r="W13" s="133">
        <v>3</v>
      </c>
      <c r="X13" s="130" t="s">
        <v>1615</v>
      </c>
      <c r="Y13" s="133">
        <v>0</v>
      </c>
      <c r="Z13" s="130" t="s">
        <v>863</v>
      </c>
      <c r="AA13" s="133">
        <v>0</v>
      </c>
      <c r="AB13" s="130" t="s">
        <v>863</v>
      </c>
      <c r="AC13" s="133">
        <v>0</v>
      </c>
      <c r="AD13" s="130" t="s">
        <v>863</v>
      </c>
      <c r="AE13" s="130">
        <v>30</v>
      </c>
      <c r="AF13" s="249"/>
    </row>
    <row r="14" spans="1:32" ht="47.65" customHeight="1">
      <c r="A14" s="130">
        <v>9</v>
      </c>
      <c r="B14" s="93" t="s">
        <v>634</v>
      </c>
      <c r="C14" s="130"/>
      <c r="D14" s="130"/>
      <c r="E14" s="130"/>
      <c r="F14" s="130"/>
      <c r="G14" s="133">
        <v>0</v>
      </c>
      <c r="H14" s="130" t="s">
        <v>863</v>
      </c>
      <c r="I14" s="133">
        <v>2.5</v>
      </c>
      <c r="J14" s="130" t="s">
        <v>1226</v>
      </c>
      <c r="K14" s="133">
        <v>5.5</v>
      </c>
      <c r="L14" s="130" t="s">
        <v>1226</v>
      </c>
      <c r="M14" s="133">
        <v>5.5</v>
      </c>
      <c r="N14" s="130" t="s">
        <v>1227</v>
      </c>
      <c r="O14" s="133">
        <v>0</v>
      </c>
      <c r="P14" s="130" t="s">
        <v>1225</v>
      </c>
      <c r="Q14" s="133">
        <v>2.5</v>
      </c>
      <c r="R14" s="130" t="s">
        <v>1225</v>
      </c>
      <c r="S14" s="133">
        <v>5.5</v>
      </c>
      <c r="T14" s="130" t="s">
        <v>1227</v>
      </c>
      <c r="U14" s="133">
        <v>5.5</v>
      </c>
      <c r="V14" s="130" t="s">
        <v>1227</v>
      </c>
      <c r="W14" s="133" t="s">
        <v>1617</v>
      </c>
      <c r="X14" s="130" t="s">
        <v>1618</v>
      </c>
      <c r="Y14" s="133">
        <v>2.5</v>
      </c>
      <c r="Z14" s="130" t="s">
        <v>1618</v>
      </c>
      <c r="AA14" s="133">
        <v>0</v>
      </c>
      <c r="AB14" s="130" t="s">
        <v>863</v>
      </c>
      <c r="AC14" s="133">
        <v>0</v>
      </c>
      <c r="AD14" s="130" t="s">
        <v>863</v>
      </c>
      <c r="AE14" s="130">
        <v>30</v>
      </c>
      <c r="AF14" s="249"/>
    </row>
    <row r="15" spans="1:32" ht="47.65" customHeight="1">
      <c r="A15" s="130">
        <v>10</v>
      </c>
      <c r="B15" s="220" t="s">
        <v>635</v>
      </c>
      <c r="C15" s="248"/>
      <c r="D15" s="248"/>
      <c r="E15" s="248"/>
      <c r="F15" s="248"/>
      <c r="G15" s="25">
        <v>0</v>
      </c>
      <c r="H15" s="130" t="s">
        <v>863</v>
      </c>
      <c r="I15" s="25">
        <v>12</v>
      </c>
      <c r="J15" s="130" t="s">
        <v>1226</v>
      </c>
      <c r="K15" s="25">
        <v>12</v>
      </c>
      <c r="L15" s="130" t="s">
        <v>1226</v>
      </c>
      <c r="M15" s="25">
        <v>12</v>
      </c>
      <c r="N15" s="130" t="s">
        <v>1227</v>
      </c>
      <c r="O15" s="25">
        <v>12</v>
      </c>
      <c r="P15" s="130" t="s">
        <v>1225</v>
      </c>
      <c r="Q15" s="25">
        <v>12</v>
      </c>
      <c r="R15" s="130" t="s">
        <v>1225</v>
      </c>
      <c r="S15" s="25">
        <v>12</v>
      </c>
      <c r="T15" s="130" t="s">
        <v>1225</v>
      </c>
      <c r="U15" s="25">
        <v>12</v>
      </c>
      <c r="V15" s="130" t="s">
        <v>1225</v>
      </c>
      <c r="W15" s="25">
        <v>12</v>
      </c>
      <c r="X15" s="130" t="s">
        <v>1618</v>
      </c>
      <c r="Y15" s="25">
        <v>12</v>
      </c>
      <c r="Z15" s="130" t="s">
        <v>1618</v>
      </c>
      <c r="AA15" s="25">
        <v>12</v>
      </c>
      <c r="AB15" s="130" t="s">
        <v>863</v>
      </c>
      <c r="AC15" s="25">
        <v>12</v>
      </c>
      <c r="AD15" s="130" t="s">
        <v>863</v>
      </c>
      <c r="AE15" s="130">
        <v>30</v>
      </c>
      <c r="AF15" s="249"/>
    </row>
    <row r="16" spans="1:32" ht="47.65" customHeight="1">
      <c r="A16" s="130">
        <v>11</v>
      </c>
      <c r="B16" s="134" t="s">
        <v>636</v>
      </c>
      <c r="C16" s="130" t="s">
        <v>1619</v>
      </c>
      <c r="D16" s="130"/>
      <c r="E16" s="130"/>
      <c r="F16" s="130"/>
      <c r="G16" s="25">
        <v>11</v>
      </c>
      <c r="H16" s="168" t="s">
        <v>1210</v>
      </c>
      <c r="I16" s="25">
        <v>12</v>
      </c>
      <c r="J16" s="168" t="s">
        <v>1210</v>
      </c>
      <c r="K16" s="25">
        <v>12</v>
      </c>
      <c r="L16" s="168" t="s">
        <v>1210</v>
      </c>
      <c r="M16" s="25">
        <v>12</v>
      </c>
      <c r="N16" s="168" t="s">
        <v>1210</v>
      </c>
      <c r="O16" s="25">
        <v>12</v>
      </c>
      <c r="P16" s="168" t="s">
        <v>1210</v>
      </c>
      <c r="Q16" s="25">
        <v>12</v>
      </c>
      <c r="R16" s="168" t="s">
        <v>1210</v>
      </c>
      <c r="S16" s="25">
        <v>12</v>
      </c>
      <c r="T16" s="168" t="s">
        <v>1210</v>
      </c>
      <c r="U16" s="25">
        <v>12</v>
      </c>
      <c r="V16" s="168" t="s">
        <v>1210</v>
      </c>
      <c r="W16" s="25">
        <v>12</v>
      </c>
      <c r="X16" s="168" t="s">
        <v>1210</v>
      </c>
      <c r="Y16" s="25">
        <v>12</v>
      </c>
      <c r="Z16" s="168" t="s">
        <v>1210</v>
      </c>
      <c r="AA16" s="25">
        <v>12</v>
      </c>
      <c r="AB16" s="168" t="s">
        <v>1210</v>
      </c>
      <c r="AC16" s="25">
        <v>12</v>
      </c>
      <c r="AD16" s="168" t="s">
        <v>1210</v>
      </c>
      <c r="AE16" s="130">
        <v>30</v>
      </c>
      <c r="AF16" s="249"/>
    </row>
    <row r="17" spans="1:32" ht="47.65" customHeight="1">
      <c r="A17" s="130">
        <v>12</v>
      </c>
      <c r="B17" s="134" t="s">
        <v>637</v>
      </c>
      <c r="C17" s="130"/>
      <c r="D17" s="130"/>
      <c r="E17" s="130"/>
      <c r="F17" s="130"/>
      <c r="G17" s="133" t="s">
        <v>896</v>
      </c>
      <c r="H17" s="130" t="s">
        <v>1620</v>
      </c>
      <c r="I17" s="133">
        <v>2.5</v>
      </c>
      <c r="J17" s="130" t="s">
        <v>1226</v>
      </c>
      <c r="K17" s="133">
        <v>3.5</v>
      </c>
      <c r="L17" s="130" t="s">
        <v>1226</v>
      </c>
      <c r="M17" s="133">
        <v>3.5</v>
      </c>
      <c r="N17" s="130" t="s">
        <v>1228</v>
      </c>
      <c r="O17" s="133">
        <v>0</v>
      </c>
      <c r="P17" s="130" t="s">
        <v>863</v>
      </c>
      <c r="Q17" s="133">
        <v>2.5</v>
      </c>
      <c r="R17" s="130" t="s">
        <v>1226</v>
      </c>
      <c r="S17" s="133">
        <v>3.5</v>
      </c>
      <c r="T17" s="130" t="s">
        <v>1228</v>
      </c>
      <c r="U17" s="133">
        <v>3.5</v>
      </c>
      <c r="V17" s="130" t="s">
        <v>1228</v>
      </c>
      <c r="W17" s="133">
        <v>0</v>
      </c>
      <c r="X17" s="130" t="s">
        <v>863</v>
      </c>
      <c r="Y17" s="133">
        <v>2.5</v>
      </c>
      <c r="Z17" s="130" t="s">
        <v>863</v>
      </c>
      <c r="AA17" s="133">
        <v>3.5</v>
      </c>
      <c r="AB17" s="130" t="s">
        <v>1228</v>
      </c>
      <c r="AC17" s="133">
        <v>3.5</v>
      </c>
      <c r="AD17" s="130" t="s">
        <v>1228</v>
      </c>
      <c r="AE17" s="130">
        <v>30</v>
      </c>
      <c r="AF17" s="249"/>
    </row>
    <row r="18" spans="1:32" ht="47.65" customHeight="1">
      <c r="A18" s="130">
        <v>13</v>
      </c>
      <c r="B18" s="134" t="s">
        <v>638</v>
      </c>
      <c r="C18" s="130"/>
      <c r="D18" s="130"/>
      <c r="E18" s="130"/>
      <c r="F18" s="130"/>
      <c r="G18" s="133">
        <v>0</v>
      </c>
      <c r="H18" s="130" t="s">
        <v>863</v>
      </c>
      <c r="I18" s="133">
        <v>2.5</v>
      </c>
      <c r="J18" s="130" t="s">
        <v>1616</v>
      </c>
      <c r="K18" s="133" t="s">
        <v>1617</v>
      </c>
      <c r="L18" s="130" t="s">
        <v>1616</v>
      </c>
      <c r="M18" s="133">
        <v>3.5</v>
      </c>
      <c r="N18" s="130" t="s">
        <v>1621</v>
      </c>
      <c r="O18" s="133" t="s">
        <v>1622</v>
      </c>
      <c r="P18" s="130" t="s">
        <v>1621</v>
      </c>
      <c r="Q18" s="133" t="s">
        <v>1622</v>
      </c>
      <c r="R18" s="130" t="s">
        <v>1621</v>
      </c>
      <c r="S18" s="133">
        <v>3.5</v>
      </c>
      <c r="T18" s="130" t="s">
        <v>1621</v>
      </c>
      <c r="U18" s="133">
        <v>3.5</v>
      </c>
      <c r="V18" s="130" t="s">
        <v>1621</v>
      </c>
      <c r="W18" s="133">
        <v>2</v>
      </c>
      <c r="X18" s="130" t="s">
        <v>1623</v>
      </c>
      <c r="Y18" s="133">
        <v>0</v>
      </c>
      <c r="Z18" s="130" t="s">
        <v>863</v>
      </c>
      <c r="AA18" s="133">
        <v>0</v>
      </c>
      <c r="AB18" s="130" t="s">
        <v>863</v>
      </c>
      <c r="AC18" s="133">
        <v>0</v>
      </c>
      <c r="AD18" s="130" t="s">
        <v>863</v>
      </c>
      <c r="AE18" s="130">
        <v>30</v>
      </c>
      <c r="AF18" s="249"/>
    </row>
    <row r="19" spans="1:32" ht="47.65" customHeight="1">
      <c r="A19" s="130">
        <v>14</v>
      </c>
      <c r="B19" s="134" t="s">
        <v>639</v>
      </c>
      <c r="C19" s="130"/>
      <c r="D19" s="130"/>
      <c r="E19" s="130"/>
      <c r="F19" s="130"/>
      <c r="G19" s="133">
        <v>0</v>
      </c>
      <c r="H19" s="130" t="s">
        <v>863</v>
      </c>
      <c r="I19" s="133" t="s">
        <v>1617</v>
      </c>
      <c r="J19" s="130" t="s">
        <v>1616</v>
      </c>
      <c r="K19" s="133" t="s">
        <v>1617</v>
      </c>
      <c r="L19" s="130" t="s">
        <v>1616</v>
      </c>
      <c r="M19" s="133" t="s">
        <v>1622</v>
      </c>
      <c r="N19" s="130" t="s">
        <v>1621</v>
      </c>
      <c r="O19" s="133" t="s">
        <v>1622</v>
      </c>
      <c r="P19" s="130" t="s">
        <v>1621</v>
      </c>
      <c r="Q19" s="133" t="s">
        <v>1622</v>
      </c>
      <c r="R19" s="130" t="s">
        <v>1621</v>
      </c>
      <c r="S19" s="133" t="s">
        <v>1622</v>
      </c>
      <c r="T19" s="130" t="s">
        <v>1621</v>
      </c>
      <c r="U19" s="133" t="s">
        <v>1622</v>
      </c>
      <c r="V19" s="130" t="s">
        <v>1621</v>
      </c>
      <c r="W19" s="133">
        <v>2</v>
      </c>
      <c r="X19" s="130" t="s">
        <v>1623</v>
      </c>
      <c r="Y19" s="133">
        <v>0</v>
      </c>
      <c r="Z19" s="130" t="s">
        <v>863</v>
      </c>
      <c r="AA19" s="133">
        <v>0</v>
      </c>
      <c r="AB19" s="130" t="s">
        <v>863</v>
      </c>
      <c r="AC19" s="133">
        <v>0</v>
      </c>
      <c r="AD19" s="130" t="s">
        <v>863</v>
      </c>
      <c r="AE19" s="130">
        <v>30</v>
      </c>
      <c r="AF19" s="249"/>
    </row>
    <row r="20" spans="1:32" ht="47.65" customHeight="1">
      <c r="A20" s="130">
        <v>15</v>
      </c>
      <c r="B20" s="134" t="s">
        <v>640</v>
      </c>
      <c r="C20" s="130" t="s">
        <v>1624</v>
      </c>
      <c r="D20" s="130"/>
      <c r="E20" s="130"/>
      <c r="F20" s="130"/>
      <c r="G20" s="133">
        <v>13</v>
      </c>
      <c r="H20" s="130" t="s">
        <v>1625</v>
      </c>
      <c r="I20" s="133">
        <v>13</v>
      </c>
      <c r="J20" s="130" t="s">
        <v>1625</v>
      </c>
      <c r="K20" s="133">
        <v>13</v>
      </c>
      <c r="L20" s="130" t="s">
        <v>1625</v>
      </c>
      <c r="M20" s="133">
        <v>13</v>
      </c>
      <c r="N20" s="130" t="s">
        <v>1625</v>
      </c>
      <c r="O20" s="133">
        <v>13</v>
      </c>
      <c r="P20" s="130" t="s">
        <v>1625</v>
      </c>
      <c r="Q20" s="133">
        <v>13</v>
      </c>
      <c r="R20" s="130" t="s">
        <v>1625</v>
      </c>
      <c r="S20" s="133">
        <v>13</v>
      </c>
      <c r="T20" s="130" t="s">
        <v>1625</v>
      </c>
      <c r="U20" s="133">
        <v>13</v>
      </c>
      <c r="V20" s="130" t="s">
        <v>1625</v>
      </c>
      <c r="W20" s="133">
        <v>13</v>
      </c>
      <c r="X20" s="130" t="s">
        <v>1625</v>
      </c>
      <c r="Y20" s="133">
        <v>13</v>
      </c>
      <c r="Z20" s="130" t="s">
        <v>1625</v>
      </c>
      <c r="AA20" s="133">
        <v>13</v>
      </c>
      <c r="AB20" s="130" t="s">
        <v>1625</v>
      </c>
      <c r="AC20" s="133">
        <v>13</v>
      </c>
      <c r="AD20" s="130" t="s">
        <v>1625</v>
      </c>
      <c r="AE20" s="130">
        <v>30</v>
      </c>
      <c r="AF20" s="249"/>
    </row>
    <row r="21" spans="1:32" ht="30" customHeight="1">
      <c r="A21" s="130">
        <v>16</v>
      </c>
      <c r="B21" s="134" t="s">
        <v>641</v>
      </c>
      <c r="C21" s="130"/>
      <c r="D21" s="130"/>
      <c r="E21" s="130"/>
      <c r="F21" s="130"/>
      <c r="G21" s="133">
        <v>13</v>
      </c>
      <c r="H21" s="130" t="s">
        <v>1625</v>
      </c>
      <c r="I21" s="133">
        <v>13</v>
      </c>
      <c r="J21" s="130" t="s">
        <v>1625</v>
      </c>
      <c r="K21" s="133">
        <v>13</v>
      </c>
      <c r="L21" s="130" t="s">
        <v>1625</v>
      </c>
      <c r="M21" s="133">
        <v>13</v>
      </c>
      <c r="N21" s="130" t="s">
        <v>1625</v>
      </c>
      <c r="O21" s="133">
        <v>13</v>
      </c>
      <c r="P21" s="130" t="s">
        <v>1625</v>
      </c>
      <c r="Q21" s="133">
        <v>13</v>
      </c>
      <c r="R21" s="130" t="s">
        <v>1625</v>
      </c>
      <c r="S21" s="133">
        <v>13</v>
      </c>
      <c r="T21" s="130" t="s">
        <v>1625</v>
      </c>
      <c r="U21" s="133">
        <v>13</v>
      </c>
      <c r="V21" s="130" t="s">
        <v>1625</v>
      </c>
      <c r="W21" s="133">
        <v>13</v>
      </c>
      <c r="X21" s="130" t="s">
        <v>1625</v>
      </c>
      <c r="Y21" s="133">
        <v>13</v>
      </c>
      <c r="Z21" s="130" t="s">
        <v>1625</v>
      </c>
      <c r="AA21" s="133">
        <v>13</v>
      </c>
      <c r="AB21" s="130" t="s">
        <v>1625</v>
      </c>
      <c r="AC21" s="133">
        <v>13</v>
      </c>
      <c r="AD21" s="130" t="s">
        <v>1625</v>
      </c>
      <c r="AE21" s="130">
        <v>30</v>
      </c>
      <c r="AF21" s="249"/>
    </row>
    <row r="22" spans="1:32" ht="30" customHeight="1">
      <c r="A22" s="130">
        <v>17</v>
      </c>
      <c r="B22" s="134" t="s">
        <v>642</v>
      </c>
      <c r="C22" s="130"/>
      <c r="D22" s="130"/>
      <c r="E22" s="130"/>
      <c r="F22" s="130"/>
      <c r="G22" s="133">
        <v>17.5</v>
      </c>
      <c r="H22" s="130" t="s">
        <v>1229</v>
      </c>
      <c r="I22" s="133">
        <v>17.5</v>
      </c>
      <c r="J22" s="130" t="s">
        <v>1229</v>
      </c>
      <c r="K22" s="133">
        <v>17.5</v>
      </c>
      <c r="L22" s="130" t="s">
        <v>1229</v>
      </c>
      <c r="M22" s="133">
        <v>17.5</v>
      </c>
      <c r="N22" s="130" t="s">
        <v>1229</v>
      </c>
      <c r="O22" s="133">
        <v>17.5</v>
      </c>
      <c r="P22" s="130" t="s">
        <v>1229</v>
      </c>
      <c r="Q22" s="133">
        <v>17.5</v>
      </c>
      <c r="R22" s="130" t="s">
        <v>1229</v>
      </c>
      <c r="S22" s="133">
        <v>17.5</v>
      </c>
      <c r="T22" s="130" t="s">
        <v>1626</v>
      </c>
      <c r="U22" s="133">
        <v>17.5</v>
      </c>
      <c r="V22" s="130" t="s">
        <v>1626</v>
      </c>
      <c r="W22" s="133">
        <v>17.5</v>
      </c>
      <c r="X22" s="130" t="s">
        <v>1626</v>
      </c>
      <c r="Y22" s="133">
        <v>17.5</v>
      </c>
      <c r="Z22" s="130" t="s">
        <v>1626</v>
      </c>
      <c r="AA22" s="133">
        <v>17.5</v>
      </c>
      <c r="AB22" s="130" t="s">
        <v>1626</v>
      </c>
      <c r="AC22" s="133">
        <v>17.5</v>
      </c>
      <c r="AD22" s="130" t="s">
        <v>1626</v>
      </c>
      <c r="AE22" s="130">
        <v>30</v>
      </c>
      <c r="AF22" s="249"/>
    </row>
    <row r="23" spans="1:32" ht="78" customHeight="1">
      <c r="A23" s="130">
        <v>18</v>
      </c>
      <c r="B23" s="134" t="s">
        <v>643</v>
      </c>
      <c r="C23" s="130"/>
      <c r="D23" s="130"/>
      <c r="E23" s="130"/>
      <c r="F23" s="130"/>
      <c r="G23" s="133">
        <v>17.5</v>
      </c>
      <c r="H23" s="130" t="s">
        <v>1229</v>
      </c>
      <c r="I23" s="133">
        <v>17.5</v>
      </c>
      <c r="J23" s="130" t="s">
        <v>1229</v>
      </c>
      <c r="K23" s="133">
        <v>17.5</v>
      </c>
      <c r="L23" s="130" t="s">
        <v>1229</v>
      </c>
      <c r="M23" s="133">
        <v>17.5</v>
      </c>
      <c r="N23" s="130" t="s">
        <v>1229</v>
      </c>
      <c r="O23" s="133">
        <v>17.5</v>
      </c>
      <c r="P23" s="130" t="s">
        <v>1229</v>
      </c>
      <c r="Q23" s="133">
        <v>17.5</v>
      </c>
      <c r="R23" s="130" t="s">
        <v>1229</v>
      </c>
      <c r="S23" s="133">
        <v>17.5</v>
      </c>
      <c r="T23" s="130" t="s">
        <v>1626</v>
      </c>
      <c r="U23" s="133">
        <v>17.5</v>
      </c>
      <c r="V23" s="130" t="s">
        <v>1626</v>
      </c>
      <c r="W23" s="133">
        <v>17.5</v>
      </c>
      <c r="X23" s="130" t="s">
        <v>1626</v>
      </c>
      <c r="Y23" s="133">
        <v>17.5</v>
      </c>
      <c r="Z23" s="130" t="s">
        <v>1626</v>
      </c>
      <c r="AA23" s="133">
        <v>17.5</v>
      </c>
      <c r="AB23" s="130" t="s">
        <v>1626</v>
      </c>
      <c r="AC23" s="133">
        <v>17.5</v>
      </c>
      <c r="AD23" s="130" t="s">
        <v>1626</v>
      </c>
      <c r="AE23" s="130">
        <v>30</v>
      </c>
      <c r="AF23" s="249"/>
    </row>
    <row r="24" spans="1:32" ht="97.9" customHeight="1">
      <c r="A24" s="130">
        <v>19</v>
      </c>
      <c r="B24" s="134" t="s">
        <v>644</v>
      </c>
      <c r="C24" s="130" t="s">
        <v>1627</v>
      </c>
      <c r="D24" s="130"/>
      <c r="E24" s="130"/>
      <c r="F24" s="130"/>
      <c r="G24" s="133">
        <v>0</v>
      </c>
      <c r="H24" s="130" t="s">
        <v>863</v>
      </c>
      <c r="I24" s="50">
        <v>9</v>
      </c>
      <c r="J24" s="217" t="s">
        <v>1628</v>
      </c>
      <c r="K24" s="133">
        <v>9</v>
      </c>
      <c r="L24" s="217" t="s">
        <v>1628</v>
      </c>
      <c r="M24" s="133">
        <v>9</v>
      </c>
      <c r="N24" s="217" t="s">
        <v>1628</v>
      </c>
      <c r="O24" s="133">
        <v>9</v>
      </c>
      <c r="P24" s="217" t="s">
        <v>1628</v>
      </c>
      <c r="Q24" s="50">
        <v>9</v>
      </c>
      <c r="R24" s="217" t="s">
        <v>1628</v>
      </c>
      <c r="S24" s="133">
        <v>9</v>
      </c>
      <c r="T24" s="217" t="s">
        <v>1628</v>
      </c>
      <c r="U24" s="133">
        <v>9</v>
      </c>
      <c r="V24" s="217" t="s">
        <v>1628</v>
      </c>
      <c r="W24" s="133">
        <v>9</v>
      </c>
      <c r="X24" s="217" t="s">
        <v>1628</v>
      </c>
      <c r="Y24" s="50">
        <v>9</v>
      </c>
      <c r="Z24" s="217" t="s">
        <v>1628</v>
      </c>
      <c r="AA24" s="133">
        <v>0</v>
      </c>
      <c r="AB24" s="130" t="s">
        <v>863</v>
      </c>
      <c r="AC24" s="133">
        <v>0</v>
      </c>
      <c r="AD24" s="130" t="s">
        <v>863</v>
      </c>
      <c r="AE24" s="130">
        <v>30</v>
      </c>
      <c r="AF24" s="249"/>
    </row>
    <row r="25" spans="1:32" ht="75" customHeight="1">
      <c r="A25" s="130">
        <v>20</v>
      </c>
      <c r="B25" s="134" t="s">
        <v>645</v>
      </c>
      <c r="C25" s="130"/>
      <c r="D25" s="130"/>
      <c r="E25" s="130"/>
      <c r="F25" s="130"/>
      <c r="G25" s="133">
        <v>0</v>
      </c>
      <c r="H25" s="130" t="s">
        <v>863</v>
      </c>
      <c r="I25" s="50">
        <v>9</v>
      </c>
      <c r="J25" s="217" t="s">
        <v>1628</v>
      </c>
      <c r="K25" s="133">
        <v>9</v>
      </c>
      <c r="L25" s="217" t="s">
        <v>1628</v>
      </c>
      <c r="M25" s="133">
        <v>9</v>
      </c>
      <c r="N25" s="217" t="s">
        <v>1628</v>
      </c>
      <c r="O25" s="133">
        <v>9</v>
      </c>
      <c r="P25" s="217" t="s">
        <v>1628</v>
      </c>
      <c r="Q25" s="50">
        <v>9</v>
      </c>
      <c r="R25" s="217" t="s">
        <v>1628</v>
      </c>
      <c r="S25" s="133">
        <v>9</v>
      </c>
      <c r="T25" s="217" t="s">
        <v>1628</v>
      </c>
      <c r="U25" s="133">
        <v>9</v>
      </c>
      <c r="V25" s="217" t="s">
        <v>1628</v>
      </c>
      <c r="W25" s="133">
        <v>9</v>
      </c>
      <c r="X25" s="217" t="s">
        <v>1628</v>
      </c>
      <c r="Y25" s="50">
        <v>9</v>
      </c>
      <c r="Z25" s="217" t="s">
        <v>1628</v>
      </c>
      <c r="AA25" s="133">
        <v>0</v>
      </c>
      <c r="AB25" s="130" t="s">
        <v>863</v>
      </c>
      <c r="AC25" s="133">
        <v>0</v>
      </c>
      <c r="AD25" s="130" t="s">
        <v>863</v>
      </c>
      <c r="AE25" s="130">
        <v>30</v>
      </c>
      <c r="AF25" s="249"/>
    </row>
    <row r="26" spans="1:32" ht="75" customHeight="1">
      <c r="A26" s="130">
        <v>21</v>
      </c>
      <c r="B26" s="134" t="s">
        <v>646</v>
      </c>
      <c r="C26" s="130"/>
      <c r="D26" s="130"/>
      <c r="E26" s="130"/>
      <c r="F26" s="130"/>
      <c r="G26" s="133">
        <v>9</v>
      </c>
      <c r="H26" s="130" t="s">
        <v>1230</v>
      </c>
      <c r="I26" s="133">
        <v>9</v>
      </c>
      <c r="J26" s="130" t="s">
        <v>1230</v>
      </c>
      <c r="K26" s="133">
        <v>9</v>
      </c>
      <c r="L26" s="130" t="s">
        <v>1230</v>
      </c>
      <c r="M26" s="133">
        <v>9</v>
      </c>
      <c r="N26" s="130" t="s">
        <v>1230</v>
      </c>
      <c r="O26" s="133">
        <v>9</v>
      </c>
      <c r="P26" s="130" t="s">
        <v>1230</v>
      </c>
      <c r="Q26" s="133">
        <v>9</v>
      </c>
      <c r="R26" s="130" t="s">
        <v>1230</v>
      </c>
      <c r="S26" s="133">
        <v>9</v>
      </c>
      <c r="T26" s="130" t="s">
        <v>1230</v>
      </c>
      <c r="U26" s="133">
        <v>9</v>
      </c>
      <c r="V26" s="130" t="s">
        <v>1230</v>
      </c>
      <c r="W26" s="133">
        <v>9</v>
      </c>
      <c r="X26" s="130" t="s">
        <v>1230</v>
      </c>
      <c r="Y26" s="133">
        <v>9</v>
      </c>
      <c r="Z26" s="130" t="s">
        <v>1230</v>
      </c>
      <c r="AA26" s="133">
        <v>9</v>
      </c>
      <c r="AB26" s="130" t="s">
        <v>1230</v>
      </c>
      <c r="AC26" s="133">
        <v>9</v>
      </c>
      <c r="AD26" s="130" t="s">
        <v>1230</v>
      </c>
      <c r="AE26" s="130">
        <v>30</v>
      </c>
      <c r="AF26" s="249"/>
    </row>
    <row r="27" spans="1:32" ht="75" customHeight="1">
      <c r="A27" s="130">
        <v>22</v>
      </c>
      <c r="B27" s="134" t="s">
        <v>647</v>
      </c>
      <c r="C27" s="130"/>
      <c r="D27" s="130"/>
      <c r="E27" s="130"/>
      <c r="F27" s="130"/>
      <c r="G27" s="133">
        <v>9</v>
      </c>
      <c r="H27" s="130" t="s">
        <v>1230</v>
      </c>
      <c r="I27" s="133">
        <v>9</v>
      </c>
      <c r="J27" s="130" t="s">
        <v>1230</v>
      </c>
      <c r="K27" s="133">
        <v>9</v>
      </c>
      <c r="L27" s="130" t="s">
        <v>1230</v>
      </c>
      <c r="M27" s="133">
        <v>9</v>
      </c>
      <c r="N27" s="130" t="s">
        <v>1230</v>
      </c>
      <c r="O27" s="133">
        <v>9</v>
      </c>
      <c r="P27" s="130" t="s">
        <v>1230</v>
      </c>
      <c r="Q27" s="133">
        <v>9</v>
      </c>
      <c r="R27" s="130" t="s">
        <v>1230</v>
      </c>
      <c r="S27" s="133">
        <v>9</v>
      </c>
      <c r="T27" s="130" t="s">
        <v>1230</v>
      </c>
      <c r="U27" s="133">
        <v>9</v>
      </c>
      <c r="V27" s="130" t="s">
        <v>1230</v>
      </c>
      <c r="W27" s="133">
        <v>9</v>
      </c>
      <c r="X27" s="130" t="s">
        <v>1230</v>
      </c>
      <c r="Y27" s="133">
        <v>9</v>
      </c>
      <c r="Z27" s="130" t="s">
        <v>1230</v>
      </c>
      <c r="AA27" s="133">
        <v>9</v>
      </c>
      <c r="AB27" s="130" t="s">
        <v>1230</v>
      </c>
      <c r="AC27" s="133">
        <v>9</v>
      </c>
      <c r="AD27" s="130" t="s">
        <v>1230</v>
      </c>
      <c r="AE27" s="130">
        <v>30</v>
      </c>
      <c r="AF27" s="249"/>
    </row>
    <row r="28" spans="1:32" ht="75" customHeight="1">
      <c r="A28" s="130">
        <v>23</v>
      </c>
      <c r="B28" s="134" t="s">
        <v>648</v>
      </c>
      <c r="C28" s="130"/>
      <c r="D28" s="130"/>
      <c r="E28" s="130"/>
      <c r="F28" s="130"/>
      <c r="G28" s="133">
        <v>15</v>
      </c>
      <c r="H28" s="130" t="s">
        <v>1223</v>
      </c>
      <c r="I28" s="133">
        <v>15</v>
      </c>
      <c r="J28" s="130" t="s">
        <v>1223</v>
      </c>
      <c r="K28" s="133" t="s">
        <v>1613</v>
      </c>
      <c r="L28" s="130" t="s">
        <v>1629</v>
      </c>
      <c r="M28" s="133" t="s">
        <v>1613</v>
      </c>
      <c r="N28" s="130" t="s">
        <v>1629</v>
      </c>
      <c r="O28" s="133" t="s">
        <v>1613</v>
      </c>
      <c r="P28" s="130" t="s">
        <v>1629</v>
      </c>
      <c r="Q28" s="133" t="s">
        <v>1613</v>
      </c>
      <c r="R28" s="130" t="s">
        <v>1629</v>
      </c>
      <c r="S28" s="133" t="s">
        <v>1613</v>
      </c>
      <c r="T28" s="130" t="s">
        <v>1629</v>
      </c>
      <c r="U28" s="133" t="s">
        <v>1613</v>
      </c>
      <c r="V28" s="130" t="s">
        <v>1629</v>
      </c>
      <c r="W28" s="133" t="s">
        <v>1613</v>
      </c>
      <c r="X28" s="130" t="s">
        <v>1629</v>
      </c>
      <c r="Y28" s="133">
        <v>15</v>
      </c>
      <c r="Z28" s="130" t="s">
        <v>1223</v>
      </c>
      <c r="AA28" s="133">
        <v>15</v>
      </c>
      <c r="AB28" s="130" t="s">
        <v>1223</v>
      </c>
      <c r="AC28" s="133">
        <v>15</v>
      </c>
      <c r="AD28" s="130" t="s">
        <v>1223</v>
      </c>
      <c r="AE28" s="130">
        <v>30</v>
      </c>
      <c r="AF28" s="249"/>
    </row>
    <row r="29" spans="1:32" ht="75" customHeight="1">
      <c r="A29" s="130">
        <v>24</v>
      </c>
      <c r="B29" s="134" t="s">
        <v>649</v>
      </c>
      <c r="C29" s="130"/>
      <c r="D29" s="130"/>
      <c r="E29" s="130"/>
      <c r="F29" s="130"/>
      <c r="G29" s="133">
        <v>9</v>
      </c>
      <c r="H29" s="130" t="s">
        <v>1183</v>
      </c>
      <c r="I29" s="133">
        <v>9</v>
      </c>
      <c r="J29" s="130" t="s">
        <v>1183</v>
      </c>
      <c r="K29" s="133">
        <v>9</v>
      </c>
      <c r="L29" s="130" t="s">
        <v>1183</v>
      </c>
      <c r="M29" s="133">
        <v>9</v>
      </c>
      <c r="N29" s="130" t="s">
        <v>1183</v>
      </c>
      <c r="O29" s="133">
        <v>9</v>
      </c>
      <c r="P29" s="130" t="s">
        <v>1183</v>
      </c>
      <c r="Q29" s="133">
        <v>9</v>
      </c>
      <c r="R29" s="130" t="s">
        <v>1183</v>
      </c>
      <c r="S29" s="133">
        <v>9</v>
      </c>
      <c r="T29" s="130" t="s">
        <v>1183</v>
      </c>
      <c r="U29" s="133">
        <v>9</v>
      </c>
      <c r="V29" s="130" t="s">
        <v>1183</v>
      </c>
      <c r="W29" s="133">
        <v>9</v>
      </c>
      <c r="X29" s="130" t="s">
        <v>1183</v>
      </c>
      <c r="Y29" s="133">
        <v>9</v>
      </c>
      <c r="Z29" s="130" t="s">
        <v>1183</v>
      </c>
      <c r="AA29" s="133">
        <v>9</v>
      </c>
      <c r="AB29" s="130" t="s">
        <v>1183</v>
      </c>
      <c r="AC29" s="133">
        <v>9</v>
      </c>
      <c r="AD29" s="130" t="s">
        <v>1183</v>
      </c>
      <c r="AE29" s="130">
        <v>30</v>
      </c>
      <c r="AF29" s="249"/>
    </row>
    <row r="30" spans="1:32" ht="30" customHeight="1">
      <c r="A30" s="133" t="s">
        <v>24</v>
      </c>
      <c r="B30" s="135" t="s">
        <v>650</v>
      </c>
      <c r="C30" s="130"/>
      <c r="D30" s="130"/>
      <c r="E30" s="130"/>
      <c r="F30" s="130">
        <v>0</v>
      </c>
      <c r="G30" s="133">
        <v>0</v>
      </c>
      <c r="H30" s="130">
        <v>0</v>
      </c>
      <c r="I30" s="133">
        <v>0</v>
      </c>
      <c r="J30" s="130">
        <v>0</v>
      </c>
      <c r="K30" s="133">
        <v>0</v>
      </c>
      <c r="L30" s="130">
        <v>0</v>
      </c>
      <c r="M30" s="133">
        <v>0</v>
      </c>
      <c r="N30" s="130">
        <v>0</v>
      </c>
      <c r="O30" s="133">
        <v>0</v>
      </c>
      <c r="P30" s="130">
        <v>0</v>
      </c>
      <c r="Q30" s="133">
        <v>0</v>
      </c>
      <c r="R30" s="130">
        <v>0</v>
      </c>
      <c r="S30" s="133">
        <v>0</v>
      </c>
      <c r="T30" s="130">
        <v>0</v>
      </c>
      <c r="U30" s="133">
        <v>0</v>
      </c>
      <c r="V30" s="130">
        <v>0</v>
      </c>
      <c r="W30" s="133">
        <v>0</v>
      </c>
      <c r="X30" s="130">
        <v>0</v>
      </c>
      <c r="Y30" s="133">
        <v>0</v>
      </c>
      <c r="Z30" s="130">
        <v>0</v>
      </c>
      <c r="AA30" s="133">
        <v>0</v>
      </c>
      <c r="AB30" s="130">
        <v>0</v>
      </c>
      <c r="AC30" s="133">
        <v>0</v>
      </c>
      <c r="AD30" s="130">
        <v>0</v>
      </c>
      <c r="AE30" s="130">
        <v>30</v>
      </c>
      <c r="AF30" s="825" t="s">
        <v>1231</v>
      </c>
    </row>
    <row r="31" spans="1:32" ht="30" customHeight="1">
      <c r="A31" s="130">
        <v>1</v>
      </c>
      <c r="B31" s="134" t="s">
        <v>651</v>
      </c>
      <c r="C31" s="130"/>
      <c r="D31" s="130"/>
      <c r="E31" s="130"/>
      <c r="F31" s="130"/>
      <c r="G31" s="133">
        <v>0</v>
      </c>
      <c r="H31" s="130" t="s">
        <v>1630</v>
      </c>
      <c r="I31" s="133">
        <v>0</v>
      </c>
      <c r="J31" s="130" t="s">
        <v>1630</v>
      </c>
      <c r="K31" s="133" t="s">
        <v>896</v>
      </c>
      <c r="L31" s="130" t="s">
        <v>1129</v>
      </c>
      <c r="M31" s="133" t="s">
        <v>896</v>
      </c>
      <c r="N31" s="130" t="s">
        <v>1129</v>
      </c>
      <c r="O31" s="133" t="s">
        <v>896</v>
      </c>
      <c r="P31" s="130" t="s">
        <v>1129</v>
      </c>
      <c r="Q31" s="133" t="s">
        <v>896</v>
      </c>
      <c r="R31" s="130" t="s">
        <v>1129</v>
      </c>
      <c r="S31" s="133" t="s">
        <v>896</v>
      </c>
      <c r="T31" s="130" t="s">
        <v>1129</v>
      </c>
      <c r="U31" s="133" t="s">
        <v>896</v>
      </c>
      <c r="V31" s="130" t="s">
        <v>1129</v>
      </c>
      <c r="W31" s="133" t="s">
        <v>896</v>
      </c>
      <c r="X31" s="130" t="s">
        <v>1129</v>
      </c>
      <c r="Y31" s="133" t="s">
        <v>896</v>
      </c>
      <c r="Z31" s="130" t="s">
        <v>1129</v>
      </c>
      <c r="AA31" s="133">
        <v>0</v>
      </c>
      <c r="AB31" s="130" t="s">
        <v>1630</v>
      </c>
      <c r="AC31" s="133">
        <v>0</v>
      </c>
      <c r="AD31" s="130" t="s">
        <v>1630</v>
      </c>
      <c r="AE31" s="130">
        <v>30</v>
      </c>
      <c r="AF31" s="826"/>
    </row>
    <row r="32" spans="1:32" ht="30" customHeight="1">
      <c r="A32" s="130">
        <v>2</v>
      </c>
      <c r="B32" s="134" t="s">
        <v>652</v>
      </c>
      <c r="C32" s="130"/>
      <c r="D32" s="130"/>
      <c r="E32" s="130"/>
      <c r="F32" s="130"/>
      <c r="G32" s="133">
        <v>0</v>
      </c>
      <c r="H32" s="130" t="s">
        <v>1630</v>
      </c>
      <c r="I32" s="133">
        <v>0</v>
      </c>
      <c r="J32" s="130" t="s">
        <v>1630</v>
      </c>
      <c r="K32" s="133" t="s">
        <v>896</v>
      </c>
      <c r="L32" s="130" t="s">
        <v>1129</v>
      </c>
      <c r="M32" s="133" t="s">
        <v>896</v>
      </c>
      <c r="N32" s="130" t="s">
        <v>1129</v>
      </c>
      <c r="O32" s="133" t="s">
        <v>896</v>
      </c>
      <c r="P32" s="130" t="s">
        <v>1129</v>
      </c>
      <c r="Q32" s="133" t="s">
        <v>896</v>
      </c>
      <c r="R32" s="130" t="s">
        <v>1129</v>
      </c>
      <c r="S32" s="133" t="s">
        <v>896</v>
      </c>
      <c r="T32" s="130" t="s">
        <v>1129</v>
      </c>
      <c r="U32" s="133" t="s">
        <v>896</v>
      </c>
      <c r="V32" s="130" t="s">
        <v>1129</v>
      </c>
      <c r="W32" s="133" t="s">
        <v>896</v>
      </c>
      <c r="X32" s="130" t="s">
        <v>1129</v>
      </c>
      <c r="Y32" s="133" t="s">
        <v>896</v>
      </c>
      <c r="Z32" s="130" t="s">
        <v>1129</v>
      </c>
      <c r="AA32" s="133">
        <v>0</v>
      </c>
      <c r="AB32" s="130" t="s">
        <v>1630</v>
      </c>
      <c r="AC32" s="133">
        <v>0</v>
      </c>
      <c r="AD32" s="130" t="s">
        <v>1630</v>
      </c>
      <c r="AE32" s="130">
        <v>30</v>
      </c>
      <c r="AF32" s="826"/>
    </row>
    <row r="33" spans="1:32" ht="30" customHeight="1">
      <c r="A33" s="130">
        <v>3</v>
      </c>
      <c r="B33" s="134" t="s">
        <v>653</v>
      </c>
      <c r="C33" s="130"/>
      <c r="D33" s="130"/>
      <c r="E33" s="130"/>
      <c r="F33" s="130"/>
      <c r="G33" s="133">
        <v>0</v>
      </c>
      <c r="H33" s="130" t="s">
        <v>1630</v>
      </c>
      <c r="I33" s="133">
        <v>0</v>
      </c>
      <c r="J33" s="130" t="s">
        <v>1630</v>
      </c>
      <c r="K33" s="133" t="s">
        <v>896</v>
      </c>
      <c r="L33" s="130" t="s">
        <v>1129</v>
      </c>
      <c r="M33" s="133" t="s">
        <v>896</v>
      </c>
      <c r="N33" s="130" t="s">
        <v>1129</v>
      </c>
      <c r="O33" s="133" t="s">
        <v>896</v>
      </c>
      <c r="P33" s="130" t="s">
        <v>1129</v>
      </c>
      <c r="Q33" s="133" t="s">
        <v>896</v>
      </c>
      <c r="R33" s="130" t="s">
        <v>1129</v>
      </c>
      <c r="S33" s="133" t="s">
        <v>896</v>
      </c>
      <c r="T33" s="130" t="s">
        <v>1129</v>
      </c>
      <c r="U33" s="133" t="s">
        <v>896</v>
      </c>
      <c r="V33" s="130" t="s">
        <v>1129</v>
      </c>
      <c r="W33" s="133" t="s">
        <v>896</v>
      </c>
      <c r="X33" s="130" t="s">
        <v>1129</v>
      </c>
      <c r="Y33" s="133" t="s">
        <v>896</v>
      </c>
      <c r="Z33" s="130" t="s">
        <v>1129</v>
      </c>
      <c r="AA33" s="133">
        <v>0</v>
      </c>
      <c r="AB33" s="130" t="s">
        <v>1630</v>
      </c>
      <c r="AC33" s="133">
        <v>0</v>
      </c>
      <c r="AD33" s="130" t="s">
        <v>1630</v>
      </c>
      <c r="AE33" s="130">
        <v>30</v>
      </c>
      <c r="AF33" s="826"/>
    </row>
    <row r="34" spans="1:32" ht="58.9" customHeight="1">
      <c r="A34" s="130">
        <v>4</v>
      </c>
      <c r="B34" s="134" t="s">
        <v>654</v>
      </c>
      <c r="C34" s="130"/>
      <c r="D34" s="130"/>
      <c r="E34" s="130"/>
      <c r="F34" s="130"/>
      <c r="G34" s="133">
        <v>0</v>
      </c>
      <c r="H34" s="130" t="s">
        <v>1630</v>
      </c>
      <c r="I34" s="133">
        <v>0</v>
      </c>
      <c r="J34" s="130" t="s">
        <v>1630</v>
      </c>
      <c r="K34" s="133" t="s">
        <v>896</v>
      </c>
      <c r="L34" s="130" t="s">
        <v>1129</v>
      </c>
      <c r="M34" s="133" t="s">
        <v>896</v>
      </c>
      <c r="N34" s="130" t="s">
        <v>1129</v>
      </c>
      <c r="O34" s="133" t="s">
        <v>896</v>
      </c>
      <c r="P34" s="130" t="s">
        <v>1129</v>
      </c>
      <c r="Q34" s="133" t="s">
        <v>896</v>
      </c>
      <c r="R34" s="130" t="s">
        <v>1631</v>
      </c>
      <c r="S34" s="133" t="s">
        <v>896</v>
      </c>
      <c r="T34" s="130" t="s">
        <v>1631</v>
      </c>
      <c r="U34" s="133" t="s">
        <v>896</v>
      </c>
      <c r="V34" s="130" t="s">
        <v>1631</v>
      </c>
      <c r="W34" s="133" t="s">
        <v>896</v>
      </c>
      <c r="X34" s="130" t="s">
        <v>1631</v>
      </c>
      <c r="Y34" s="133" t="s">
        <v>896</v>
      </c>
      <c r="Z34" s="130" t="s">
        <v>1631</v>
      </c>
      <c r="AA34" s="133">
        <v>0</v>
      </c>
      <c r="AB34" s="130" t="s">
        <v>1630</v>
      </c>
      <c r="AC34" s="133">
        <v>0</v>
      </c>
      <c r="AD34" s="130" t="s">
        <v>1630</v>
      </c>
      <c r="AE34" s="130">
        <v>30</v>
      </c>
      <c r="AF34" s="826"/>
    </row>
    <row r="35" spans="1:32" ht="66.400000000000006" customHeight="1">
      <c r="A35" s="130">
        <v>5</v>
      </c>
      <c r="B35" s="134" t="s">
        <v>655</v>
      </c>
      <c r="C35" s="130"/>
      <c r="D35" s="130"/>
      <c r="E35" s="130"/>
      <c r="F35" s="130"/>
      <c r="G35" s="133">
        <v>8</v>
      </c>
      <c r="H35" s="130" t="s">
        <v>1630</v>
      </c>
      <c r="I35" s="133">
        <v>8</v>
      </c>
      <c r="J35" s="130" t="s">
        <v>1630</v>
      </c>
      <c r="K35" s="133" t="s">
        <v>896</v>
      </c>
      <c r="L35" s="130" t="s">
        <v>1631</v>
      </c>
      <c r="M35" s="133" t="s">
        <v>896</v>
      </c>
      <c r="N35" s="130" t="s">
        <v>1631</v>
      </c>
      <c r="O35" s="133" t="s">
        <v>896</v>
      </c>
      <c r="P35" s="130" t="s">
        <v>1631</v>
      </c>
      <c r="Q35" s="133" t="s">
        <v>896</v>
      </c>
      <c r="R35" s="130" t="s">
        <v>1631</v>
      </c>
      <c r="S35" s="133" t="s">
        <v>896</v>
      </c>
      <c r="T35" s="130" t="s">
        <v>1631</v>
      </c>
      <c r="U35" s="133" t="s">
        <v>896</v>
      </c>
      <c r="V35" s="130" t="s">
        <v>1631</v>
      </c>
      <c r="W35" s="133" t="s">
        <v>896</v>
      </c>
      <c r="X35" s="130" t="s">
        <v>1631</v>
      </c>
      <c r="Y35" s="133" t="s">
        <v>896</v>
      </c>
      <c r="Z35" s="130" t="s">
        <v>1631</v>
      </c>
      <c r="AA35" s="133">
        <v>8</v>
      </c>
      <c r="AB35" s="130" t="s">
        <v>1630</v>
      </c>
      <c r="AC35" s="133">
        <v>8</v>
      </c>
      <c r="AD35" s="130" t="s">
        <v>1630</v>
      </c>
      <c r="AE35" s="130">
        <v>30</v>
      </c>
      <c r="AF35" s="826"/>
    </row>
    <row r="36" spans="1:32" ht="91.15" customHeight="1">
      <c r="A36" s="130">
        <v>6</v>
      </c>
      <c r="B36" s="134" t="s">
        <v>656</v>
      </c>
      <c r="C36" s="130"/>
      <c r="D36" s="130"/>
      <c r="E36" s="130"/>
      <c r="F36" s="130"/>
      <c r="G36" s="133">
        <v>0</v>
      </c>
      <c r="H36" s="130" t="s">
        <v>1630</v>
      </c>
      <c r="I36" s="50">
        <v>8.5</v>
      </c>
      <c r="J36" s="130" t="s">
        <v>1630</v>
      </c>
      <c r="K36" s="133" t="s">
        <v>896</v>
      </c>
      <c r="L36" s="130" t="s">
        <v>1631</v>
      </c>
      <c r="M36" s="133" t="s">
        <v>896</v>
      </c>
      <c r="N36" s="130" t="s">
        <v>1631</v>
      </c>
      <c r="O36" s="133" t="s">
        <v>896</v>
      </c>
      <c r="P36" s="130" t="s">
        <v>1631</v>
      </c>
      <c r="Q36" s="133">
        <v>6</v>
      </c>
      <c r="R36" s="130" t="s">
        <v>1631</v>
      </c>
      <c r="S36" s="133">
        <v>6</v>
      </c>
      <c r="T36" s="130" t="s">
        <v>1631</v>
      </c>
      <c r="U36" s="133">
        <v>6</v>
      </c>
      <c r="V36" s="130" t="s">
        <v>1631</v>
      </c>
      <c r="W36" s="133">
        <v>6</v>
      </c>
      <c r="X36" s="130" t="s">
        <v>1631</v>
      </c>
      <c r="Y36" s="133">
        <v>6</v>
      </c>
      <c r="Z36" s="130" t="s">
        <v>1631</v>
      </c>
      <c r="AA36" s="133">
        <v>0</v>
      </c>
      <c r="AB36" s="130" t="s">
        <v>1630</v>
      </c>
      <c r="AC36" s="133">
        <v>0</v>
      </c>
      <c r="AD36" s="130" t="s">
        <v>1630</v>
      </c>
      <c r="AE36" s="130">
        <v>30</v>
      </c>
      <c r="AF36" s="826"/>
    </row>
    <row r="37" spans="1:32" ht="49.9" customHeight="1">
      <c r="A37" s="130">
        <v>7</v>
      </c>
      <c r="B37" s="134" t="s">
        <v>657</v>
      </c>
      <c r="C37" s="130"/>
      <c r="D37" s="130"/>
      <c r="E37" s="130"/>
      <c r="F37" s="130"/>
      <c r="G37" s="133">
        <v>0</v>
      </c>
      <c r="H37" s="130" t="s">
        <v>1630</v>
      </c>
      <c r="I37" s="133">
        <v>0</v>
      </c>
      <c r="J37" s="130" t="s">
        <v>1630</v>
      </c>
      <c r="K37" s="133">
        <v>6</v>
      </c>
      <c r="L37" s="130" t="s">
        <v>1631</v>
      </c>
      <c r="M37" s="133">
        <v>6</v>
      </c>
      <c r="N37" s="130" t="s">
        <v>1631</v>
      </c>
      <c r="O37" s="133">
        <v>6</v>
      </c>
      <c r="P37" s="130" t="s">
        <v>1631</v>
      </c>
      <c r="Q37" s="133" t="s">
        <v>889</v>
      </c>
      <c r="R37" s="130" t="s">
        <v>1232</v>
      </c>
      <c r="S37" s="133" t="s">
        <v>889</v>
      </c>
      <c r="T37" s="130" t="s">
        <v>1232</v>
      </c>
      <c r="U37" s="133" t="s">
        <v>889</v>
      </c>
      <c r="V37" s="130" t="s">
        <v>1232</v>
      </c>
      <c r="W37" s="133" t="s">
        <v>889</v>
      </c>
      <c r="X37" s="130" t="s">
        <v>1232</v>
      </c>
      <c r="Y37" s="133" t="s">
        <v>889</v>
      </c>
      <c r="Z37" s="130" t="s">
        <v>1232</v>
      </c>
      <c r="AA37" s="133">
        <v>0</v>
      </c>
      <c r="AB37" s="130" t="s">
        <v>1630</v>
      </c>
      <c r="AC37" s="133">
        <v>0</v>
      </c>
      <c r="AD37" s="130" t="s">
        <v>1630</v>
      </c>
      <c r="AE37" s="130">
        <v>30</v>
      </c>
      <c r="AF37" s="826"/>
    </row>
    <row r="38" spans="1:32" ht="55.9" customHeight="1">
      <c r="A38" s="130">
        <v>8</v>
      </c>
      <c r="B38" s="134" t="s">
        <v>658</v>
      </c>
      <c r="C38" s="130"/>
      <c r="D38" s="130"/>
      <c r="E38" s="130"/>
      <c r="F38" s="130"/>
      <c r="G38" s="133">
        <v>0</v>
      </c>
      <c r="H38" s="130" t="s">
        <v>1630</v>
      </c>
      <c r="I38" s="133">
        <v>0</v>
      </c>
      <c r="J38" s="130" t="s">
        <v>1630</v>
      </c>
      <c r="K38" s="133" t="s">
        <v>889</v>
      </c>
      <c r="L38" s="130" t="s">
        <v>1232</v>
      </c>
      <c r="M38" s="133" t="s">
        <v>889</v>
      </c>
      <c r="N38" s="130" t="s">
        <v>1232</v>
      </c>
      <c r="O38" s="133" t="s">
        <v>889</v>
      </c>
      <c r="P38" s="130" t="s">
        <v>1232</v>
      </c>
      <c r="Q38" s="133">
        <v>8.5</v>
      </c>
      <c r="R38" s="130" t="s">
        <v>1631</v>
      </c>
      <c r="S38" s="133">
        <v>8.5</v>
      </c>
      <c r="T38" s="130" t="s">
        <v>1631</v>
      </c>
      <c r="U38" s="133">
        <v>8.5</v>
      </c>
      <c r="V38" s="130" t="s">
        <v>1631</v>
      </c>
      <c r="W38" s="133">
        <v>8.5</v>
      </c>
      <c r="X38" s="130" t="s">
        <v>1631</v>
      </c>
      <c r="Y38" s="133">
        <v>8.5</v>
      </c>
      <c r="Z38" s="130" t="s">
        <v>1631</v>
      </c>
      <c r="AA38" s="133">
        <v>0</v>
      </c>
      <c r="AB38" s="130" t="s">
        <v>1630</v>
      </c>
      <c r="AC38" s="133">
        <v>0</v>
      </c>
      <c r="AD38" s="130" t="s">
        <v>1630</v>
      </c>
      <c r="AE38" s="130">
        <v>30</v>
      </c>
      <c r="AF38" s="826"/>
    </row>
    <row r="39" spans="1:32" ht="51.4" customHeight="1">
      <c r="A39" s="130">
        <v>9</v>
      </c>
      <c r="B39" s="134" t="s">
        <v>659</v>
      </c>
      <c r="C39" s="130"/>
      <c r="D39" s="130"/>
      <c r="E39" s="130"/>
      <c r="F39" s="130"/>
      <c r="G39" s="133">
        <v>0</v>
      </c>
      <c r="H39" s="130" t="s">
        <v>1630</v>
      </c>
      <c r="I39" s="133">
        <v>0</v>
      </c>
      <c r="J39" s="130" t="s">
        <v>1630</v>
      </c>
      <c r="K39" s="133">
        <v>8.5</v>
      </c>
      <c r="L39" s="130" t="s">
        <v>1631</v>
      </c>
      <c r="M39" s="133">
        <v>8.5</v>
      </c>
      <c r="N39" s="130" t="s">
        <v>1631</v>
      </c>
      <c r="O39" s="133">
        <v>8.5</v>
      </c>
      <c r="P39" s="130" t="s">
        <v>1631</v>
      </c>
      <c r="Q39" s="133">
        <v>9.5</v>
      </c>
      <c r="R39" s="130" t="s">
        <v>1631</v>
      </c>
      <c r="S39" s="133">
        <v>9.5</v>
      </c>
      <c r="T39" s="130" t="s">
        <v>1631</v>
      </c>
      <c r="U39" s="133">
        <v>9.5</v>
      </c>
      <c r="V39" s="130" t="s">
        <v>1631</v>
      </c>
      <c r="W39" s="133">
        <v>9.5</v>
      </c>
      <c r="X39" s="130" t="s">
        <v>1631</v>
      </c>
      <c r="Y39" s="133">
        <v>9.5</v>
      </c>
      <c r="Z39" s="130" t="s">
        <v>1631</v>
      </c>
      <c r="AA39" s="133">
        <v>0</v>
      </c>
      <c r="AB39" s="130" t="s">
        <v>1630</v>
      </c>
      <c r="AC39" s="133">
        <v>0</v>
      </c>
      <c r="AD39" s="130" t="s">
        <v>1630</v>
      </c>
      <c r="AE39" s="130">
        <v>30</v>
      </c>
      <c r="AF39" s="826"/>
    </row>
    <row r="40" spans="1:32" ht="51.4" customHeight="1">
      <c r="A40" s="130">
        <v>10</v>
      </c>
      <c r="B40" s="134" t="s">
        <v>660</v>
      </c>
      <c r="C40" s="130"/>
      <c r="D40" s="130"/>
      <c r="E40" s="130"/>
      <c r="F40" s="130"/>
      <c r="G40" s="133">
        <v>0</v>
      </c>
      <c r="H40" s="130" t="s">
        <v>1630</v>
      </c>
      <c r="I40" s="133">
        <v>0</v>
      </c>
      <c r="J40" s="130" t="s">
        <v>1630</v>
      </c>
      <c r="K40" s="133">
        <v>9.5</v>
      </c>
      <c r="L40" s="130" t="s">
        <v>1631</v>
      </c>
      <c r="M40" s="133">
        <v>9.5</v>
      </c>
      <c r="N40" s="130" t="s">
        <v>1631</v>
      </c>
      <c r="O40" s="133">
        <v>9.5</v>
      </c>
      <c r="P40" s="130" t="s">
        <v>1631</v>
      </c>
      <c r="Q40" s="133">
        <v>9.5</v>
      </c>
      <c r="R40" s="130" t="s">
        <v>1631</v>
      </c>
      <c r="S40" s="133">
        <v>9.5</v>
      </c>
      <c r="T40" s="130" t="s">
        <v>1631</v>
      </c>
      <c r="U40" s="133">
        <v>9.5</v>
      </c>
      <c r="V40" s="130" t="s">
        <v>1631</v>
      </c>
      <c r="W40" s="133">
        <v>9.5</v>
      </c>
      <c r="X40" s="130" t="s">
        <v>1631</v>
      </c>
      <c r="Y40" s="133">
        <v>9.5</v>
      </c>
      <c r="Z40" s="130" t="s">
        <v>1631</v>
      </c>
      <c r="AA40" s="133">
        <v>0</v>
      </c>
      <c r="AB40" s="130" t="s">
        <v>1630</v>
      </c>
      <c r="AC40" s="133">
        <v>0</v>
      </c>
      <c r="AD40" s="130" t="s">
        <v>1630</v>
      </c>
      <c r="AE40" s="130">
        <v>30</v>
      </c>
      <c r="AF40" s="827"/>
    </row>
    <row r="41" spans="1:32" ht="58.15" customHeight="1">
      <c r="A41" s="130">
        <v>11</v>
      </c>
      <c r="B41" s="93" t="s">
        <v>661</v>
      </c>
      <c r="C41" s="130"/>
      <c r="D41" s="130"/>
      <c r="E41" s="250"/>
      <c r="F41" s="130"/>
      <c r="G41" s="133">
        <v>1</v>
      </c>
      <c r="H41" s="130" t="s">
        <v>1630</v>
      </c>
      <c r="I41" s="133">
        <v>1</v>
      </c>
      <c r="J41" s="130" t="s">
        <v>1630</v>
      </c>
      <c r="K41" s="133">
        <v>9.5</v>
      </c>
      <c r="L41" s="130" t="s">
        <v>1631</v>
      </c>
      <c r="M41" s="133">
        <v>9.5</v>
      </c>
      <c r="N41" s="130" t="s">
        <v>1631</v>
      </c>
      <c r="O41" s="133">
        <v>9.5</v>
      </c>
      <c r="P41" s="130" t="s">
        <v>1631</v>
      </c>
      <c r="Q41" s="133">
        <v>9.5</v>
      </c>
      <c r="R41" s="130" t="s">
        <v>1631</v>
      </c>
      <c r="S41" s="133">
        <v>9.5</v>
      </c>
      <c r="T41" s="130" t="s">
        <v>1631</v>
      </c>
      <c r="U41" s="133">
        <v>9.5</v>
      </c>
      <c r="V41" s="130" t="s">
        <v>1631</v>
      </c>
      <c r="W41" s="133">
        <v>9.5</v>
      </c>
      <c r="X41" s="130" t="s">
        <v>1631</v>
      </c>
      <c r="Y41" s="133">
        <v>9.5</v>
      </c>
      <c r="Z41" s="130" t="s">
        <v>1631</v>
      </c>
      <c r="AA41" s="133">
        <v>0</v>
      </c>
      <c r="AB41" s="130" t="s">
        <v>1630</v>
      </c>
      <c r="AC41" s="133">
        <v>0</v>
      </c>
      <c r="AD41" s="130" t="s">
        <v>1630</v>
      </c>
      <c r="AE41" s="130">
        <v>30</v>
      </c>
    </row>
    <row r="42" spans="1:32"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465"/>
    </row>
  </sheetData>
  <mergeCells count="19">
    <mergeCell ref="A1:AE1"/>
    <mergeCell ref="A2:A3"/>
    <mergeCell ref="B2:B3"/>
    <mergeCell ref="C2:F2"/>
    <mergeCell ref="G2:AE2"/>
    <mergeCell ref="G3:H3"/>
    <mergeCell ref="I3:J3"/>
    <mergeCell ref="K3:L3"/>
    <mergeCell ref="M3:N3"/>
    <mergeCell ref="O3:P3"/>
    <mergeCell ref="AA3:AB3"/>
    <mergeCell ref="AC3:AD3"/>
    <mergeCell ref="AF5:AF10"/>
    <mergeCell ref="AF30:AF40"/>
    <mergeCell ref="Q3:R3"/>
    <mergeCell ref="S3:T3"/>
    <mergeCell ref="U3:V3"/>
    <mergeCell ref="W3:X3"/>
    <mergeCell ref="Y3:Z3"/>
  </mergeCells>
  <pageMargins left="0.7" right="0.7" top="0.75" bottom="0.75" header="0.3" footer="0.3"/>
  <pageSetup scale="2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15"/>
  <sheetViews>
    <sheetView topLeftCell="C1" zoomScale="130" zoomScaleNormal="130" workbookViewId="0">
      <pane ySplit="3" topLeftCell="A7" activePane="bottomLeft" state="frozen"/>
      <selection activeCell="C1" sqref="C1"/>
      <selection pane="bottomLeft" activeCell="G12" sqref="G12"/>
    </sheetView>
  </sheetViews>
  <sheetFormatPr defaultColWidth="9.140625" defaultRowHeight="15"/>
  <cols>
    <col min="1" max="1" width="0" style="1" hidden="1" customWidth="1"/>
    <col min="2" max="2" width="11.5703125" style="1" hidden="1" customWidth="1"/>
    <col min="3" max="3" width="5.140625" style="1" bestFit="1" customWidth="1"/>
    <col min="4" max="4" width="35.140625" style="1" customWidth="1"/>
    <col min="5" max="5" width="15.28515625" style="1" customWidth="1"/>
    <col min="6" max="6" width="18.140625" style="1" bestFit="1" customWidth="1"/>
    <col min="7" max="7" width="19" style="1" bestFit="1" customWidth="1"/>
    <col min="8" max="8" width="20.28515625" style="1" customWidth="1"/>
    <col min="9" max="9" width="19" style="1" bestFit="1" customWidth="1"/>
    <col min="10" max="16384" width="9.140625" style="1"/>
  </cols>
  <sheetData>
    <row r="1" spans="3:9" ht="18.75" customHeight="1">
      <c r="C1" s="834" t="s">
        <v>566</v>
      </c>
      <c r="D1" s="834"/>
      <c r="E1" s="834"/>
      <c r="F1" s="834"/>
      <c r="G1" s="834"/>
      <c r="H1" s="834"/>
      <c r="I1" s="834"/>
    </row>
    <row r="2" spans="3:9" ht="31.5" customHeight="1">
      <c r="C2" s="830" t="s">
        <v>400</v>
      </c>
      <c r="D2" s="830" t="s">
        <v>267</v>
      </c>
      <c r="E2" s="831" t="s">
        <v>568</v>
      </c>
      <c r="F2" s="832"/>
      <c r="G2" s="832"/>
      <c r="H2" s="832"/>
      <c r="I2" s="833"/>
    </row>
    <row r="3" spans="3:9" ht="31.5" customHeight="1">
      <c r="C3" s="830"/>
      <c r="D3" s="830"/>
      <c r="E3" s="49" t="s">
        <v>537</v>
      </c>
      <c r="F3" s="49" t="s">
        <v>532</v>
      </c>
      <c r="G3" s="49" t="s">
        <v>533</v>
      </c>
      <c r="H3" s="49" t="s">
        <v>534</v>
      </c>
      <c r="I3" s="49" t="s">
        <v>535</v>
      </c>
    </row>
    <row r="4" spans="3:9" s="39" customFormat="1" ht="25.9" customHeight="1">
      <c r="C4" s="17">
        <v>1</v>
      </c>
      <c r="D4" s="41" t="s">
        <v>268</v>
      </c>
      <c r="E4" s="97" t="e">
        <f>'CÁP TREO'!#REF!</f>
        <v>#REF!</v>
      </c>
      <c r="F4" s="97" t="e">
        <f>'CÁP TREO'!#REF!</f>
        <v>#REF!</v>
      </c>
      <c r="G4" s="97" t="e">
        <f>'CÁP TREO'!#REF!</f>
        <v>#REF!</v>
      </c>
      <c r="H4" s="97" t="e">
        <f>'CÁP TREO'!#REF!</f>
        <v>#REF!</v>
      </c>
      <c r="I4" s="98" t="e">
        <f>'CÁP TREO'!#REF!</f>
        <v>#REF!</v>
      </c>
    </row>
    <row r="5" spans="3:9" ht="25.9" customHeight="1">
      <c r="C5" s="35">
        <v>2</v>
      </c>
      <c r="D5" s="28" t="s">
        <v>504</v>
      </c>
      <c r="E5" s="104" t="e">
        <f>KTHT!#REF!</f>
        <v>#REF!</v>
      </c>
      <c r="F5" s="99">
        <f>KTHT!Y55</f>
        <v>117855</v>
      </c>
      <c r="G5" s="99">
        <f>KTHT!Z55</f>
        <v>151060</v>
      </c>
      <c r="H5" s="99">
        <f>KTHT!AA55</f>
        <v>185412.5</v>
      </c>
      <c r="I5" s="99">
        <f>KTHT!AB55</f>
        <v>219544</v>
      </c>
    </row>
    <row r="6" spans="3:9" ht="25.9" customHeight="1">
      <c r="C6" s="17">
        <v>3</v>
      </c>
      <c r="D6" s="27" t="s">
        <v>418</v>
      </c>
      <c r="E6" s="105" t="e">
        <f>#REF!</f>
        <v>#REF!</v>
      </c>
      <c r="F6" s="99" t="e">
        <f>#REF!</f>
        <v>#REF!</v>
      </c>
      <c r="G6" s="97" t="e">
        <f>#REF!</f>
        <v>#REF!</v>
      </c>
      <c r="H6" s="97" t="e">
        <f>#REF!</f>
        <v>#REF!</v>
      </c>
      <c r="I6" s="99" t="e">
        <f>#REF!</f>
        <v>#REF!</v>
      </c>
    </row>
    <row r="7" spans="3:9" s="39" customFormat="1" ht="25.9" customHeight="1">
      <c r="C7" s="35">
        <v>4</v>
      </c>
      <c r="D7" s="63" t="s">
        <v>565</v>
      </c>
      <c r="E7" s="106" t="e">
        <f>'Hành Chính'!#REF!</f>
        <v>#REF!</v>
      </c>
      <c r="F7" s="97" t="e">
        <f>'Hành Chính'!#REF!</f>
        <v>#REF!</v>
      </c>
      <c r="G7" s="97" t="e">
        <f>'Hành Chính'!#REF!</f>
        <v>#REF!</v>
      </c>
      <c r="H7" s="97" t="e">
        <f>'Hành Chính'!#REF!</f>
        <v>#REF!</v>
      </c>
      <c r="I7" s="97" t="e">
        <f>'Hành Chính'!#REF!</f>
        <v>#REF!</v>
      </c>
    </row>
    <row r="8" spans="3:9" s="39" customFormat="1" ht="25.9" customHeight="1">
      <c r="C8" s="17">
        <v>5</v>
      </c>
      <c r="D8" s="32" t="s">
        <v>569</v>
      </c>
      <c r="E8" s="100" t="e">
        <f>#REF!</f>
        <v>#REF!</v>
      </c>
      <c r="F8" s="97" t="e">
        <f>#REF!</f>
        <v>#REF!</v>
      </c>
      <c r="G8" s="97" t="e">
        <f>#REF!</f>
        <v>#REF!</v>
      </c>
      <c r="H8" s="97" t="e">
        <f>#REF!</f>
        <v>#REF!</v>
      </c>
      <c r="I8" s="97" t="e">
        <f>#REF!</f>
        <v>#REF!</v>
      </c>
    </row>
    <row r="9" spans="3:9" s="43" customFormat="1" ht="25.9" customHeight="1">
      <c r="C9" s="35">
        <v>6</v>
      </c>
      <c r="D9" s="44" t="s">
        <v>398</v>
      </c>
      <c r="E9" s="107" t="e">
        <f>BẾP!#REF!</f>
        <v>#REF!</v>
      </c>
      <c r="F9" s="97" t="e">
        <f>BẾP!#REF!</f>
        <v>#REF!</v>
      </c>
      <c r="G9" s="97" t="e">
        <f>BẾP!#REF!</f>
        <v>#REF!</v>
      </c>
      <c r="H9" s="97" t="e">
        <f>BẾP!#REF!</f>
        <v>#REF!</v>
      </c>
      <c r="I9" s="97" t="e">
        <f>BẾP!#REF!</f>
        <v>#REF!</v>
      </c>
    </row>
    <row r="10" spans="3:9" s="39" customFormat="1" ht="25.9" customHeight="1">
      <c r="C10" s="17">
        <v>7</v>
      </c>
      <c r="D10" s="41" t="s">
        <v>399</v>
      </c>
      <c r="E10" s="97" t="e">
        <f>'NHÀ HÀNG'!#REF!</f>
        <v>#REF!</v>
      </c>
      <c r="F10" s="97" t="e">
        <f>'NHÀ HÀNG'!#REF!</f>
        <v>#REF!</v>
      </c>
      <c r="G10" s="97" t="e">
        <f>'NHÀ HÀNG'!#REF!</f>
        <v>#REF!</v>
      </c>
      <c r="H10" s="97" t="e">
        <f>'NHÀ HÀNG'!#REF!</f>
        <v>#REF!</v>
      </c>
      <c r="I10" s="97" t="e">
        <f>'NHÀ HÀNG'!#REF!</f>
        <v>#REF!</v>
      </c>
    </row>
    <row r="11" spans="3:9" s="39" customFormat="1" ht="25.9" customHeight="1">
      <c r="C11" s="35">
        <v>8</v>
      </c>
      <c r="D11" s="41" t="s">
        <v>593</v>
      </c>
      <c r="E11" s="97" t="e">
        <f>'Xưởng xúc xích'!#REF!</f>
        <v>#REF!</v>
      </c>
      <c r="F11" s="97" t="e">
        <f>'Xưởng xúc xích'!#REF!</f>
        <v>#REF!</v>
      </c>
      <c r="G11" s="97" t="e">
        <f>'Xưởng xúc xích'!#REF!</f>
        <v>#REF!</v>
      </c>
      <c r="H11" s="97" t="e">
        <f>'Xưởng xúc xích'!#REF!</f>
        <v>#REF!</v>
      </c>
      <c r="I11" s="97" t="e">
        <f>'Xưởng xúc xích'!#REF!</f>
        <v>#REF!</v>
      </c>
    </row>
    <row r="12" spans="3:9" ht="21.75" customHeight="1">
      <c r="C12" s="101"/>
      <c r="D12" s="102" t="s">
        <v>567</v>
      </c>
      <c r="E12" s="103" t="e">
        <f>SUM(E4:E11)</f>
        <v>#REF!</v>
      </c>
      <c r="F12" s="103" t="e">
        <f t="shared" ref="F12:I12" si="0">SUM(F4:F11)</f>
        <v>#REF!</v>
      </c>
      <c r="G12" s="103" t="e">
        <f t="shared" si="0"/>
        <v>#REF!</v>
      </c>
      <c r="H12" s="103" t="e">
        <f t="shared" si="0"/>
        <v>#REF!</v>
      </c>
      <c r="I12" s="103" t="e">
        <f t="shared" si="0"/>
        <v>#REF!</v>
      </c>
    </row>
    <row r="13" spans="3:9">
      <c r="H13" s="45"/>
    </row>
    <row r="14" spans="3:9">
      <c r="F14" s="108"/>
      <c r="G14" s="108"/>
      <c r="H14" s="108"/>
      <c r="I14" s="108"/>
    </row>
    <row r="15" spans="3:9">
      <c r="G15" s="34"/>
      <c r="H15" s="34"/>
    </row>
  </sheetData>
  <mergeCells count="4">
    <mergeCell ref="C2:C3"/>
    <mergeCell ref="D2:D3"/>
    <mergeCell ref="E2:I2"/>
    <mergeCell ref="C1:I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A619-5978-4E99-BEEE-D55E971FB61B}">
  <dimension ref="A1:N6"/>
  <sheetViews>
    <sheetView workbookViewId="0">
      <selection activeCell="I7" sqref="I7"/>
    </sheetView>
  </sheetViews>
  <sheetFormatPr defaultRowHeight="15"/>
  <cols>
    <col min="1" max="1" width="10.7109375" bestFit="1" customWidth="1"/>
    <col min="2" max="13" width="11.85546875" customWidth="1"/>
    <col min="14" max="14" width="16.28515625" customWidth="1"/>
  </cols>
  <sheetData>
    <row r="1" spans="1:14">
      <c r="B1" s="114" t="s">
        <v>595</v>
      </c>
      <c r="C1" s="114" t="s">
        <v>596</v>
      </c>
      <c r="D1" s="114" t="s">
        <v>597</v>
      </c>
      <c r="E1" s="114" t="s">
        <v>598</v>
      </c>
      <c r="F1" s="114" t="s">
        <v>599</v>
      </c>
      <c r="G1" s="114" t="s">
        <v>600</v>
      </c>
      <c r="H1" s="114" t="s">
        <v>601</v>
      </c>
      <c r="I1" s="114" t="s">
        <v>602</v>
      </c>
      <c r="J1" s="114" t="s">
        <v>603</v>
      </c>
      <c r="K1" s="114" t="s">
        <v>604</v>
      </c>
      <c r="L1" s="114" t="s">
        <v>605</v>
      </c>
      <c r="M1" s="114" t="s">
        <v>606</v>
      </c>
    </row>
    <row r="2" spans="1:14">
      <c r="A2" s="115" t="s">
        <v>594</v>
      </c>
      <c r="B2" s="115">
        <v>288000</v>
      </c>
      <c r="C2" s="115">
        <v>331000</v>
      </c>
      <c r="D2" s="115">
        <v>364000</v>
      </c>
      <c r="E2" s="115">
        <v>369000</v>
      </c>
      <c r="F2" s="115">
        <v>365000</v>
      </c>
      <c r="G2" s="115">
        <v>500000</v>
      </c>
      <c r="H2" s="115">
        <v>541000</v>
      </c>
      <c r="I2" s="115">
        <v>422000</v>
      </c>
      <c r="J2" s="115">
        <v>295000</v>
      </c>
      <c r="K2" s="115">
        <v>365000</v>
      </c>
      <c r="L2" s="115">
        <v>288000</v>
      </c>
      <c r="M2" s="115">
        <v>372000</v>
      </c>
      <c r="N2" s="125">
        <f>SUM(B2:M2)</f>
        <v>4500000</v>
      </c>
    </row>
    <row r="3" spans="1:14">
      <c r="A3" s="115" t="s">
        <v>607</v>
      </c>
      <c r="B3" s="120">
        <f>B2/31</f>
        <v>9290.322580645161</v>
      </c>
      <c r="C3" s="121">
        <f>C2/28</f>
        <v>11821.428571428571</v>
      </c>
      <c r="D3" s="121">
        <f>D2/31</f>
        <v>11741.935483870968</v>
      </c>
      <c r="E3" s="124">
        <f>E2/30</f>
        <v>12300</v>
      </c>
      <c r="F3" s="121">
        <f>F2/31</f>
        <v>11774.193548387097</v>
      </c>
      <c r="G3" s="122">
        <f>G2/30</f>
        <v>16666.666666666668</v>
      </c>
      <c r="H3" s="122">
        <f>H2/31</f>
        <v>17451.612903225807</v>
      </c>
      <c r="I3" s="124">
        <f>I2/31</f>
        <v>13612.903225806451</v>
      </c>
      <c r="J3" s="120">
        <f>J2/30</f>
        <v>9833.3333333333339</v>
      </c>
      <c r="K3" s="121">
        <f>K2/31</f>
        <v>11774.193548387097</v>
      </c>
      <c r="L3" s="120">
        <f>L2/30</f>
        <v>9600</v>
      </c>
      <c r="M3" s="121">
        <f>M2/31</f>
        <v>12000</v>
      </c>
    </row>
    <row r="5" spans="1:14">
      <c r="B5" s="116" t="s">
        <v>608</v>
      </c>
      <c r="C5" s="116" t="s">
        <v>609</v>
      </c>
      <c r="D5" s="116" t="s">
        <v>610</v>
      </c>
      <c r="E5" s="116" t="s">
        <v>611</v>
      </c>
    </row>
    <row r="6" spans="1:14">
      <c r="B6" s="117"/>
      <c r="C6" s="118"/>
      <c r="D6" s="123"/>
      <c r="E6" s="11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DEB377744834B8954311F43ED8D52" ma:contentTypeVersion="11" ma:contentTypeDescription="Create a new document." ma:contentTypeScope="" ma:versionID="82ec14fed3b111f5ade3e1348190c297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d63a4c0d965ee133b8be0ac42ff1609c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76e452-a86e-448d-9b18-472ae0062343">
      <Terms xmlns="http://schemas.microsoft.com/office/infopath/2007/PartnerControls"/>
    </lcf76f155ced4ddcb4097134ff3c332f>
    <TaxCatchAll xmlns="f5889dfe-fe8d-4c58-9c1d-0981baebe654" xsi:nil="true"/>
  </documentManagement>
</p:properties>
</file>

<file path=customXml/itemProps1.xml><?xml version="1.0" encoding="utf-8"?>
<ds:datastoreItem xmlns:ds="http://schemas.openxmlformats.org/officeDocument/2006/customXml" ds:itemID="{BE5ADCF4-6803-4174-84D0-3A3249C88A0D}"/>
</file>

<file path=customXml/itemProps2.xml><?xml version="1.0" encoding="utf-8"?>
<ds:datastoreItem xmlns:ds="http://schemas.openxmlformats.org/officeDocument/2006/customXml" ds:itemID="{C48A1ED5-2AFE-4A29-A89A-F2BDD57760F5}"/>
</file>

<file path=customXml/itemProps3.xml><?xml version="1.0" encoding="utf-8"?>
<ds:datastoreItem xmlns:ds="http://schemas.openxmlformats.org/officeDocument/2006/customXml" ds:itemID="{B43D2B63-0C80-4FB4-B439-818508BAC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8</vt:i4>
      </vt:variant>
    </vt:vector>
  </HeadingPairs>
  <TitlesOfParts>
    <vt:vector size="24" baseType="lpstr">
      <vt:lpstr>CÁP TREO</vt:lpstr>
      <vt:lpstr>KTHT</vt:lpstr>
      <vt:lpstr>GAME</vt:lpstr>
      <vt:lpstr>Hành Chính</vt:lpstr>
      <vt:lpstr>ĐIỀU HÒA 1</vt:lpstr>
      <vt:lpstr>HÚT ẨM 1</vt:lpstr>
      <vt:lpstr>KHO ĐÔNG1</vt:lpstr>
      <vt:lpstr>BTXD</vt:lpstr>
      <vt:lpstr>BẾP</vt:lpstr>
      <vt:lpstr>NHÀ HÀNG</vt:lpstr>
      <vt:lpstr>Nhà máy bia</vt:lpstr>
      <vt:lpstr>Xưởng xúc xích</vt:lpstr>
      <vt:lpstr>thang máy, thang cuốn HD</vt:lpstr>
      <vt:lpstr>Hướng dẫn</vt:lpstr>
      <vt:lpstr>Năng Lượng Tiêu Thụ Các BP đki</vt:lpstr>
      <vt:lpstr>Khách</vt:lpstr>
      <vt:lpstr>BẾP!Print_Area</vt:lpstr>
      <vt:lpstr>'CÁP TREO'!Print_Area</vt:lpstr>
      <vt:lpstr>'Hành Chính'!Print_Area</vt:lpstr>
      <vt:lpstr>'Hướng dẫn'!Print_Area</vt:lpstr>
      <vt:lpstr>KTHT!Print_Area</vt:lpstr>
      <vt:lpstr>'NHÀ HÀNG'!Print_Area</vt:lpstr>
      <vt:lpstr>'thang máy, thang cuốn HD'!Print_Area</vt:lpstr>
      <vt:lpstr>'Xưởng xúc xích'!Print_Area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Van Thanh (BQLXD MT)</dc:creator>
  <cp:lastModifiedBy>Thuong, Pham Van (BNC)</cp:lastModifiedBy>
  <cp:lastPrinted>2024-03-30T04:27:48Z</cp:lastPrinted>
  <dcterms:created xsi:type="dcterms:W3CDTF">2020-03-17T01:17:00Z</dcterms:created>
  <dcterms:modified xsi:type="dcterms:W3CDTF">2024-10-02T08:47:37Z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ContentTypeId">
    <vt:lpwstr>0x010100DA1DEB377744834B8954311F43ED8D52</vt:lpwstr>
  </property>
</Properties>
</file>